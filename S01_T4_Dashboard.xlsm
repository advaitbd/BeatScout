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entuedu-my.sharepoint.com/personal/ngwe0105_e_ntu_edu_sg/Documents/Documents/NBS/BC2407 - ANALYTICS II ADV PRED TECH/Assignment/Final Folder/Final Files/Dashboard/"/>
    </mc:Choice>
  </mc:AlternateContent>
  <xr:revisionPtr revIDLastSave="4921" documentId="8_{70AC9ACF-3A9D-4C07-84E8-5F8A9C43F47F}" xr6:coauthVersionLast="47" xr6:coauthVersionMax="47" xr10:uidLastSave="{E47E99A2-E994-4E31-AA49-016ED0A18707}"/>
  <bookViews>
    <workbookView showHorizontalScroll="0" showVerticalScroll="0" showSheetTabs="0" xWindow="10350" yWindow="21480" windowWidth="29040" windowHeight="16440" xr2:uid="{AAB975F1-041D-40B5-A4D7-3926A3A235D4}"/>
  </bookViews>
  <sheets>
    <sheet name="DB_1" sheetId="6" r:id="rId1"/>
    <sheet name="DB_2" sheetId="12" r:id="rId2"/>
    <sheet name="Graphs" sheetId="11" r:id="rId3"/>
    <sheet name="Tiktok Dashboard Data" sheetId="7" r:id="rId4"/>
  </sheets>
  <definedNames>
    <definedName name="_xlnm._FilterDatabase" localSheetId="0" hidden="1">DB_1!$W$6:$W$8</definedName>
    <definedName name="_xlnm._FilterDatabase" localSheetId="1" hidden="1">DB_2!$W$6:$W$8</definedName>
    <definedName name="_xlnm._FilterDatabase" localSheetId="3" hidden="1">'Tiktok Dashboard Data'!$A$1:$Z$965</definedName>
    <definedName name="Slicer_Song_Performance">#N/A</definedName>
    <definedName name="Slicer_virality">#N/A</definedName>
    <definedName name="Slicer_Year_of_release">#N/A</definedName>
  </definedNames>
  <calcPr calcId="191029"/>
  <pivotCaches>
    <pivotCache cacheId="36"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2" i="7" l="1"/>
  <c r="Z3" i="7"/>
  <c r="Z4" i="7"/>
  <c r="Z5" i="7"/>
  <c r="Z6" i="7"/>
  <c r="Z7" i="7"/>
  <c r="Z8" i="7"/>
  <c r="Z9" i="7"/>
  <c r="Z10" i="7"/>
  <c r="Z11" i="7"/>
  <c r="Z12" i="7"/>
  <c r="Z13" i="7"/>
  <c r="Z14" i="7"/>
  <c r="Z15" i="7"/>
  <c r="Z16" i="7"/>
  <c r="Z17" i="7"/>
  <c r="Z18" i="7"/>
  <c r="Z19" i="7"/>
  <c r="Z20" i="7"/>
  <c r="Z21" i="7"/>
  <c r="Z22" i="7"/>
  <c r="Z23" i="7"/>
  <c r="Z24" i="7"/>
  <c r="Z25" i="7"/>
  <c r="Z26" i="7"/>
  <c r="Z27" i="7"/>
  <c r="Z28" i="7"/>
  <c r="Z29" i="7"/>
  <c r="Z30" i="7"/>
  <c r="Z31" i="7"/>
  <c r="Z32" i="7"/>
  <c r="Z33" i="7"/>
  <c r="Z34" i="7"/>
  <c r="Z35" i="7"/>
  <c r="Z36" i="7"/>
  <c r="Z37" i="7"/>
  <c r="Z38" i="7"/>
  <c r="Z39" i="7"/>
  <c r="Z40" i="7"/>
  <c r="Z41" i="7"/>
  <c r="Z42" i="7"/>
  <c r="Z43" i="7"/>
  <c r="Z44" i="7"/>
  <c r="Z45" i="7"/>
  <c r="Z46" i="7"/>
  <c r="Z47" i="7"/>
  <c r="Z48" i="7"/>
  <c r="Z49" i="7"/>
  <c r="Z50" i="7"/>
  <c r="Z51" i="7"/>
  <c r="Z52" i="7"/>
  <c r="Z53" i="7"/>
  <c r="Z54" i="7"/>
  <c r="Z55" i="7"/>
  <c r="Z56" i="7"/>
  <c r="Z57" i="7"/>
  <c r="Z58" i="7"/>
  <c r="Z59" i="7"/>
  <c r="Z60" i="7"/>
  <c r="Z61" i="7"/>
  <c r="Z62" i="7"/>
  <c r="Z63" i="7"/>
  <c r="Z64" i="7"/>
  <c r="Z65" i="7"/>
  <c r="Z66" i="7"/>
  <c r="Z67" i="7"/>
  <c r="Z68" i="7"/>
  <c r="Z69" i="7"/>
  <c r="Z70" i="7"/>
  <c r="Z71" i="7"/>
  <c r="Z72" i="7"/>
  <c r="Z73" i="7"/>
  <c r="Z74" i="7"/>
  <c r="Z75" i="7"/>
  <c r="Z76" i="7"/>
  <c r="Z77" i="7"/>
  <c r="Z78" i="7"/>
  <c r="Z79" i="7"/>
  <c r="Z80" i="7"/>
  <c r="Z81" i="7"/>
  <c r="Z82" i="7"/>
  <c r="Z83" i="7"/>
  <c r="Z84" i="7"/>
  <c r="Z85" i="7"/>
  <c r="Z86" i="7"/>
  <c r="Z87" i="7"/>
  <c r="Z88" i="7"/>
  <c r="Z89" i="7"/>
  <c r="Z90" i="7"/>
  <c r="Z91" i="7"/>
  <c r="Z92" i="7"/>
  <c r="Z93" i="7"/>
  <c r="Z94" i="7"/>
  <c r="Z95" i="7"/>
  <c r="Z96" i="7"/>
  <c r="Z97" i="7"/>
  <c r="Z98" i="7"/>
  <c r="Z99" i="7"/>
  <c r="Z100" i="7"/>
  <c r="Z101" i="7"/>
  <c r="Z102" i="7"/>
  <c r="Z103" i="7"/>
  <c r="Z104" i="7"/>
  <c r="Z105" i="7"/>
  <c r="Z106" i="7"/>
  <c r="Z107" i="7"/>
  <c r="Z108" i="7"/>
  <c r="Z109" i="7"/>
  <c r="Z110" i="7"/>
  <c r="Z111" i="7"/>
  <c r="Z112" i="7"/>
  <c r="Z113" i="7"/>
  <c r="Z114" i="7"/>
  <c r="Z115" i="7"/>
  <c r="Z116" i="7"/>
  <c r="Z117" i="7"/>
  <c r="Z118" i="7"/>
  <c r="Z119" i="7"/>
  <c r="Z120" i="7"/>
  <c r="Z121" i="7"/>
  <c r="Z122" i="7"/>
  <c r="Z123" i="7"/>
  <c r="Z124" i="7"/>
  <c r="Z125" i="7"/>
  <c r="Z126" i="7"/>
  <c r="Z127" i="7"/>
  <c r="Z128" i="7"/>
  <c r="Z129" i="7"/>
  <c r="Z130" i="7"/>
  <c r="Z131" i="7"/>
  <c r="Z132" i="7"/>
  <c r="Z133" i="7"/>
  <c r="Z134" i="7"/>
  <c r="Z135" i="7"/>
  <c r="Z136" i="7"/>
  <c r="Z137" i="7"/>
  <c r="Z138" i="7"/>
  <c r="Z139" i="7"/>
  <c r="Z140" i="7"/>
  <c r="Z141" i="7"/>
  <c r="Z142" i="7"/>
  <c r="Z143" i="7"/>
  <c r="Z144" i="7"/>
  <c r="Z145" i="7"/>
  <c r="Z146" i="7"/>
  <c r="Z147" i="7"/>
  <c r="Z148" i="7"/>
  <c r="Z149" i="7"/>
  <c r="Z150" i="7"/>
  <c r="Z151" i="7"/>
  <c r="Z152" i="7"/>
  <c r="Z153" i="7"/>
  <c r="Z154" i="7"/>
  <c r="Z155" i="7"/>
  <c r="Z156" i="7"/>
  <c r="Z157" i="7"/>
  <c r="Z158" i="7"/>
  <c r="Z159" i="7"/>
  <c r="Z160" i="7"/>
  <c r="Z161" i="7"/>
  <c r="Z162" i="7"/>
  <c r="Z163" i="7"/>
  <c r="Z164" i="7"/>
  <c r="Z165" i="7"/>
  <c r="Z166" i="7"/>
  <c r="Z167" i="7"/>
  <c r="Z168" i="7"/>
  <c r="Z169" i="7"/>
  <c r="Z170" i="7"/>
  <c r="Z171" i="7"/>
  <c r="Z172" i="7"/>
  <c r="Z173" i="7"/>
  <c r="Z174" i="7"/>
  <c r="Z175" i="7"/>
  <c r="Z176" i="7"/>
  <c r="Z177" i="7"/>
  <c r="Z178" i="7"/>
  <c r="Z179" i="7"/>
  <c r="Z180" i="7"/>
  <c r="Z181" i="7"/>
  <c r="Z182" i="7"/>
  <c r="Z183" i="7"/>
  <c r="Z184" i="7"/>
  <c r="Z185" i="7"/>
  <c r="Z186" i="7"/>
  <c r="Z187" i="7"/>
  <c r="Z188" i="7"/>
  <c r="Z189" i="7"/>
  <c r="Z190" i="7"/>
  <c r="Z191" i="7"/>
  <c r="Z192" i="7"/>
  <c r="Z193" i="7"/>
  <c r="Z194" i="7"/>
  <c r="Z195" i="7"/>
  <c r="Z196" i="7"/>
  <c r="Z197" i="7"/>
  <c r="Z198" i="7"/>
  <c r="Z199" i="7"/>
  <c r="Z200" i="7"/>
  <c r="Z201" i="7"/>
  <c r="Z202" i="7"/>
  <c r="Z203" i="7"/>
  <c r="Z204" i="7"/>
  <c r="Z205" i="7"/>
  <c r="Z206" i="7"/>
  <c r="Z207" i="7"/>
  <c r="Z208" i="7"/>
  <c r="Z209" i="7"/>
  <c r="Z210" i="7"/>
  <c r="Z211" i="7"/>
  <c r="Z212" i="7"/>
  <c r="Z213" i="7"/>
  <c r="Z214" i="7"/>
  <c r="Z215" i="7"/>
  <c r="Z216" i="7"/>
  <c r="Z217" i="7"/>
  <c r="Z218" i="7"/>
  <c r="Z219" i="7"/>
  <c r="Z220" i="7"/>
  <c r="Z221" i="7"/>
  <c r="Z222" i="7"/>
  <c r="Z223" i="7"/>
  <c r="Z224" i="7"/>
  <c r="Z225" i="7"/>
  <c r="Z226" i="7"/>
  <c r="Z227" i="7"/>
  <c r="Z228" i="7"/>
  <c r="Z229" i="7"/>
  <c r="Z230" i="7"/>
  <c r="Z231" i="7"/>
  <c r="Z232" i="7"/>
  <c r="Z233" i="7"/>
  <c r="Z234" i="7"/>
  <c r="Z235" i="7"/>
  <c r="Z236" i="7"/>
  <c r="Z237" i="7"/>
  <c r="Z238" i="7"/>
  <c r="Z239" i="7"/>
  <c r="Z240" i="7"/>
  <c r="Z241" i="7"/>
  <c r="Z242" i="7"/>
  <c r="Z243" i="7"/>
  <c r="Z244" i="7"/>
  <c r="Z245" i="7"/>
  <c r="Z246" i="7"/>
  <c r="Z247" i="7"/>
  <c r="Z248" i="7"/>
  <c r="Z249" i="7"/>
  <c r="Z250" i="7"/>
  <c r="Z251" i="7"/>
  <c r="Z252" i="7"/>
  <c r="Z253" i="7"/>
  <c r="Z254" i="7"/>
  <c r="Z255" i="7"/>
  <c r="Z256" i="7"/>
  <c r="Z257" i="7"/>
  <c r="Z258" i="7"/>
  <c r="Z259" i="7"/>
  <c r="Z260" i="7"/>
  <c r="Z261" i="7"/>
  <c r="Z262" i="7"/>
  <c r="Z263" i="7"/>
  <c r="Z264" i="7"/>
  <c r="Z265" i="7"/>
  <c r="Z266" i="7"/>
  <c r="Z267" i="7"/>
  <c r="Z268" i="7"/>
  <c r="Z269" i="7"/>
  <c r="Z270" i="7"/>
  <c r="Z271" i="7"/>
  <c r="Z272" i="7"/>
  <c r="Z273" i="7"/>
  <c r="Z274" i="7"/>
  <c r="Z275" i="7"/>
  <c r="Z276" i="7"/>
  <c r="Z277" i="7"/>
  <c r="Z278" i="7"/>
  <c r="Z279" i="7"/>
  <c r="Z280" i="7"/>
  <c r="Z281" i="7"/>
  <c r="Z282" i="7"/>
  <c r="Z283" i="7"/>
  <c r="Z284" i="7"/>
  <c r="Z285" i="7"/>
  <c r="Z286" i="7"/>
  <c r="Z287" i="7"/>
  <c r="Z288" i="7"/>
  <c r="Z289" i="7"/>
  <c r="Z290" i="7"/>
  <c r="Z291" i="7"/>
  <c r="Z292" i="7"/>
  <c r="Z293" i="7"/>
  <c r="Z294" i="7"/>
  <c r="Z295" i="7"/>
  <c r="Z296" i="7"/>
  <c r="Z297" i="7"/>
  <c r="Z298" i="7"/>
  <c r="Z299" i="7"/>
  <c r="Z300" i="7"/>
  <c r="Z301" i="7"/>
  <c r="Z302" i="7"/>
  <c r="Z303" i="7"/>
  <c r="Z304" i="7"/>
  <c r="Z305" i="7"/>
  <c r="Z306" i="7"/>
  <c r="Z307" i="7"/>
  <c r="Z308" i="7"/>
  <c r="Z309" i="7"/>
  <c r="Z310" i="7"/>
  <c r="Z311" i="7"/>
  <c r="Z312" i="7"/>
  <c r="Z313" i="7"/>
  <c r="Z314" i="7"/>
  <c r="Z315" i="7"/>
  <c r="Z316" i="7"/>
  <c r="Z317" i="7"/>
  <c r="Z318" i="7"/>
  <c r="Z319" i="7"/>
  <c r="Z320" i="7"/>
  <c r="Z321" i="7"/>
  <c r="Z322" i="7"/>
  <c r="Z323" i="7"/>
  <c r="Z324" i="7"/>
  <c r="Z325" i="7"/>
  <c r="Z326" i="7"/>
  <c r="Z327" i="7"/>
  <c r="Z328" i="7"/>
  <c r="Z329" i="7"/>
  <c r="Z330" i="7"/>
  <c r="Z331" i="7"/>
  <c r="Z332" i="7"/>
  <c r="Z333" i="7"/>
  <c r="Z334" i="7"/>
  <c r="Z335" i="7"/>
  <c r="Z336" i="7"/>
  <c r="Z337" i="7"/>
  <c r="Z338" i="7"/>
  <c r="Z339" i="7"/>
  <c r="Z340" i="7"/>
  <c r="Z341" i="7"/>
  <c r="Z342" i="7"/>
  <c r="Z343" i="7"/>
  <c r="Z344" i="7"/>
  <c r="Z345" i="7"/>
  <c r="Z346" i="7"/>
  <c r="Z347" i="7"/>
  <c r="Z348" i="7"/>
  <c r="Z349" i="7"/>
  <c r="Z350" i="7"/>
  <c r="Z351" i="7"/>
  <c r="Z352" i="7"/>
  <c r="Z353" i="7"/>
  <c r="Z354" i="7"/>
  <c r="Z355" i="7"/>
  <c r="Z356" i="7"/>
  <c r="Z357" i="7"/>
  <c r="Z358" i="7"/>
  <c r="Z359" i="7"/>
  <c r="Z360" i="7"/>
  <c r="Z361" i="7"/>
  <c r="Z362" i="7"/>
  <c r="Z363" i="7"/>
  <c r="Z364" i="7"/>
  <c r="Z365" i="7"/>
  <c r="Z366" i="7"/>
  <c r="Z367" i="7"/>
  <c r="Z368" i="7"/>
  <c r="Z369" i="7"/>
  <c r="Z370" i="7"/>
  <c r="Z371" i="7"/>
  <c r="Z372" i="7"/>
  <c r="Z373" i="7"/>
  <c r="Z374" i="7"/>
  <c r="Z375" i="7"/>
  <c r="Z376" i="7"/>
  <c r="Z377" i="7"/>
  <c r="Z378" i="7"/>
  <c r="Z379" i="7"/>
  <c r="Z380" i="7"/>
  <c r="Z381" i="7"/>
  <c r="Z382" i="7"/>
  <c r="Z383" i="7"/>
  <c r="Z384" i="7"/>
  <c r="Z385" i="7"/>
  <c r="Z386" i="7"/>
  <c r="Z387" i="7"/>
  <c r="Z388" i="7"/>
  <c r="Z389" i="7"/>
  <c r="Z390" i="7"/>
  <c r="Z391" i="7"/>
  <c r="Z392" i="7"/>
  <c r="Z393" i="7"/>
  <c r="Z394" i="7"/>
  <c r="Z395" i="7"/>
  <c r="Z396" i="7"/>
  <c r="Z397" i="7"/>
  <c r="Z398" i="7"/>
  <c r="Z399" i="7"/>
  <c r="Z400" i="7"/>
  <c r="Z401" i="7"/>
  <c r="Z402" i="7"/>
  <c r="Z403" i="7"/>
  <c r="Z404" i="7"/>
  <c r="Z405" i="7"/>
  <c r="Z406" i="7"/>
  <c r="Z407" i="7"/>
  <c r="Z408" i="7"/>
  <c r="Z409" i="7"/>
  <c r="Z410" i="7"/>
  <c r="Z411" i="7"/>
  <c r="Z412" i="7"/>
  <c r="Z413" i="7"/>
  <c r="Z414" i="7"/>
  <c r="Z415" i="7"/>
  <c r="Z416" i="7"/>
  <c r="Z417" i="7"/>
  <c r="Z418" i="7"/>
  <c r="Z419" i="7"/>
  <c r="Z420" i="7"/>
  <c r="Z421" i="7"/>
  <c r="Z422" i="7"/>
  <c r="Z423" i="7"/>
  <c r="Z424" i="7"/>
  <c r="Z425" i="7"/>
  <c r="Z426" i="7"/>
  <c r="Z427" i="7"/>
  <c r="Z428" i="7"/>
  <c r="Z429" i="7"/>
  <c r="Z430" i="7"/>
  <c r="Z431" i="7"/>
  <c r="Z432" i="7"/>
  <c r="Z433" i="7"/>
  <c r="Z434" i="7"/>
  <c r="Z435" i="7"/>
  <c r="Z436" i="7"/>
  <c r="Z437" i="7"/>
  <c r="Z438" i="7"/>
  <c r="Z439" i="7"/>
  <c r="Z440" i="7"/>
  <c r="Z441" i="7"/>
  <c r="Z442" i="7"/>
  <c r="Z443" i="7"/>
  <c r="Z444" i="7"/>
  <c r="Z445" i="7"/>
  <c r="Z446" i="7"/>
  <c r="Z447" i="7"/>
  <c r="Z448" i="7"/>
  <c r="Z449" i="7"/>
  <c r="Z450" i="7"/>
  <c r="Z451" i="7"/>
  <c r="Z452" i="7"/>
  <c r="Z453" i="7"/>
  <c r="Z454" i="7"/>
  <c r="Z455" i="7"/>
  <c r="Z456" i="7"/>
  <c r="Z457" i="7"/>
  <c r="Z458" i="7"/>
  <c r="Z459" i="7"/>
  <c r="Z460" i="7"/>
  <c r="Z461" i="7"/>
  <c r="Z462" i="7"/>
  <c r="Z463" i="7"/>
  <c r="Z464" i="7"/>
  <c r="Z465" i="7"/>
  <c r="Z466" i="7"/>
  <c r="Z467" i="7"/>
  <c r="Z468" i="7"/>
  <c r="Z469" i="7"/>
  <c r="Z470" i="7"/>
  <c r="Z471" i="7"/>
  <c r="Z472" i="7"/>
  <c r="Z473" i="7"/>
  <c r="Z474" i="7"/>
  <c r="Z475" i="7"/>
  <c r="Z476" i="7"/>
  <c r="Z477" i="7"/>
  <c r="Z478" i="7"/>
  <c r="Z479" i="7"/>
  <c r="Z480" i="7"/>
  <c r="Z481" i="7"/>
  <c r="Z482" i="7"/>
  <c r="Z483" i="7"/>
  <c r="Z484" i="7"/>
  <c r="Z485" i="7"/>
  <c r="Z486" i="7"/>
  <c r="Z487" i="7"/>
  <c r="Z488" i="7"/>
  <c r="Z489" i="7"/>
  <c r="Z490" i="7"/>
  <c r="Z491" i="7"/>
  <c r="Z492" i="7"/>
  <c r="Z493" i="7"/>
  <c r="Z494" i="7"/>
  <c r="Z495" i="7"/>
  <c r="Z496" i="7"/>
  <c r="Z497" i="7"/>
  <c r="Z498" i="7"/>
  <c r="Z499" i="7"/>
  <c r="Z500" i="7"/>
  <c r="Z501" i="7"/>
  <c r="Z502" i="7"/>
  <c r="Z503" i="7"/>
  <c r="Z504" i="7"/>
  <c r="Z505" i="7"/>
  <c r="Z506" i="7"/>
  <c r="Z507" i="7"/>
  <c r="Z508" i="7"/>
  <c r="Z509" i="7"/>
  <c r="Z510" i="7"/>
  <c r="Z511" i="7"/>
  <c r="Z512" i="7"/>
  <c r="Z513" i="7"/>
  <c r="Z514" i="7"/>
  <c r="Z515" i="7"/>
  <c r="Z516" i="7"/>
  <c r="Z517" i="7"/>
  <c r="Z518" i="7"/>
  <c r="Z519" i="7"/>
  <c r="Z520" i="7"/>
  <c r="Z521" i="7"/>
  <c r="Z522" i="7"/>
  <c r="Z523" i="7"/>
  <c r="Z524" i="7"/>
  <c r="Z525" i="7"/>
  <c r="Z526" i="7"/>
  <c r="Z527" i="7"/>
  <c r="Z528" i="7"/>
  <c r="Z529" i="7"/>
  <c r="Z530" i="7"/>
  <c r="Z531" i="7"/>
  <c r="Z532" i="7"/>
  <c r="Z533" i="7"/>
  <c r="Z534" i="7"/>
  <c r="Z535" i="7"/>
  <c r="Z536" i="7"/>
  <c r="Z537" i="7"/>
  <c r="Z538" i="7"/>
  <c r="Z539" i="7"/>
  <c r="Z540" i="7"/>
  <c r="Z541" i="7"/>
  <c r="Z542" i="7"/>
  <c r="Z543" i="7"/>
  <c r="Z544" i="7"/>
  <c r="Z545" i="7"/>
  <c r="Z546" i="7"/>
  <c r="Z547" i="7"/>
  <c r="Z548" i="7"/>
  <c r="Z549" i="7"/>
  <c r="Z550" i="7"/>
  <c r="Z551" i="7"/>
  <c r="Z552" i="7"/>
  <c r="Z553" i="7"/>
  <c r="Z554" i="7"/>
  <c r="Z555" i="7"/>
  <c r="Z556" i="7"/>
  <c r="Z557" i="7"/>
  <c r="Z558" i="7"/>
  <c r="Z559" i="7"/>
  <c r="Z560" i="7"/>
  <c r="Z561" i="7"/>
  <c r="Z562" i="7"/>
  <c r="Z563" i="7"/>
  <c r="Z564" i="7"/>
  <c r="Z565" i="7"/>
  <c r="Z566" i="7"/>
  <c r="Z567" i="7"/>
  <c r="Z568" i="7"/>
  <c r="Z569" i="7"/>
  <c r="Z570" i="7"/>
  <c r="Z571" i="7"/>
  <c r="Z572" i="7"/>
  <c r="Z573" i="7"/>
  <c r="Z574" i="7"/>
  <c r="Z575" i="7"/>
  <c r="Z576" i="7"/>
  <c r="Z577" i="7"/>
  <c r="Z578" i="7"/>
  <c r="Z579" i="7"/>
  <c r="Z580" i="7"/>
  <c r="Z581" i="7"/>
  <c r="Z582" i="7"/>
  <c r="Z583" i="7"/>
  <c r="Z584" i="7"/>
  <c r="Z585" i="7"/>
  <c r="Z586" i="7"/>
  <c r="Z587" i="7"/>
  <c r="Z588" i="7"/>
  <c r="Z589" i="7"/>
  <c r="Z590" i="7"/>
  <c r="Z591" i="7"/>
  <c r="Z592" i="7"/>
  <c r="Z593" i="7"/>
  <c r="Z594" i="7"/>
  <c r="Z595" i="7"/>
  <c r="Z596" i="7"/>
  <c r="Z597" i="7"/>
  <c r="Z598" i="7"/>
  <c r="Z599" i="7"/>
  <c r="Z600" i="7"/>
  <c r="Z601" i="7"/>
  <c r="Z602" i="7"/>
  <c r="Z603" i="7"/>
  <c r="Z604" i="7"/>
  <c r="Z605" i="7"/>
  <c r="Z606" i="7"/>
  <c r="Z607" i="7"/>
  <c r="Z608" i="7"/>
  <c r="Z609" i="7"/>
  <c r="Z610" i="7"/>
  <c r="Z611" i="7"/>
  <c r="Z612" i="7"/>
  <c r="Z613" i="7"/>
  <c r="Z614" i="7"/>
  <c r="Z615" i="7"/>
  <c r="Z616" i="7"/>
  <c r="Z617" i="7"/>
  <c r="Z618" i="7"/>
  <c r="Z619" i="7"/>
  <c r="Z620" i="7"/>
  <c r="Z621" i="7"/>
  <c r="Z622" i="7"/>
  <c r="Z623" i="7"/>
  <c r="Z624" i="7"/>
  <c r="Z625" i="7"/>
  <c r="Z626" i="7"/>
  <c r="Z627" i="7"/>
  <c r="Z628" i="7"/>
  <c r="Z629" i="7"/>
  <c r="Z630" i="7"/>
  <c r="Z631" i="7"/>
  <c r="Z632" i="7"/>
  <c r="Z633" i="7"/>
  <c r="Z634" i="7"/>
  <c r="Z635" i="7"/>
  <c r="Z636" i="7"/>
  <c r="Z637" i="7"/>
  <c r="Z638" i="7"/>
  <c r="Z639" i="7"/>
  <c r="Z640" i="7"/>
  <c r="Z641" i="7"/>
  <c r="Z642" i="7"/>
  <c r="Z643" i="7"/>
  <c r="Z644" i="7"/>
  <c r="Z645" i="7"/>
  <c r="Z646" i="7"/>
  <c r="Z647" i="7"/>
  <c r="Z648" i="7"/>
  <c r="Z649" i="7"/>
  <c r="Z650" i="7"/>
  <c r="Z651" i="7"/>
  <c r="Z652" i="7"/>
  <c r="Z653" i="7"/>
  <c r="Z654" i="7"/>
  <c r="Z655" i="7"/>
  <c r="Z656" i="7"/>
  <c r="Z657" i="7"/>
  <c r="Z658" i="7"/>
  <c r="Z659" i="7"/>
  <c r="Z660" i="7"/>
  <c r="Z661" i="7"/>
  <c r="Z662" i="7"/>
  <c r="Z663" i="7"/>
  <c r="Z664" i="7"/>
  <c r="Z665" i="7"/>
  <c r="Z666" i="7"/>
  <c r="Z667" i="7"/>
  <c r="Z668" i="7"/>
  <c r="Z669" i="7"/>
  <c r="Z670" i="7"/>
  <c r="Z671" i="7"/>
  <c r="Z672" i="7"/>
  <c r="Z673" i="7"/>
  <c r="Z674" i="7"/>
  <c r="Z675" i="7"/>
  <c r="Z676" i="7"/>
  <c r="Z677" i="7"/>
  <c r="Z678" i="7"/>
  <c r="Z679" i="7"/>
  <c r="Z680" i="7"/>
  <c r="Z681" i="7"/>
  <c r="Z682" i="7"/>
  <c r="Z683" i="7"/>
  <c r="Z684" i="7"/>
  <c r="Z685" i="7"/>
  <c r="Z686" i="7"/>
  <c r="Z687" i="7"/>
  <c r="Z688" i="7"/>
  <c r="Z689" i="7"/>
  <c r="Z690" i="7"/>
  <c r="Z691" i="7"/>
  <c r="Z692" i="7"/>
  <c r="Z693" i="7"/>
  <c r="Z694" i="7"/>
  <c r="Z695" i="7"/>
  <c r="Z696" i="7"/>
  <c r="Z697" i="7"/>
  <c r="Z698" i="7"/>
  <c r="Z699" i="7"/>
  <c r="Z700" i="7"/>
  <c r="Z701" i="7"/>
  <c r="Z702" i="7"/>
  <c r="Z703" i="7"/>
  <c r="Z704" i="7"/>
  <c r="Z705" i="7"/>
  <c r="Z706" i="7"/>
  <c r="Z707" i="7"/>
  <c r="Z708" i="7"/>
  <c r="Z709" i="7"/>
  <c r="Z710" i="7"/>
  <c r="Z711" i="7"/>
  <c r="Z712" i="7"/>
  <c r="Z713" i="7"/>
  <c r="Z714" i="7"/>
  <c r="Z715" i="7"/>
  <c r="Z716" i="7"/>
  <c r="Z717" i="7"/>
  <c r="Z718" i="7"/>
  <c r="Z719" i="7"/>
  <c r="Z720" i="7"/>
  <c r="Z721" i="7"/>
  <c r="Z722" i="7"/>
  <c r="Z723" i="7"/>
  <c r="Z724" i="7"/>
  <c r="Z725" i="7"/>
  <c r="Z726" i="7"/>
  <c r="Z727" i="7"/>
  <c r="Z728" i="7"/>
  <c r="Z729" i="7"/>
  <c r="Z730" i="7"/>
  <c r="Z731" i="7"/>
  <c r="Z732" i="7"/>
  <c r="Z733" i="7"/>
  <c r="Z734" i="7"/>
  <c r="Z735" i="7"/>
  <c r="Z736" i="7"/>
  <c r="Z737" i="7"/>
  <c r="Z738" i="7"/>
  <c r="Z739" i="7"/>
  <c r="Z740" i="7"/>
  <c r="Z741" i="7"/>
  <c r="Z742" i="7"/>
  <c r="Z743" i="7"/>
  <c r="Z744" i="7"/>
  <c r="Z745" i="7"/>
  <c r="Z746" i="7"/>
  <c r="Z747" i="7"/>
  <c r="Z748" i="7"/>
  <c r="Z749" i="7"/>
  <c r="Z750" i="7"/>
  <c r="Z751" i="7"/>
  <c r="Z752" i="7"/>
  <c r="Z753" i="7"/>
  <c r="Z754" i="7"/>
  <c r="Z755" i="7"/>
  <c r="Z756" i="7"/>
  <c r="Z757" i="7"/>
  <c r="Z758" i="7"/>
  <c r="Z759" i="7"/>
  <c r="Z760" i="7"/>
  <c r="Z761" i="7"/>
  <c r="Z762" i="7"/>
  <c r="Z763" i="7"/>
  <c r="Z764" i="7"/>
  <c r="Z765" i="7"/>
  <c r="Z766" i="7"/>
  <c r="Z767" i="7"/>
  <c r="Z768" i="7"/>
  <c r="Z769" i="7"/>
  <c r="Z770" i="7"/>
  <c r="Z771" i="7"/>
  <c r="Z772" i="7"/>
  <c r="Z773" i="7"/>
  <c r="Z774" i="7"/>
  <c r="Z775" i="7"/>
  <c r="Z776" i="7"/>
  <c r="Z777" i="7"/>
  <c r="Z778" i="7"/>
  <c r="Z779" i="7"/>
  <c r="Z780" i="7"/>
  <c r="Z781" i="7"/>
  <c r="Z782" i="7"/>
  <c r="Z783" i="7"/>
  <c r="Z784" i="7"/>
  <c r="Z785" i="7"/>
  <c r="Z786" i="7"/>
  <c r="Z787" i="7"/>
  <c r="Z788" i="7"/>
  <c r="Z789" i="7"/>
  <c r="Z790" i="7"/>
  <c r="Z791" i="7"/>
  <c r="Z792" i="7"/>
  <c r="Z793" i="7"/>
  <c r="Z794" i="7"/>
  <c r="Z795" i="7"/>
  <c r="Z796" i="7"/>
  <c r="Z797" i="7"/>
  <c r="Z798" i="7"/>
  <c r="Z799" i="7"/>
  <c r="Z800" i="7"/>
  <c r="Z801" i="7"/>
  <c r="Z802" i="7"/>
  <c r="Z803" i="7"/>
  <c r="Z804" i="7"/>
  <c r="Z805" i="7"/>
  <c r="Z806" i="7"/>
  <c r="Z807" i="7"/>
  <c r="Z808" i="7"/>
  <c r="Z809" i="7"/>
  <c r="Z810" i="7"/>
  <c r="Z811" i="7"/>
  <c r="Z812" i="7"/>
  <c r="Z813" i="7"/>
  <c r="Z814" i="7"/>
  <c r="Z815" i="7"/>
  <c r="Z816" i="7"/>
  <c r="Z817" i="7"/>
  <c r="Z818" i="7"/>
  <c r="Z819" i="7"/>
  <c r="Z820" i="7"/>
  <c r="Z821" i="7"/>
  <c r="Z822" i="7"/>
  <c r="Z823" i="7"/>
  <c r="Z824" i="7"/>
  <c r="Z825" i="7"/>
  <c r="Z826" i="7"/>
  <c r="Z827" i="7"/>
  <c r="Z828" i="7"/>
  <c r="Z829" i="7"/>
  <c r="Z830" i="7"/>
  <c r="Z831" i="7"/>
  <c r="Z832" i="7"/>
  <c r="Z833" i="7"/>
  <c r="Z834" i="7"/>
  <c r="Z835" i="7"/>
  <c r="Z836" i="7"/>
  <c r="Z837" i="7"/>
  <c r="Z838" i="7"/>
  <c r="Z839" i="7"/>
  <c r="Z840" i="7"/>
  <c r="Z841" i="7"/>
  <c r="Z842" i="7"/>
  <c r="Z843" i="7"/>
  <c r="Z844" i="7"/>
  <c r="Z845" i="7"/>
  <c r="Z846" i="7"/>
  <c r="Z847" i="7"/>
  <c r="Z848" i="7"/>
  <c r="Z849" i="7"/>
  <c r="Z850" i="7"/>
  <c r="Z851" i="7"/>
  <c r="Z852" i="7"/>
  <c r="Z853" i="7"/>
  <c r="Z854" i="7"/>
  <c r="Z855" i="7"/>
  <c r="Z856" i="7"/>
  <c r="Z857" i="7"/>
  <c r="Z858" i="7"/>
  <c r="Z859" i="7"/>
  <c r="Z860" i="7"/>
  <c r="Z861" i="7"/>
  <c r="Z862" i="7"/>
  <c r="Z863" i="7"/>
  <c r="Z864" i="7"/>
  <c r="Z865" i="7"/>
  <c r="Z866" i="7"/>
  <c r="Z867" i="7"/>
  <c r="Z868" i="7"/>
  <c r="Z869" i="7"/>
  <c r="Z870" i="7"/>
  <c r="Z871" i="7"/>
  <c r="Z872" i="7"/>
  <c r="Z873" i="7"/>
  <c r="Z874" i="7"/>
  <c r="Z875" i="7"/>
  <c r="Z876" i="7"/>
  <c r="Z877" i="7"/>
  <c r="Z878" i="7"/>
  <c r="Z879" i="7"/>
  <c r="Z880" i="7"/>
  <c r="Z881" i="7"/>
  <c r="Z882" i="7"/>
  <c r="Z883" i="7"/>
  <c r="Z884" i="7"/>
  <c r="Z885" i="7"/>
  <c r="Z886" i="7"/>
  <c r="Z887" i="7"/>
  <c r="Z888" i="7"/>
  <c r="Z889" i="7"/>
  <c r="Z890" i="7"/>
  <c r="Z891" i="7"/>
  <c r="Z892" i="7"/>
  <c r="Z893" i="7"/>
  <c r="Z894" i="7"/>
  <c r="Z895" i="7"/>
  <c r="Z896" i="7"/>
  <c r="Z897" i="7"/>
  <c r="Z898" i="7"/>
  <c r="Z899" i="7"/>
  <c r="Z900" i="7"/>
  <c r="Z901" i="7"/>
  <c r="Z902" i="7"/>
  <c r="Z903" i="7"/>
  <c r="Z904" i="7"/>
  <c r="Z905" i="7"/>
  <c r="Z906" i="7"/>
  <c r="Z907" i="7"/>
  <c r="Z908" i="7"/>
  <c r="Z909" i="7"/>
  <c r="Z910" i="7"/>
  <c r="Z911" i="7"/>
  <c r="Z912" i="7"/>
  <c r="Z913" i="7"/>
  <c r="Z914" i="7"/>
  <c r="Z915" i="7"/>
  <c r="Z916" i="7"/>
  <c r="Z917" i="7"/>
  <c r="Z918" i="7"/>
  <c r="Z919" i="7"/>
  <c r="Z920" i="7"/>
  <c r="Z921" i="7"/>
  <c r="Z922" i="7"/>
  <c r="Z923" i="7"/>
  <c r="Z924" i="7"/>
  <c r="Z925" i="7"/>
  <c r="Z926" i="7"/>
  <c r="Z927" i="7"/>
  <c r="Z928" i="7"/>
  <c r="Z929" i="7"/>
  <c r="Z930" i="7"/>
  <c r="Z931" i="7"/>
  <c r="Z932" i="7"/>
  <c r="Z933" i="7"/>
  <c r="Z934" i="7"/>
  <c r="Z935" i="7"/>
  <c r="Z936" i="7"/>
  <c r="Z937" i="7"/>
  <c r="Z938" i="7"/>
  <c r="Z939" i="7"/>
  <c r="Z940" i="7"/>
  <c r="Z941" i="7"/>
  <c r="Z942" i="7"/>
  <c r="Z943" i="7"/>
  <c r="Z944" i="7"/>
  <c r="Z945" i="7"/>
  <c r="Z946" i="7"/>
  <c r="Z947" i="7"/>
  <c r="Z948" i="7"/>
  <c r="Z949" i="7"/>
  <c r="Z950" i="7"/>
  <c r="Z951" i="7"/>
  <c r="Z952" i="7"/>
  <c r="Z953" i="7"/>
  <c r="Z954" i="7"/>
  <c r="Z955" i="7"/>
  <c r="Z956" i="7"/>
  <c r="Z957" i="7"/>
  <c r="Z958" i="7"/>
  <c r="Z959" i="7"/>
  <c r="Z960" i="7"/>
  <c r="Z961" i="7"/>
  <c r="Z962" i="7"/>
  <c r="Z963" i="7"/>
  <c r="Z964" i="7"/>
  <c r="Z965" i="7"/>
  <c r="AC6" i="12"/>
  <c r="AA6" i="12"/>
  <c r="X6" i="12"/>
  <c r="AC45" i="12"/>
  <c r="AC44" i="12"/>
  <c r="AC43" i="12"/>
  <c r="AC42" i="12"/>
  <c r="AC41" i="12"/>
  <c r="AC40" i="12"/>
  <c r="AC39" i="12"/>
  <c r="AC38" i="12"/>
  <c r="AC37" i="12"/>
  <c r="AC36" i="12"/>
  <c r="AC35" i="12"/>
  <c r="AC33" i="12"/>
  <c r="AC32" i="12"/>
  <c r="AC31" i="12"/>
  <c r="AC30" i="12"/>
  <c r="AC29" i="12"/>
  <c r="AC28" i="12"/>
  <c r="AC27" i="12"/>
  <c r="AC26" i="12"/>
  <c r="AC25" i="12"/>
  <c r="AC24" i="12"/>
  <c r="AC23" i="12"/>
  <c r="AC22" i="12"/>
  <c r="AC20" i="12"/>
  <c r="AC19" i="12"/>
  <c r="AC18" i="12"/>
  <c r="AC17" i="12"/>
  <c r="AC16" i="12"/>
  <c r="AC15" i="12"/>
  <c r="AC14" i="12"/>
  <c r="AC13" i="12"/>
  <c r="AC12" i="12"/>
  <c r="AC11" i="12"/>
  <c r="AC10" i="12"/>
  <c r="AC9" i="12"/>
  <c r="AC8" i="12"/>
  <c r="AC7" i="12"/>
  <c r="AA45" i="12"/>
  <c r="AA44" i="12"/>
  <c r="AA43" i="12"/>
  <c r="AA42" i="12"/>
  <c r="AA41" i="12"/>
  <c r="AA40" i="12"/>
  <c r="AA39" i="12"/>
  <c r="AA38" i="12"/>
  <c r="AA37" i="12"/>
  <c r="AA36" i="12"/>
  <c r="AA35" i="12"/>
  <c r="AA33" i="12"/>
  <c r="AA32" i="12"/>
  <c r="AA31" i="12"/>
  <c r="AA30" i="12"/>
  <c r="AA29" i="12"/>
  <c r="AA28" i="12"/>
  <c r="AA27" i="12"/>
  <c r="AA26" i="12"/>
  <c r="AA25" i="12"/>
  <c r="AA24" i="12"/>
  <c r="AA23" i="12"/>
  <c r="AA22" i="12"/>
  <c r="AA20" i="12"/>
  <c r="AA19" i="12"/>
  <c r="AA18" i="12"/>
  <c r="AA17" i="12"/>
  <c r="AA16" i="12"/>
  <c r="AA15" i="12"/>
  <c r="AA14" i="12"/>
  <c r="AA13" i="12"/>
  <c r="AA12" i="12"/>
  <c r="AA11" i="12"/>
  <c r="AA10" i="12"/>
  <c r="AA9" i="12"/>
  <c r="AA8" i="12"/>
  <c r="AA7" i="12"/>
  <c r="X45" i="12"/>
  <c r="X44" i="12"/>
  <c r="X43" i="12"/>
  <c r="X42" i="12"/>
  <c r="X41" i="12"/>
  <c r="X40" i="12"/>
  <c r="X39" i="12"/>
  <c r="X38" i="12"/>
  <c r="X37" i="12"/>
  <c r="X36" i="12"/>
  <c r="X35" i="12"/>
  <c r="X33" i="12"/>
  <c r="X32" i="12"/>
  <c r="X31" i="12"/>
  <c r="X30" i="12"/>
  <c r="X29" i="12"/>
  <c r="X28" i="12"/>
  <c r="X27" i="12"/>
  <c r="X26" i="12"/>
  <c r="X25" i="12"/>
  <c r="X24" i="12"/>
  <c r="X23" i="12"/>
  <c r="X22" i="12"/>
  <c r="X20" i="12"/>
  <c r="X19" i="12"/>
  <c r="X18" i="12"/>
  <c r="X17" i="12"/>
  <c r="X16" i="12"/>
  <c r="X15" i="12"/>
  <c r="X14" i="12"/>
  <c r="X13" i="12"/>
  <c r="X12" i="12"/>
  <c r="X11" i="12"/>
  <c r="X10" i="12"/>
  <c r="X9" i="12"/>
  <c r="X8" i="12"/>
  <c r="X7" i="12"/>
  <c r="V45" i="12"/>
  <c r="V44" i="12"/>
  <c r="V43" i="12"/>
  <c r="V42" i="12"/>
  <c r="V41" i="12"/>
  <c r="V40" i="12"/>
  <c r="V39" i="12"/>
  <c r="V38" i="12"/>
  <c r="V37" i="12"/>
  <c r="V36" i="12"/>
  <c r="V35" i="12"/>
  <c r="V33" i="12"/>
  <c r="V32" i="12"/>
  <c r="V31" i="12"/>
  <c r="V30" i="12"/>
  <c r="V29" i="12"/>
  <c r="V28" i="12"/>
  <c r="V27" i="12"/>
  <c r="V26" i="12"/>
  <c r="V25" i="12"/>
  <c r="V24" i="12"/>
  <c r="V23" i="12"/>
  <c r="V22" i="12"/>
  <c r="V20" i="12"/>
  <c r="V19" i="12"/>
  <c r="V18" i="12"/>
  <c r="V17" i="12"/>
  <c r="V16" i="12"/>
  <c r="V15" i="12"/>
  <c r="V14" i="12"/>
  <c r="V13" i="12"/>
  <c r="V12" i="12"/>
  <c r="V11" i="12"/>
  <c r="V10" i="12"/>
  <c r="V9" i="12"/>
  <c r="V8" i="12"/>
  <c r="V7" i="12"/>
  <c r="T45" i="12"/>
  <c r="T44" i="12"/>
  <c r="T43" i="12"/>
  <c r="T42" i="12"/>
  <c r="T41" i="12"/>
  <c r="T40" i="12"/>
  <c r="T39" i="12"/>
  <c r="T38" i="12"/>
  <c r="T37" i="12"/>
  <c r="T36" i="12"/>
  <c r="T35" i="12"/>
  <c r="T33" i="12"/>
  <c r="T32" i="12"/>
  <c r="T31" i="12"/>
  <c r="T30" i="12"/>
  <c r="T29" i="12"/>
  <c r="T28" i="12"/>
  <c r="T27" i="12"/>
  <c r="T26" i="12"/>
  <c r="T25" i="12"/>
  <c r="T24" i="12"/>
  <c r="T23" i="12"/>
  <c r="T22" i="12"/>
  <c r="T20" i="12"/>
  <c r="T19" i="12"/>
  <c r="T18" i="12"/>
  <c r="T17" i="12"/>
  <c r="T16" i="12"/>
  <c r="T15" i="12"/>
  <c r="T14" i="12"/>
  <c r="T13" i="12"/>
  <c r="T12" i="12"/>
  <c r="T11" i="12"/>
  <c r="T10" i="12"/>
  <c r="T9" i="12"/>
  <c r="T8" i="12"/>
  <c r="T7" i="12"/>
  <c r="R45" i="12"/>
  <c r="R44" i="12"/>
  <c r="R43" i="12"/>
  <c r="R42" i="12"/>
  <c r="R41" i="12"/>
  <c r="R40" i="12"/>
  <c r="R39" i="12"/>
  <c r="R38" i="12"/>
  <c r="R37" i="12"/>
  <c r="R36" i="12"/>
  <c r="R35" i="12"/>
  <c r="R33" i="12"/>
  <c r="R32" i="12"/>
  <c r="R31" i="12"/>
  <c r="R30" i="12"/>
  <c r="R29" i="12"/>
  <c r="R28" i="12"/>
  <c r="R27" i="12"/>
  <c r="R26" i="12"/>
  <c r="R25" i="12"/>
  <c r="R24" i="12"/>
  <c r="R23" i="12"/>
  <c r="R22" i="12"/>
  <c r="R20" i="12"/>
  <c r="R19" i="12"/>
  <c r="R18" i="12"/>
  <c r="R17" i="12"/>
  <c r="R16" i="12"/>
  <c r="R15" i="12"/>
  <c r="R14" i="12"/>
  <c r="R13" i="12"/>
  <c r="R12" i="12"/>
  <c r="R11" i="12"/>
  <c r="R10" i="12"/>
  <c r="R9" i="12"/>
  <c r="R8" i="12"/>
  <c r="R7" i="12"/>
  <c r="O45" i="12"/>
  <c r="O44" i="12"/>
  <c r="O43" i="12"/>
  <c r="O42" i="12"/>
  <c r="O41" i="12"/>
  <c r="O40" i="12"/>
  <c r="O39" i="12"/>
  <c r="O38" i="12"/>
  <c r="O37" i="12"/>
  <c r="O36" i="12"/>
  <c r="O35" i="12"/>
  <c r="O33" i="12"/>
  <c r="O32" i="12"/>
  <c r="O31" i="12"/>
  <c r="O30" i="12"/>
  <c r="O29" i="12"/>
  <c r="O28" i="12"/>
  <c r="O27" i="12"/>
  <c r="O26" i="12"/>
  <c r="O25" i="12"/>
  <c r="O24" i="12"/>
  <c r="O23" i="12"/>
  <c r="O22" i="12"/>
  <c r="O20" i="12"/>
  <c r="O19" i="12"/>
  <c r="O18" i="12"/>
  <c r="O17" i="12"/>
  <c r="O16" i="12"/>
  <c r="O15" i="12"/>
  <c r="O14" i="12"/>
  <c r="O13" i="12"/>
  <c r="O12" i="12"/>
  <c r="O11" i="12"/>
  <c r="O10" i="12"/>
  <c r="O9" i="12"/>
  <c r="O8" i="12"/>
  <c r="O7" i="12"/>
  <c r="L45" i="12"/>
  <c r="L44" i="12"/>
  <c r="L43" i="12"/>
  <c r="L42" i="12"/>
  <c r="L41" i="12"/>
  <c r="L40" i="12"/>
  <c r="L39" i="12"/>
  <c r="L38" i="12"/>
  <c r="L37" i="12"/>
  <c r="L36" i="12"/>
  <c r="L35" i="12"/>
  <c r="L33" i="12"/>
  <c r="L32" i="12"/>
  <c r="L31" i="12"/>
  <c r="L30" i="12"/>
  <c r="L29" i="12"/>
  <c r="L28" i="12"/>
  <c r="L27" i="12"/>
  <c r="L26" i="12"/>
  <c r="L25" i="12"/>
  <c r="L24" i="12"/>
  <c r="L23" i="12"/>
  <c r="L22" i="12"/>
  <c r="L20" i="12"/>
  <c r="L19" i="12"/>
  <c r="L18" i="12"/>
  <c r="L17" i="12"/>
  <c r="L16" i="12"/>
  <c r="L15" i="12"/>
  <c r="L14" i="12"/>
  <c r="L13" i="12"/>
  <c r="L12" i="12"/>
  <c r="L11" i="12"/>
  <c r="L10" i="12"/>
  <c r="L9" i="12"/>
  <c r="L8" i="12"/>
  <c r="L7" i="12"/>
  <c r="I45" i="12"/>
  <c r="I44" i="12"/>
  <c r="I43" i="12"/>
  <c r="I42" i="12"/>
  <c r="I41" i="12"/>
  <c r="I40" i="12"/>
  <c r="I39" i="12"/>
  <c r="I38" i="12"/>
  <c r="I37" i="12"/>
  <c r="I36" i="12"/>
  <c r="I35" i="12"/>
  <c r="I33" i="12"/>
  <c r="I32" i="12"/>
  <c r="I31" i="12"/>
  <c r="I30" i="12"/>
  <c r="I29" i="12"/>
  <c r="I28" i="12"/>
  <c r="I27" i="12"/>
  <c r="I26" i="12"/>
  <c r="I25" i="12"/>
  <c r="I24" i="12"/>
  <c r="I23" i="12"/>
  <c r="I22" i="12"/>
  <c r="I20" i="12"/>
  <c r="I19" i="12"/>
  <c r="I18" i="12"/>
  <c r="I17" i="12"/>
  <c r="I16" i="12"/>
  <c r="I15" i="12"/>
  <c r="I14" i="12"/>
  <c r="I13" i="12"/>
  <c r="I12" i="12"/>
  <c r="I11" i="12"/>
  <c r="I10" i="12"/>
  <c r="I9" i="12"/>
  <c r="I8" i="12"/>
  <c r="I7" i="12"/>
  <c r="G45" i="12"/>
  <c r="G44" i="12"/>
  <c r="G43" i="12"/>
  <c r="G42" i="12"/>
  <c r="G41" i="12"/>
  <c r="G40" i="12"/>
  <c r="G39" i="12"/>
  <c r="G38" i="12"/>
  <c r="G37" i="12"/>
  <c r="G36" i="12"/>
  <c r="G35" i="12"/>
  <c r="G33" i="12"/>
  <c r="G32" i="12"/>
  <c r="G31" i="12"/>
  <c r="G30" i="12"/>
  <c r="G29" i="12"/>
  <c r="G28" i="12"/>
  <c r="G27" i="12"/>
  <c r="G26" i="12"/>
  <c r="G25" i="12"/>
  <c r="G24" i="12"/>
  <c r="G23" i="12"/>
  <c r="G22" i="12"/>
  <c r="G20" i="12"/>
  <c r="G19" i="12"/>
  <c r="G18" i="12"/>
  <c r="G17" i="12"/>
  <c r="G16" i="12"/>
  <c r="G15" i="12"/>
  <c r="G14" i="12"/>
  <c r="G13" i="12"/>
  <c r="G12" i="12"/>
  <c r="G11" i="12"/>
  <c r="G10" i="12"/>
  <c r="G9" i="12"/>
  <c r="G8" i="12"/>
  <c r="G7" i="12"/>
  <c r="D45" i="12"/>
  <c r="D44" i="12"/>
  <c r="D43" i="12"/>
  <c r="D42" i="12"/>
  <c r="D41" i="12"/>
  <c r="D40" i="12"/>
  <c r="D39" i="12"/>
  <c r="D38" i="12"/>
  <c r="D37" i="12"/>
  <c r="D36" i="12"/>
  <c r="D35" i="12"/>
  <c r="D33" i="12"/>
  <c r="D32" i="12"/>
  <c r="D31" i="12"/>
  <c r="D30" i="12"/>
  <c r="D29" i="12"/>
  <c r="D28" i="12"/>
  <c r="D27" i="12"/>
  <c r="D26" i="12"/>
  <c r="D25" i="12"/>
  <c r="D24" i="12"/>
  <c r="D23" i="12"/>
  <c r="D22" i="12"/>
  <c r="D20" i="12"/>
  <c r="D19" i="12"/>
  <c r="D18" i="12"/>
  <c r="D17" i="12"/>
  <c r="D16" i="12"/>
  <c r="D15" i="12"/>
  <c r="D14" i="12"/>
  <c r="D13" i="12"/>
  <c r="D12" i="12"/>
  <c r="D11" i="12"/>
  <c r="D10" i="12"/>
  <c r="D9" i="12"/>
  <c r="D8" i="12"/>
  <c r="D7" i="12"/>
  <c r="B45" i="12"/>
  <c r="B44" i="12"/>
  <c r="B43" i="12"/>
  <c r="B42" i="12"/>
  <c r="B41" i="12"/>
  <c r="B40" i="12"/>
  <c r="B39" i="12"/>
  <c r="B38" i="12"/>
  <c r="B37" i="12"/>
  <c r="B36" i="12"/>
  <c r="B35" i="12"/>
  <c r="B33" i="12"/>
  <c r="B32" i="12"/>
  <c r="B31" i="12"/>
  <c r="B30" i="12"/>
  <c r="B29" i="12"/>
  <c r="B28" i="12"/>
  <c r="B27" i="12"/>
  <c r="B26" i="12"/>
  <c r="B25" i="12"/>
  <c r="B24" i="12"/>
  <c r="B23" i="12"/>
  <c r="B22" i="12"/>
  <c r="B20" i="12"/>
  <c r="B19" i="12"/>
  <c r="B18" i="12"/>
  <c r="B17" i="12"/>
  <c r="B16" i="12"/>
  <c r="B15" i="12"/>
  <c r="B14" i="12"/>
  <c r="B13" i="12"/>
  <c r="B12" i="12"/>
  <c r="B11" i="12"/>
  <c r="B10" i="12"/>
  <c r="B9" i="12"/>
  <c r="B8" i="12"/>
  <c r="B7" i="12"/>
  <c r="E45" i="12"/>
  <c r="E44" i="12"/>
  <c r="E43" i="12"/>
  <c r="E42" i="12"/>
  <c r="E41" i="12"/>
  <c r="E40" i="12"/>
  <c r="E39" i="12"/>
  <c r="E38" i="12"/>
  <c r="E37" i="12"/>
  <c r="E36" i="12"/>
  <c r="E35" i="12"/>
  <c r="E32" i="12"/>
  <c r="E31" i="12"/>
  <c r="E30" i="12"/>
  <c r="E29" i="12"/>
  <c r="E28" i="12"/>
  <c r="E27" i="12"/>
  <c r="E26" i="12"/>
  <c r="E25" i="12"/>
  <c r="E24" i="12"/>
  <c r="E23" i="12"/>
  <c r="E22" i="12"/>
  <c r="E19" i="12"/>
  <c r="E18" i="12"/>
  <c r="E17" i="12"/>
  <c r="E16" i="12"/>
  <c r="E15" i="12"/>
  <c r="E14" i="12"/>
  <c r="E13" i="12"/>
  <c r="E12" i="12"/>
  <c r="E11" i="12"/>
  <c r="E10" i="12"/>
  <c r="E9" i="12"/>
  <c r="E8" i="12"/>
  <c r="B6" i="12"/>
  <c r="V6" i="12"/>
  <c r="T6" i="12"/>
  <c r="R6" i="12"/>
  <c r="O6" i="12"/>
  <c r="L6" i="12"/>
  <c r="I6" i="12"/>
  <c r="G6" i="12"/>
  <c r="D6" i="12"/>
  <c r="L18" i="6"/>
  <c r="L16" i="6"/>
  <c r="L14" i="6"/>
  <c r="L12" i="6"/>
  <c r="L10" i="6"/>
  <c r="L8" i="6"/>
  <c r="R18" i="6"/>
  <c r="R16" i="6"/>
  <c r="R14" i="6"/>
  <c r="R12" i="6"/>
  <c r="R10" i="6"/>
  <c r="R8" i="6"/>
</calcChain>
</file>

<file path=xl/sharedStrings.xml><?xml version="1.0" encoding="utf-8"?>
<sst xmlns="http://schemas.openxmlformats.org/spreadsheetml/2006/main" count="5372" uniqueCount="1870">
  <si>
    <t>duration_ms</t>
  </si>
  <si>
    <t>time_signature</t>
  </si>
  <si>
    <t>tempo</t>
  </si>
  <si>
    <t>valence</t>
  </si>
  <si>
    <t>liveness</t>
  </si>
  <si>
    <t>instrumentalness</t>
  </si>
  <si>
    <t>acousticness</t>
  </si>
  <si>
    <t>speechiness</t>
  </si>
  <si>
    <t>key</t>
  </si>
  <si>
    <t>mode</t>
  </si>
  <si>
    <t>loudness</t>
  </si>
  <si>
    <t>energy</t>
  </si>
  <si>
    <t>danceability</t>
  </si>
  <si>
    <t>artist_pop</t>
  </si>
  <si>
    <t>Videos_created</t>
  </si>
  <si>
    <t>virality</t>
  </si>
  <si>
    <t>Yes</t>
  </si>
  <si>
    <t>No</t>
  </si>
  <si>
    <t>Virality</t>
  </si>
  <si>
    <t>Grand Total</t>
  </si>
  <si>
    <t>Count of virality</t>
  </si>
  <si>
    <t>Row Labels</t>
  </si>
  <si>
    <t>Key</t>
  </si>
  <si>
    <t xml:space="preserve">   TRENDING SONG STATISTICS</t>
  </si>
  <si>
    <t>RIGHT</t>
  </si>
  <si>
    <t>BR</t>
  </si>
  <si>
    <t>UL</t>
  </si>
  <si>
    <t>BL</t>
  </si>
  <si>
    <t>Danceability</t>
  </si>
  <si>
    <t>Loudness</t>
  </si>
  <si>
    <t>Mode</t>
  </si>
  <si>
    <t>Speechiness</t>
  </si>
  <si>
    <t>Predicted Artist Scores</t>
  </si>
  <si>
    <t>Acousticness</t>
  </si>
  <si>
    <t>Instrumentalness</t>
  </si>
  <si>
    <t>Liveliness</t>
  </si>
  <si>
    <t>Tempo</t>
  </si>
  <si>
    <t xml:space="preserve">  Virality</t>
  </si>
  <si>
    <t>Sum of Videos_created</t>
  </si>
  <si>
    <t>#1</t>
  </si>
  <si>
    <t>#2</t>
  </si>
  <si>
    <t>#3</t>
  </si>
  <si>
    <t>#4</t>
  </si>
  <si>
    <t>#5</t>
  </si>
  <si>
    <t xml:space="preserve">Artist Popularity  </t>
  </si>
  <si>
    <t xml:space="preserve">    Videos Created  </t>
  </si>
  <si>
    <t>Woahh</t>
  </si>
  <si>
    <t>Jufu</t>
  </si>
  <si>
    <t>Oh No I Got a Disease</t>
  </si>
  <si>
    <t>Buss Crew</t>
  </si>
  <si>
    <t>I Wish</t>
  </si>
  <si>
    <t>Skee-Lo</t>
  </si>
  <si>
    <t>I Wish - Radio Edit</t>
  </si>
  <si>
    <t>Celebration (double disc version)</t>
  </si>
  <si>
    <t>Madonna</t>
  </si>
  <si>
    <t>Material Girl</t>
  </si>
  <si>
    <t>Skinny Legend Anthem</t>
  </si>
  <si>
    <t>Ava Louise</t>
  </si>
  <si>
    <t>Wanna Be Like You</t>
  </si>
  <si>
    <t>Jacob</t>
  </si>
  <si>
    <t>Waitress (Original Broadway Cast Recording)</t>
  </si>
  <si>
    <t>Christopher Fitzgerald</t>
  </si>
  <si>
    <t>Never Ever Getting Rid of Me</t>
  </si>
  <si>
    <t>The Stereo Love Show</t>
  </si>
  <si>
    <t>Edward Maya</t>
  </si>
  <si>
    <t>Stereo Love</t>
  </si>
  <si>
    <t>Eenie Meenie</t>
  </si>
  <si>
    <t>Sean Kingston</t>
  </si>
  <si>
    <t>Heathers: The Musical (World Premiere Cast Recording)</t>
  </si>
  <si>
    <t>Jon Eidson</t>
  </si>
  <si>
    <t>Big Fun</t>
  </si>
  <si>
    <t>7 Leben</t>
  </si>
  <si>
    <t>Dschinghis Khan</t>
  </si>
  <si>
    <t>Moskau</t>
  </si>
  <si>
    <t>Lover</t>
  </si>
  <si>
    <t>Taylor Swift</t>
  </si>
  <si>
    <t>You Need To Calm Down</t>
  </si>
  <si>
    <t>Psycho!</t>
  </si>
  <si>
    <t>MASN</t>
  </si>
  <si>
    <t>Orichalcos</t>
  </si>
  <si>
    <t>Ultradiox</t>
  </si>
  <si>
    <t>Walked In</t>
  </si>
  <si>
    <t>GOODMORNINGTOKYO!</t>
  </si>
  <si>
    <t>TOKYOâ€™S REVENGE</t>
  </si>
  <si>
    <t>Memoirs of an imperfect Angel (International Version)</t>
  </si>
  <si>
    <t>Mariah Carey</t>
  </si>
  <si>
    <t>Obsessed</t>
  </si>
  <si>
    <t>COSMIC</t>
  </si>
  <si>
    <t>Bazzi</t>
  </si>
  <si>
    <t>Myself</t>
  </si>
  <si>
    <t>Harmony</t>
  </si>
  <si>
    <t>Never Shout Never</t>
  </si>
  <si>
    <t>cheatercheaterbestfriendeater</t>
  </si>
  <si>
    <t>Melly vs. Melvin</t>
  </si>
  <si>
    <t>YNW Melly</t>
  </si>
  <si>
    <t>223's (feat. 9lokknine)</t>
  </si>
  <si>
    <t>WTF</t>
  </si>
  <si>
    <t>Young Spool</t>
  </si>
  <si>
    <t>Utamonogatari Special Edition (Original Soundtrack)</t>
  </si>
  <si>
    <t>ç‰©èªžã‚·ãƒªãƒ¼ã‚º</t>
  </si>
  <si>
    <t>æ‹æ„›ã‚µãƒ¼ã‚­ãƒ¥ãƒ¬ãƒ¼ã‚·ãƒ§ãƒ³</t>
  </si>
  <si>
    <t>The Great Milenko</t>
  </si>
  <si>
    <t>Insane Clown Posse</t>
  </si>
  <si>
    <t>Hokus Pokus</t>
  </si>
  <si>
    <t>This Is for Rachel</t>
  </si>
  <si>
    <t>Gxrrixon</t>
  </si>
  <si>
    <t>Girl Code</t>
  </si>
  <si>
    <t>City Girls</t>
  </si>
  <si>
    <t>Act Up</t>
  </si>
  <si>
    <t>Yung Gravity - EP</t>
  </si>
  <si>
    <t>Yung Gravy</t>
  </si>
  <si>
    <t>Forget Me Thots</t>
  </si>
  <si>
    <t>La La Land (Original Motion Picture Soundtrack)</t>
  </si>
  <si>
    <t>La La Land Cast</t>
  </si>
  <si>
    <t>Another Day Of Sun</t>
  </si>
  <si>
    <t>Lil Boat 2</t>
  </si>
  <si>
    <t>Lil Yachty</t>
  </si>
  <si>
    <t>MICKEY</t>
  </si>
  <si>
    <t>Sin City</t>
  </si>
  <si>
    <t>Chrishan</t>
  </si>
  <si>
    <t>Sincerely, Tokyo</t>
  </si>
  <si>
    <t>MadeinTYO</t>
  </si>
  <si>
    <t>Chucky Cheese</t>
  </si>
  <si>
    <t>Sweetener</t>
  </si>
  <si>
    <t>Ariana Grande</t>
  </si>
  <si>
    <t>successful</t>
  </si>
  <si>
    <t>Nicotine</t>
  </si>
  <si>
    <t>Trevor Daniel</t>
  </si>
  <si>
    <t>Falling</t>
  </si>
  <si>
    <t>Six: The Musical (Studio Cast Recording)</t>
  </si>
  <si>
    <t>SIX</t>
  </si>
  <si>
    <t>Get Down</t>
  </si>
  <si>
    <t>hot girl bummer</t>
  </si>
  <si>
    <t>blackbear</t>
  </si>
  <si>
    <t>Monsters, Inc. (Original Motion Picture Soundtrack)</t>
  </si>
  <si>
    <t>Randy Newman</t>
  </si>
  <si>
    <t>Monsters, Inc.</t>
  </si>
  <si>
    <t>Baby Yoda</t>
  </si>
  <si>
    <t>Song a Day</t>
  </si>
  <si>
    <t>It's You</t>
  </si>
  <si>
    <t>Ali Gatie</t>
  </si>
  <si>
    <t>Holo</t>
  </si>
  <si>
    <t>Limbo</t>
  </si>
  <si>
    <t>Airplane Mode</t>
  </si>
  <si>
    <t>Ligma</t>
  </si>
  <si>
    <t>Billy Marchiafava</t>
  </si>
  <si>
    <t>Proudly Present... A Guide to Love, Loss &amp; Desperation</t>
  </si>
  <si>
    <t>The Wombats</t>
  </si>
  <si>
    <t>Kill the Director</t>
  </si>
  <si>
    <t>Y U Gotta B Like That</t>
  </si>
  <si>
    <t>Audrey Mika</t>
  </si>
  <si>
    <t>Eazy-Duz-It</t>
  </si>
  <si>
    <t>Eazy-E</t>
  </si>
  <si>
    <t>No More ?'s</t>
  </si>
  <si>
    <t>souljaboytellem.com</t>
  </si>
  <si>
    <t>Soulja Boy</t>
  </si>
  <si>
    <t>Crank That (Soulja Boy)</t>
  </si>
  <si>
    <t>Cannibal (Expanded Edition)</t>
  </si>
  <si>
    <t>Kesha</t>
  </si>
  <si>
    <t>We R Who We R</t>
  </si>
  <si>
    <t>Sundown (Original Motion Picture Soundtrack)</t>
  </si>
  <si>
    <t>Alexandra Stan</t>
  </si>
  <si>
    <t>Mr. Saxobeat - Radio Edit</t>
  </si>
  <si>
    <t>A Thousand Years</t>
  </si>
  <si>
    <t>Christina Perri</t>
  </si>
  <si>
    <t>The Weekend (Funk Wav Remix)</t>
  </si>
  <si>
    <t>SZA</t>
  </si>
  <si>
    <t>The Weekend - Funk Wav Remix</t>
  </si>
  <si>
    <t>Human</t>
  </si>
  <si>
    <t>dodie</t>
  </si>
  <si>
    <t>Not What I Meant (feat. Lewis Watson)</t>
  </si>
  <si>
    <t>Step Up Soundtrack</t>
  </si>
  <si>
    <t>Ciara</t>
  </si>
  <si>
    <t>Get Up (feat. Chamillionaire)</t>
  </si>
  <si>
    <t>Hot Pink</t>
  </si>
  <si>
    <t>Doja Cat</t>
  </si>
  <si>
    <t>Say So</t>
  </si>
  <si>
    <t>Go Champ Go</t>
  </si>
  <si>
    <t>The Champs</t>
  </si>
  <si>
    <t>Tequila</t>
  </si>
  <si>
    <t>If the World Was Ending (feat. Julia Michaels)</t>
  </si>
  <si>
    <t>JP Saxe</t>
  </si>
  <si>
    <t>The Classic Years: 1956-1962</t>
  </si>
  <si>
    <t>Bobby Helms</t>
  </si>
  <si>
    <t>Jingle Bell Rock</t>
  </si>
  <si>
    <t>Merry Christmas</t>
  </si>
  <si>
    <t>All I Want for Christmas Is You</t>
  </si>
  <si>
    <t>#3 Deluxe Version</t>
  </si>
  <si>
    <t>The Script</t>
  </si>
  <si>
    <t>Hall of Fame (feat. will.i.am)</t>
  </si>
  <si>
    <t>Warrior (Expanded Edition)</t>
  </si>
  <si>
    <t>C'Mon</t>
  </si>
  <si>
    <t>Cavetown</t>
  </si>
  <si>
    <t>Devil Town</t>
  </si>
  <si>
    <t>Let Me Hit It</t>
  </si>
  <si>
    <t>Sporty-O</t>
  </si>
  <si>
    <t>Let Me Hit It - Audiostalkers Original Mix</t>
  </si>
  <si>
    <t>Entropy (2014 Original)</t>
  </si>
  <si>
    <t>Awkward Marina</t>
  </si>
  <si>
    <t>Cherry Cola</t>
  </si>
  <si>
    <t>Kuwada</t>
  </si>
  <si>
    <t>The Beach Boys Love Songs</t>
  </si>
  <si>
    <t>The Beach Boys</t>
  </si>
  <si>
    <t>Wouldn't It Be Nice - Remastered 1999</t>
  </si>
  <si>
    <t>Teen Beach Movie</t>
  </si>
  <si>
    <t>Ross Lynch</t>
  </si>
  <si>
    <t>Can't Stop Singing</t>
  </si>
  <si>
    <t>Sadnecessary</t>
  </si>
  <si>
    <t>Milky Chance</t>
  </si>
  <si>
    <t>Stolen Dance</t>
  </si>
  <si>
    <t>I Lived</t>
  </si>
  <si>
    <t>Kenny Packer</t>
  </si>
  <si>
    <t>Rather Be (feat. Jess Glynne)</t>
  </si>
  <si>
    <t>Clean Bandit</t>
  </si>
  <si>
    <t>Mail on Sunday</t>
  </si>
  <si>
    <t>Flo Rida</t>
  </si>
  <si>
    <t>Low (feat. T-Pain)</t>
  </si>
  <si>
    <t>Colour Collection</t>
  </si>
  <si>
    <t>Gloria Gaynor</t>
  </si>
  <si>
    <t>I Will Survive - Single Version</t>
  </si>
  <si>
    <t>I Can't Handle Change</t>
  </si>
  <si>
    <t>Roar</t>
  </si>
  <si>
    <t>Sharp on All 4 Corners: Corner 1</t>
  </si>
  <si>
    <t>E-40</t>
  </si>
  <si>
    <t>Choices (Yup)</t>
  </si>
  <si>
    <t>The Hunchback of Notre Dame (Studio Cast Recording)</t>
  </si>
  <si>
    <t>Patrick Page</t>
  </si>
  <si>
    <t>Out There</t>
  </si>
  <si>
    <t>#AndSeeThatsTheThing</t>
  </si>
  <si>
    <t>DeJ Loaf</t>
  </si>
  <si>
    <t>Back Up (feat. Big Sean)</t>
  </si>
  <si>
    <t>Bangers[2].Zip</t>
  </si>
  <si>
    <t>GRiZ</t>
  </si>
  <si>
    <t>Griztronics</t>
  </si>
  <si>
    <t>The Truth About Love</t>
  </si>
  <si>
    <t>P!nk</t>
  </si>
  <si>
    <t>Just Give Me a Reason (feat. Nate Ruess)</t>
  </si>
  <si>
    <t>Ta Dah</t>
  </si>
  <si>
    <t>Scissor Sisters</t>
  </si>
  <si>
    <t>I Can't Decide</t>
  </si>
  <si>
    <t>Drip Boy</t>
  </si>
  <si>
    <t>Saint Bone</t>
  </si>
  <si>
    <t>I Love You.</t>
  </si>
  <si>
    <t>The Neighbourhood</t>
  </si>
  <si>
    <t>Sweater Weather</t>
  </si>
  <si>
    <t>No Idea</t>
  </si>
  <si>
    <t>Don Toliver</t>
  </si>
  <si>
    <t>All This Bad Blood</t>
  </si>
  <si>
    <t>Bastille</t>
  </si>
  <si>
    <t>Pompeii</t>
  </si>
  <si>
    <t>Chanel</t>
  </si>
  <si>
    <t>Frank Ocean</t>
  </si>
  <si>
    <t>It's Not Me, It's You</t>
  </si>
  <si>
    <t>Lily Allen</t>
  </si>
  <si>
    <t>Fuck You</t>
  </si>
  <si>
    <t>Cartier</t>
  </si>
  <si>
    <t>Dopebwoy</t>
  </si>
  <si>
    <t>Pure Heroine (Extended)</t>
  </si>
  <si>
    <t>Lorde</t>
  </si>
  <si>
    <t>The Love Club</t>
  </si>
  <si>
    <t>A.M.</t>
  </si>
  <si>
    <t>Lonr.</t>
  </si>
  <si>
    <t>Amour plastique</t>
  </si>
  <si>
    <t>Videoclub</t>
  </si>
  <si>
    <t>Making Mirrors (Deluxe)</t>
  </si>
  <si>
    <t>Gotye</t>
  </si>
  <si>
    <t>Somebody That I Used To Know</t>
  </si>
  <si>
    <t>i think you think too much of me</t>
  </si>
  <si>
    <t>EDEN</t>
  </si>
  <si>
    <t>sex</t>
  </si>
  <si>
    <t>u U U U u U did i mfken stutter?</t>
  </si>
  <si>
    <t>swimcoach</t>
  </si>
  <si>
    <t>The Best Of Patience &amp; Prudence</t>
  </si>
  <si>
    <t>Patience &amp; Prudence</t>
  </si>
  <si>
    <t>Tonight You Belong To Me</t>
  </si>
  <si>
    <t>hopeless fountain kingdom (Deluxe)</t>
  </si>
  <si>
    <t>Halsey</t>
  </si>
  <si>
    <t>Walls Could Talk</t>
  </si>
  <si>
    <t>It's Up Freestyle</t>
  </si>
  <si>
    <t>Lil Keed</t>
  </si>
  <si>
    <t>Good Morning</t>
  </si>
  <si>
    <t>Mak Sauce</t>
  </si>
  <si>
    <t>Wayy 2 Kritical</t>
  </si>
  <si>
    <t>K CAMP</t>
  </si>
  <si>
    <t>Lottery (Renegade)</t>
  </si>
  <si>
    <t>Leaked</t>
  </si>
  <si>
    <t>Lil Tjay</t>
  </si>
  <si>
    <t>Pink Friday</t>
  </si>
  <si>
    <t>Nicki Minaj</t>
  </si>
  <si>
    <t>Moment 4 Life</t>
  </si>
  <si>
    <t>Fearless (Big Machine Radio Release Special)</t>
  </si>
  <si>
    <t>You Belong With Me</t>
  </si>
  <si>
    <t>DROPPED OUTTA COLLEGE</t>
  </si>
  <si>
    <t>24kGoldn</t>
  </si>
  <si>
    <t>VALENTINO</t>
  </si>
  <si>
    <t>Dingo Christmas Season</t>
  </si>
  <si>
    <t>Bandingo YGNE</t>
  </si>
  <si>
    <t>Baby Powder</t>
  </si>
  <si>
    <t>Minnie's Favorites (Songs from ""Mickey Mouse Clubhouse"")</t>
  </si>
  <si>
    <t>They Might Be Giants (For Kids)</t>
  </si>
  <si>
    <t>Hot Dog!</t>
  </si>
  <si>
    <t>Oh Nanana Challenge</t>
  </si>
  <si>
    <t>Bonde R300</t>
  </si>
  <si>
    <t>Change Ya Life</t>
  </si>
  <si>
    <t>Haiti Babii</t>
  </si>
  <si>
    <t>Cha Cha</t>
  </si>
  <si>
    <t>Freddie Dredd</t>
  </si>
  <si>
    <t>Remixes &amp; Covers</t>
  </si>
  <si>
    <t>The Young Professionals</t>
  </si>
  <si>
    <t>Video Games</t>
  </si>
  <si>
    <t>Best Friend</t>
  </si>
  <si>
    <t>Rex Orange County</t>
  </si>
  <si>
    <t>You Are Going to Hate This</t>
  </si>
  <si>
    <t>The Frights</t>
  </si>
  <si>
    <t>Tungs</t>
  </si>
  <si>
    <t>Dancin (feat. Luvli) [Krono Remix]</t>
  </si>
  <si>
    <t>Aaron Smith</t>
  </si>
  <si>
    <t>Dancin (feat. Luvli) - Krono Remix</t>
  </si>
  <si>
    <t>My Worlds (International Version)</t>
  </si>
  <si>
    <t>Justin Bieber</t>
  </si>
  <si>
    <t>Love Me</t>
  </si>
  <si>
    <t>I'm Gonna Show You Crazy</t>
  </si>
  <si>
    <t>Bebe Rexha</t>
  </si>
  <si>
    <t>Sweet Caroline</t>
  </si>
  <si>
    <t>Neil Diamond</t>
  </si>
  <si>
    <t>L.O.V.E.</t>
  </si>
  <si>
    <t>Harrison Craig</t>
  </si>
  <si>
    <t>The Fame Monster (International Deluxe)</t>
  </si>
  <si>
    <t>Lady Gaga</t>
  </si>
  <si>
    <t>Poker Face</t>
  </si>
  <si>
    <t>SremmLife</t>
  </si>
  <si>
    <t>Rae Sremmurd</t>
  </si>
  <si>
    <t>This Could Be Us</t>
  </si>
  <si>
    <t>Amala</t>
  </si>
  <si>
    <t>Candy</t>
  </si>
  <si>
    <t>All You Wanna Do</t>
  </si>
  <si>
    <t>The Much Much How How and I</t>
  </si>
  <si>
    <t>Cosmo Sheldrake</t>
  </si>
  <si>
    <t>Birthday Suit</t>
  </si>
  <si>
    <t>Bcos U Will Never B Free</t>
  </si>
  <si>
    <t>Corduroy Dreams</t>
  </si>
  <si>
    <t>ok boomer</t>
  </si>
  <si>
    <t>Peter Kuli</t>
  </si>
  <si>
    <t>ok boomer (feat. Jed Will)</t>
  </si>
  <si>
    <t>Good Girl Gone Bad: Reloaded</t>
  </si>
  <si>
    <t>Rihanna</t>
  </si>
  <si>
    <t>Disturbia</t>
  </si>
  <si>
    <t>The Family Jewels</t>
  </si>
  <si>
    <t>MARINA</t>
  </si>
  <si>
    <t>Oh No!</t>
  </si>
  <si>
    <t>Cleopatra (Deluxe)</t>
  </si>
  <si>
    <t>The Lumineers</t>
  </si>
  <si>
    <t>Ophelia</t>
  </si>
  <si>
    <t>Crust Fm</t>
  </si>
  <si>
    <t>Engelwood</t>
  </si>
  <si>
    <t>Crystal Dolphin</t>
  </si>
  <si>
    <t>Indigo</t>
  </si>
  <si>
    <t>88rising</t>
  </si>
  <si>
    <t>Voices</t>
  </si>
  <si>
    <t>Daryl Hall &amp; John Oates</t>
  </si>
  <si>
    <t>You Make My Dreams (Come True)</t>
  </si>
  <si>
    <t>Stranger Things: Soundtrack from the Netflix Original Series, Season 3</t>
  </si>
  <si>
    <t>Gaten Matarazzo</t>
  </si>
  <si>
    <t>Never Ending Story</t>
  </si>
  <si>
    <t>Ride It</t>
  </si>
  <si>
    <t>Regard</t>
  </si>
  <si>
    <t>I Love It</t>
  </si>
  <si>
    <t>Kanye West</t>
  </si>
  <si>
    <t>I Love It (&amp; Lil Pump)</t>
  </si>
  <si>
    <t>I Don't Care (with Justin Bieber)</t>
  </si>
  <si>
    <t>Ed Sheeran</t>
  </si>
  <si>
    <t>7 rings</t>
  </si>
  <si>
    <t>Champion Status</t>
  </si>
  <si>
    <t>Championxiii</t>
  </si>
  <si>
    <t>Becky</t>
  </si>
  <si>
    <t>The Muffin Song (asdfmovie)</t>
  </si>
  <si>
    <t>The Gregory Brothers</t>
  </si>
  <si>
    <t>Eyes. Lips. Face.</t>
  </si>
  <si>
    <t>iLL Wayno</t>
  </si>
  <si>
    <t>Be Gone Thot!</t>
  </si>
  <si>
    <t>LIL MAYO</t>
  </si>
  <si>
    <t>Hurry Up, We're Dreaming</t>
  </si>
  <si>
    <t>M83</t>
  </si>
  <si>
    <t>Midnight City</t>
  </si>
  <si>
    <t>Rockefeller Street (New Nightcore) [#Rockefellerstreet Remix]</t>
  </si>
  <si>
    <t>Getter Jaani</t>
  </si>
  <si>
    <t>Take Your Man</t>
  </si>
  <si>
    <t>Mahogany Lox</t>
  </si>
  <si>
    <t>The Chordettes</t>
  </si>
  <si>
    <t>Mr. Sandman</t>
  </si>
  <si>
    <t>ICY</t>
  </si>
  <si>
    <t>Saweetie</t>
  </si>
  <si>
    <t>My Type</t>
  </si>
  <si>
    <t>You Reposted in the Wrong Neighborhood I Glue70 Mashup</t>
  </si>
  <si>
    <t>Shokk</t>
  </si>
  <si>
    <t>Panini</t>
  </si>
  <si>
    <t>Lil Nas X</t>
  </si>
  <si>
    <t>We Love You Tecca</t>
  </si>
  <si>
    <t>Lil Tecca</t>
  </si>
  <si>
    <t>Ransom</t>
  </si>
  <si>
    <t>Bawskee</t>
  </si>
  <si>
    <t>Comethazine</t>
  </si>
  <si>
    <t>Walk</t>
  </si>
  <si>
    <t>Shh</t>
  </si>
  <si>
    <t>Young Fanatic</t>
  </si>
  <si>
    <t>Wannabe</t>
  </si>
  <si>
    <t>why mona</t>
  </si>
  <si>
    <t>Wii Shop</t>
  </si>
  <si>
    <t>Iceboy Ben</t>
  </si>
  <si>
    <t>Wii Shop - Instrumental</t>
  </si>
  <si>
    <t>Wild Heart</t>
  </si>
  <si>
    <t>Current Joys</t>
  </si>
  <si>
    <t>New Flesh</t>
  </si>
  <si>
    <t>Smack a Bitch</t>
  </si>
  <si>
    <t>Rico Nasty</t>
  </si>
  <si>
    <t>No Rain No Flowers</t>
  </si>
  <si>
    <t>Ant Beale</t>
  </si>
  <si>
    <t>Sunshine</t>
  </si>
  <si>
    <t>Gordon Ramsay</t>
  </si>
  <si>
    <t>HL Wave</t>
  </si>
  <si>
    <t>Fever</t>
  </si>
  <si>
    <t>Megan Thee Stallion</t>
  </si>
  <si>
    <t>Cash Shit (feat. DaBaby)</t>
  </si>
  <si>
    <t>we fell in love in october / forget her</t>
  </si>
  <si>
    <t>girl in red</t>
  </si>
  <si>
    <t>we fell in love in october</t>
  </si>
  <si>
    <t>YOU</t>
  </si>
  <si>
    <t>Jump Up, Super Star!</t>
  </si>
  <si>
    <t>VGR</t>
  </si>
  <si>
    <t>Galactic Mermaid (From ""Carole &amp; Tuesday"")</t>
  </si>
  <si>
    <t>Kuraiinu</t>
  </si>
  <si>
    <t>Cuz I Love You (Deluxe)</t>
  </si>
  <si>
    <t>Lizzo</t>
  </si>
  <si>
    <t>Truth Hurts</t>
  </si>
  <si>
    <t>Liar</t>
  </si>
  <si>
    <t>BigKlit</t>
  </si>
  <si>
    <t>Coco (Original Motion Picture Soundtrack)</t>
  </si>
  <si>
    <t>Anthony Gonzalez</t>
  </si>
  <si>
    <t>Un Poco Loco</t>
  </si>
  <si>
    <t>Gm Say It Back</t>
  </si>
  <si>
    <t>Killua the Pilgrim</t>
  </si>
  <si>
    <t>Madagascar: Escape 2 Africa (Music From The Motion Picture)</t>
  </si>
  <si>
    <t>will.i.am</t>
  </si>
  <si>
    <t>Big And Chunky</t>
  </si>
  <si>
    <t>Asshole</t>
  </si>
  <si>
    <t>hooligan chase</t>
  </si>
  <si>
    <t>Bad Ideas</t>
  </si>
  <si>
    <t>Tessa Violet</t>
  </si>
  <si>
    <t>Crush</t>
  </si>
  <si>
    <t>U Was At The Club (Bottoms Up)</t>
  </si>
  <si>
    <t>The Boyboy West Coast</t>
  </si>
  <si>
    <t>Make You Mine</t>
  </si>
  <si>
    <t>PUBLIC</t>
  </si>
  <si>
    <t>Needs</t>
  </si>
  <si>
    <t>Verzache</t>
  </si>
  <si>
    <t>Who R U</t>
  </si>
  <si>
    <t>Flamingo</t>
  </si>
  <si>
    <t>Kero Kero Bonito</t>
  </si>
  <si>
    <t>Thousand Peaces</t>
  </si>
  <si>
    <t>Absofacto</t>
  </si>
  <si>
    <t>Dissolve</t>
  </si>
  <si>
    <t>Pumpkins scream in the dead of night</t>
  </si>
  <si>
    <t>Savage Ga$p</t>
  </si>
  <si>
    <t>Marlboro Nights</t>
  </si>
  <si>
    <t>Lonely God</t>
  </si>
  <si>
    <t>tobi lou and the Loop - EP</t>
  </si>
  <si>
    <t>tobi lou</t>
  </si>
  <si>
    <t>Buff Baby</t>
  </si>
  <si>
    <t>Mia Khalifa</t>
  </si>
  <si>
    <t>iLOVEFRiDAY</t>
  </si>
  <si>
    <t>Boys</t>
  </si>
  <si>
    <t>Ghost Duet</t>
  </si>
  <si>
    <t>Louie Zong</t>
  </si>
  <si>
    <t>Preseason EP</t>
  </si>
  <si>
    <t>DJ Scheme</t>
  </si>
  <si>
    <t>How You Feel? (Freestyle) (feat. Lil Yachty &amp; Ski Mask The Slump God)</t>
  </si>
  <si>
    <t>UNDERTALE Soundtrack</t>
  </si>
  <si>
    <t>Toby Fox</t>
  </si>
  <si>
    <t>Shop</t>
  </si>
  <si>
    <t>Womp Womp</t>
  </si>
  <si>
    <t>Valee</t>
  </si>
  <si>
    <t>Lalala</t>
  </si>
  <si>
    <t>Y2K</t>
  </si>
  <si>
    <t>HighDefGang Vol.1</t>
  </si>
  <si>
    <t>ZaeHD &amp; CEO</t>
  </si>
  <si>
    <t>ALL IN</t>
  </si>
  <si>
    <t>LM5 (Deluxe)</t>
  </si>
  <si>
    <t>Little Mix</t>
  </si>
  <si>
    <t>Wasabi</t>
  </si>
  <si>
    <t>Foreign Ororo (Special Edition)</t>
  </si>
  <si>
    <t>Riton</t>
  </si>
  <si>
    <t>Fake ID</t>
  </si>
  <si>
    <t>CRACKHEAD</t>
  </si>
  <si>
    <t>Walk Man</t>
  </si>
  <si>
    <t>Tiny Meat Gang</t>
  </si>
  <si>
    <t>Tunnel of Love</t>
  </si>
  <si>
    <t>ilyTOMMY</t>
  </si>
  <si>
    <t>Uno</t>
  </si>
  <si>
    <t>Ambjaay</t>
  </si>
  <si>
    <t>Light of Mine (Deluxe)</t>
  </si>
  <si>
    <t>KYLE</t>
  </si>
  <si>
    <t>Hey Julie! (feat. Lil Yachty)</t>
  </si>
  <si>
    <t>Pop Food</t>
  </si>
  <si>
    <t>Jack Stauber</t>
  </si>
  <si>
    <t>Buttercup</t>
  </si>
  <si>
    <t>STOKELEY</t>
  </si>
  <si>
    <t>Ski Mask The Slump God</t>
  </si>
  <si>
    <t>Faucet Failure</t>
  </si>
  <si>
    <t>Annie (Original Motion Picture Soundtrack)</t>
  </si>
  <si>
    <t>QuvenzhanÃ© Wallis</t>
  </si>
  <si>
    <t>It's The Hard-Knock Life</t>
  </si>
  <si>
    <t>YKWTFGO</t>
  </si>
  <si>
    <t>Stunna Girl</t>
  </si>
  <si>
    <t>Runway</t>
  </si>
  <si>
    <t>Femme Fatale (Deluxe Version)</t>
  </si>
  <si>
    <t>Britney Spears</t>
  </si>
  <si>
    <t>Criminal</t>
  </si>
  <si>
    <t>the masquerade</t>
  </si>
  <si>
    <t>mxmtoon</t>
  </si>
  <si>
    <t>prom dress</t>
  </si>
  <si>
    <t>Sings His Favorites</t>
  </si>
  <si>
    <t>Paul Anka</t>
  </si>
  <si>
    <t>Put Your Head on My Shoulder</t>
  </si>
  <si>
    <t>So Dark The Con Of Man</t>
  </si>
  <si>
    <t>Madcon</t>
  </si>
  <si>
    <t>Beggin (original version)</t>
  </si>
  <si>
    <t>Shine</t>
  </si>
  <si>
    <t>Estelle</t>
  </si>
  <si>
    <t>American Boy</t>
  </si>
  <si>
    <t>ROXANNE</t>
  </si>
  <si>
    <t>Arizona Zervas</t>
  </si>
  <si>
    <t>I Don't Mind (feat. Juicy J)</t>
  </si>
  <si>
    <t>Usher</t>
  </si>
  <si>
    <t>7 EP</t>
  </si>
  <si>
    <t>Old Town Road</t>
  </si>
  <si>
    <t>Yellow Hearts</t>
  </si>
  <si>
    <t>Ant Saunders</t>
  </si>
  <si>
    <t>Sinatra/Basie: The Complete Reprise Studio Recordings</t>
  </si>
  <si>
    <t>Frank Sinatra</t>
  </si>
  <si>
    <t>Fly Me To The Moon (In Other Words)</t>
  </si>
  <si>
    <t>Vibin'</t>
  </si>
  <si>
    <t>Kesh Kesh</t>
  </si>
  <si>
    <t>Theres Still Us</t>
  </si>
  <si>
    <t>Swell</t>
  </si>
  <si>
    <t>I'm Sorry</t>
  </si>
  <si>
    <t>Whack World</t>
  </si>
  <si>
    <t>Tierra Whack</t>
  </si>
  <si>
    <t>Hungry Hippo</t>
  </si>
  <si>
    <t>Steppin'</t>
  </si>
  <si>
    <t>Supa Dupa Humble</t>
  </si>
  <si>
    <t>Woah (feat. D3Mstreet)</t>
  </si>
  <si>
    <t>KRYPTO9095</t>
  </si>
  <si>
    <t>Legs (From ""RuPaul's Drag Race 8"")</t>
  </si>
  <si>
    <t>Lucian Piane</t>
  </si>
  <si>
    <t>Don't Lose Ur Head</t>
  </si>
  <si>
    <t>Prom Queen</t>
  </si>
  <si>
    <t>Beach Bunny</t>
  </si>
  <si>
    <t>Beef FloMix</t>
  </si>
  <si>
    <t>Flo Milli</t>
  </si>
  <si>
    <t>Hi, It's Me</t>
  </si>
  <si>
    <t>Ashnikko</t>
  </si>
  <si>
    <t>STUPID (feat. Yung Baby Tate)</t>
  </si>
  <si>
    <t>Another Cinderella Story (Original Motion Picture Soundtrack)</t>
  </si>
  <si>
    <t>Selena Gomez</t>
  </si>
  <si>
    <t>Tell Me Something I Don't Know - Soundtrack</t>
  </si>
  <si>
    <t>God Bless Tiny Tim</t>
  </si>
  <si>
    <t>Tiny Tim</t>
  </si>
  <si>
    <t>Livin' in the Sunlight, Lovin' in the Moon Light</t>
  </si>
  <si>
    <t>Halloween Howls: Fun &amp; Scary Music</t>
  </si>
  <si>
    <t>Andrew Gold</t>
  </si>
  <si>
    <t>Spooky, Scary Skeletons</t>
  </si>
  <si>
    <t>ARDIPITHECUS</t>
  </si>
  <si>
    <t>WILLOW</t>
  </si>
  <si>
    <t>Wait a Minute!</t>
  </si>
  <si>
    <t>Just Did a Bad Thing</t>
  </si>
  <si>
    <t>Bill Wurtz</t>
  </si>
  <si>
    <t>The Drug In Me Is You</t>
  </si>
  <si>
    <t>Falling In Reverse</t>
  </si>
  <si>
    <t>Good Girls Bad Guys</t>
  </si>
  <si>
    <t>On A Roll</t>
  </si>
  <si>
    <t>Ashley O</t>
  </si>
  <si>
    <t>fast</t>
  </si>
  <si>
    <t>Sueco</t>
  </si>
  <si>
    <t>Bag Raiders (Deluxe)</t>
  </si>
  <si>
    <t>Bag Raiders</t>
  </si>
  <si>
    <t>Shooting Stars</t>
  </si>
  <si>
    <t>Falling for U</t>
  </si>
  <si>
    <t>Peachy!</t>
  </si>
  <si>
    <t>All Rebel Rockers</t>
  </si>
  <si>
    <t>Michael Franti &amp; Spearhead</t>
  </si>
  <si>
    <t>Say Hey (I Love You)</t>
  </si>
  <si>
    <t>The Git Up</t>
  </si>
  <si>
    <t>Blanco Brown</t>
  </si>
  <si>
    <t>By Your Side</t>
  </si>
  <si>
    <t>Breakbot</t>
  </si>
  <si>
    <t>Baby I'm Yours</t>
  </si>
  <si>
    <t>SALES - EP</t>
  </si>
  <si>
    <t>SALES</t>
  </si>
  <si>
    <t>Chinese New Year</t>
  </si>
  <si>
    <t>Metro Station</t>
  </si>
  <si>
    <t>Shake It</t>
  </si>
  <si>
    <t>Crust FM</t>
  </si>
  <si>
    <t>When The Sun Goes Down</t>
  </si>
  <si>
    <t>Selena Gomez &amp; The Scene</t>
  </si>
  <si>
    <t>Who Says</t>
  </si>
  <si>
    <t>BLAME IT ON BABY</t>
  </si>
  <si>
    <t>DaBaby</t>
  </si>
  <si>
    <t>ROCKSTAR (feat. Roddy Ricch)</t>
  </si>
  <si>
    <t>Dutty Rock</t>
  </si>
  <si>
    <t>Sean Paul</t>
  </si>
  <si>
    <t>Get Busy</t>
  </si>
  <si>
    <t>PCD</t>
  </si>
  <si>
    <t>The Pussycat Dolls</t>
  </si>
  <si>
    <t>Buttons</t>
  </si>
  <si>
    <t>Oops!... I Did It Again</t>
  </si>
  <si>
    <t>Lucky</t>
  </si>
  <si>
    <t>Unbroken</t>
  </si>
  <si>
    <t>Demi Lovato</t>
  </si>
  <si>
    <t>Give Your Heart a Break</t>
  </si>
  <si>
    <t>Pink Friday (Complete Edition)</t>
  </si>
  <si>
    <t>The Evolution</t>
  </si>
  <si>
    <t>Can't Leave 'Em Alone (feat. 50 Cent)</t>
  </si>
  <si>
    <t>Picture Show</t>
  </si>
  <si>
    <t>Neon Trees</t>
  </si>
  <si>
    <t>Everybody Talks</t>
  </si>
  <si>
    <t>Konvicted (Complete Edition)</t>
  </si>
  <si>
    <t>Akon</t>
  </si>
  <si>
    <t>I Wanna Love You</t>
  </si>
  <si>
    <t>Then Leave (feat. Queendom Come)</t>
  </si>
  <si>
    <t>BeatKing</t>
  </si>
  <si>
    <t>Rodeo</t>
  </si>
  <si>
    <t>feel something</t>
  </si>
  <si>
    <t>Bea Miller</t>
  </si>
  <si>
    <t>Snow Cougar</t>
  </si>
  <si>
    <t>Mr. Clean</t>
  </si>
  <si>
    <t>The Life Of Pablo</t>
  </si>
  <si>
    <t>Ultralight Beam</t>
  </si>
  <si>
    <t>Cheryl</t>
  </si>
  <si>
    <t>Sweet Action</t>
  </si>
  <si>
    <t>Jack Harlow</t>
  </si>
  <si>
    <t>WHATS POPPIN</t>
  </si>
  <si>
    <t>Addison Rae</t>
  </si>
  <si>
    <t>The Kid LAROI</t>
  </si>
  <si>
    <t>2014 Forest Hills Drive</t>
  </si>
  <si>
    <t>J. Cole</t>
  </si>
  <si>
    <t>No Role Modelz</t>
  </si>
  <si>
    <t>Go Go Go Who's Next?</t>
  </si>
  <si>
    <t>Hip Hop Harry</t>
  </si>
  <si>
    <t>Raydiation</t>
  </si>
  <si>
    <t>Ray J</t>
  </si>
  <si>
    <t>One Wish</t>
  </si>
  <si>
    <t>Interior Crocodile Alligator</t>
  </si>
  <si>
    <t>Chip Tha Ripper</t>
  </si>
  <si>
    <t>Party Party Party (feat. Chris Brown &amp; Dej Loaf)</t>
  </si>
  <si>
    <t>DJ Carisma</t>
  </si>
  <si>
    <t>Static</t>
  </si>
  <si>
    <t>Cults</t>
  </si>
  <si>
    <t>Always Forever</t>
  </si>
  <si>
    <t>Pocketful Of Sunshine</t>
  </si>
  <si>
    <t>Natasha Bedingfield</t>
  </si>
  <si>
    <t>Pocketful of Sunshine</t>
  </si>
  <si>
    <t>More Life</t>
  </si>
  <si>
    <t>Drake</t>
  </si>
  <si>
    <t>Get It Together</t>
  </si>
  <si>
    <t>Laxed (Siren Beat)</t>
  </si>
  <si>
    <t>Jawsh 685</t>
  </si>
  <si>
    <t>Laxed â€“ Siren Beat</t>
  </si>
  <si>
    <t>hate u love u</t>
  </si>
  <si>
    <t>Olivia O'Brien</t>
  </si>
  <si>
    <t>BALLADS 1</t>
  </si>
  <si>
    <t>Joji</t>
  </si>
  <si>
    <t>SLOW DANCING IN THE DARK</t>
  </si>
  <si>
    <t>Backyard Boogie</t>
  </si>
  <si>
    <t>J Boog</t>
  </si>
  <si>
    <t>Let's Do It Again</t>
  </si>
  <si>
    <t>B4 The Storm</t>
  </si>
  <si>
    <t>Internet Money</t>
  </si>
  <si>
    <t>Lemonade (feat. Gunna, Don Toliver &amp; NAV)</t>
  </si>
  <si>
    <t>Currents</t>
  </si>
  <si>
    <t>Tame Impala</t>
  </si>
  <si>
    <t>Let It Happen</t>
  </si>
  <si>
    <t>Different</t>
  </si>
  <si>
    <t>Devour</t>
  </si>
  <si>
    <t>To the Right</t>
  </si>
  <si>
    <t>Loose</t>
  </si>
  <si>
    <t>Nelly Furtado</t>
  </si>
  <si>
    <t>Say It Right</t>
  </si>
  <si>
    <t>When She Loved Me</t>
  </si>
  <si>
    <t>Lyn Lapid</t>
  </si>
  <si>
    <t>Ponteme Despalda</t>
  </si>
  <si>
    <t>Nfasis</t>
  </si>
  <si>
    <t>Pray 4 Love (Deluxe)</t>
  </si>
  <si>
    <t>Rod Wave</t>
  </si>
  <si>
    <t>Rags2Riches 2 (feat. Lil Baby)</t>
  </si>
  <si>
    <t>Banana (feat. Shaggy) [DJ FLe - Minisiren Remix]</t>
  </si>
  <si>
    <t>Conkarah</t>
  </si>
  <si>
    <t>Banana (feat. Shaggy) - DJ FLe - Minisiren Remix</t>
  </si>
  <si>
    <t>Crisis</t>
  </si>
  <si>
    <t>Jasiah</t>
  </si>
  <si>
    <t>I Still Am</t>
  </si>
  <si>
    <t>Yo Gotti</t>
  </si>
  <si>
    <t>Rake It Up (feat. Nicki Minaj)</t>
  </si>
  <si>
    <t>THICK (feat. Megan Thee Stallion) [Remix]</t>
  </si>
  <si>
    <t>DJ Chose</t>
  </si>
  <si>
    <t>THICK (feat. Megan Thee Stallion) - Remix</t>
  </si>
  <si>
    <t>Ho, why is you here ?</t>
  </si>
  <si>
    <t>May I</t>
  </si>
  <si>
    <t>Do It Again</t>
  </si>
  <si>
    <t>Pia Mia</t>
  </si>
  <si>
    <t>TKN (feat. Travis Scott)</t>
  </si>
  <si>
    <t>ROSALÃA</t>
  </si>
  <si>
    <t>Boss B*tch Music Vol. 3</t>
  </si>
  <si>
    <t>Rasheeda</t>
  </si>
  <si>
    <t>Marry Me</t>
  </si>
  <si>
    <t>Gangland Landlord</t>
  </si>
  <si>
    <t>Mozzy</t>
  </si>
  <si>
    <t>Famous (I'm The One) (feat. Yo Gotti &amp; DeJ Loaf)</t>
  </si>
  <si>
    <t>The Massacre</t>
  </si>
  <si>
    <t>50 Cent</t>
  </si>
  <si>
    <t>Disco Inferno</t>
  </si>
  <si>
    <t>Euphoria (Original Score from the HBO Series)</t>
  </si>
  <si>
    <t>Labrinth</t>
  </si>
  <si>
    <t>Still Don't Know My Name</t>
  </si>
  <si>
    <t>channel ORANGE</t>
  </si>
  <si>
    <t>Lost</t>
  </si>
  <si>
    <t>Let Go</t>
  </si>
  <si>
    <t>Ark Patrol</t>
  </si>
  <si>
    <t>Survive The Summer</t>
  </si>
  <si>
    <t>Iggy Azalea</t>
  </si>
  <si>
    <t>Kream (feat. Tyga)</t>
  </si>
  <si>
    <t>Million Dollar Mindset</t>
  </si>
  <si>
    <t>Likybo</t>
  </si>
  <si>
    <t>Kraazy</t>
  </si>
  <si>
    <t>iSpy (feat. Lil Yachty)</t>
  </si>
  <si>
    <t>Love Story (Taylorâ€™s Version)</t>
  </si>
  <si>
    <t>Yellow Hearts (feat. Audrey Mika)</t>
  </si>
  <si>
    <t>diary 001</t>
  </si>
  <si>
    <t>Clairo</t>
  </si>
  <si>
    <t>Hello?</t>
  </si>
  <si>
    <t>Ungodly Hour</t>
  </si>
  <si>
    <t>Chloe x Halle</t>
  </si>
  <si>
    <t>Do It</t>
  </si>
  <si>
    <t>Paris</t>
  </si>
  <si>
    <t>Else</t>
  </si>
  <si>
    <t>Aesthetic</t>
  </si>
  <si>
    <t>Xilo</t>
  </si>
  <si>
    <t>Wet (She Got Thatâ€¦)</t>
  </si>
  <si>
    <t>YFN Lucci</t>
  </si>
  <si>
    <t>Only The Young (Featured in Miss Americana)</t>
  </si>
  <si>
    <t>Only The Young - Featured in Miss Americana</t>
  </si>
  <si>
    <t>Motion</t>
  </si>
  <si>
    <t>Calvin Harris</t>
  </si>
  <si>
    <t>Outside (feat. Ellie Goulding)</t>
  </si>
  <si>
    <t>Ruby Blue</t>
  </si>
  <si>
    <t>RÃ³isÃ­n Murphy</t>
  </si>
  <si>
    <t>Ramalama (Bang Bang)</t>
  </si>
  <si>
    <t>Deep End Freestyle</t>
  </si>
  <si>
    <t>Sleepy Hallow</t>
  </si>
  <si>
    <t>Weezer (Green Album)</t>
  </si>
  <si>
    <t>Weezer</t>
  </si>
  <si>
    <t>Island In The Sun</t>
  </si>
  <si>
    <t>Queen (Deluxe)</t>
  </si>
  <si>
    <t>Good Form (feat. Lil Wayne) - Remix</t>
  </si>
  <si>
    <t>Tap In</t>
  </si>
  <si>
    <t>ANTI (Deluxe)</t>
  </si>
  <si>
    <t>Desperado</t>
  </si>
  <si>
    <t>F2020</t>
  </si>
  <si>
    <t>Avenue Beat</t>
  </si>
  <si>
    <t>Lemonade</t>
  </si>
  <si>
    <t>My Ordinary Life</t>
  </si>
  <si>
    <t>The Living Tombstone</t>
  </si>
  <si>
    <t>The Fame Monster (Deluxe Edition)</t>
  </si>
  <si>
    <t>Monster</t>
  </si>
  <si>
    <t>SweetSexySavage (Deluxe)</t>
  </si>
  <si>
    <t>Kehlani</t>
  </si>
  <si>
    <t>Gangsta</t>
  </si>
  <si>
    <t>Throw That Back Like a Cadillac</t>
  </si>
  <si>
    <t>El Memer</t>
  </si>
  <si>
    <t>Luv Is Rage 2 (Deluxe)</t>
  </si>
  <si>
    <t>Lil Uzi Vert</t>
  </si>
  <si>
    <t>20 Min</t>
  </si>
  <si>
    <t>Dancing in My Room</t>
  </si>
  <si>
    <t>347aidan</t>
  </si>
  <si>
    <t>Savage Remix (feat. BeyoncÃ©)</t>
  </si>
  <si>
    <t>Oracular Spectacular</t>
  </si>
  <si>
    <t>MGMT</t>
  </si>
  <si>
    <t>Electric Feel</t>
  </si>
  <si>
    <t>My Life</t>
  </si>
  <si>
    <t>Mary J. Blige</t>
  </si>
  <si>
    <t>Mary Jane (All Night Long)</t>
  </si>
  <si>
    <t>Superorganism</t>
  </si>
  <si>
    <t>Something For Your M.I.N.D.</t>
  </si>
  <si>
    <t>Presenting the Fabulous Ronettes Featuring Veronica</t>
  </si>
  <si>
    <t>The Ronettes</t>
  </si>
  <si>
    <t>Be My Baby</t>
  </si>
  <si>
    <t>Playsongs Rhyme Time</t>
  </si>
  <si>
    <t>Playsongs People</t>
  </si>
  <si>
    <t>Knock at the Door</t>
  </si>
  <si>
    <t>Please Excuse Me for Being Antisocial</t>
  </si>
  <si>
    <t>Roddy Ricch</t>
  </si>
  <si>
    <t>High Fashion (feat. Mustard)</t>
  </si>
  <si>
    <t>Smyle (Extended)</t>
  </si>
  <si>
    <t>Don't Wanna Fall In Love</t>
  </si>
  <si>
    <t>Paramore</t>
  </si>
  <si>
    <t>Still into You</t>
  </si>
  <si>
    <t>Yeezus</t>
  </si>
  <si>
    <t>Bound 2</t>
  </si>
  <si>
    <t>Bored In The House</t>
  </si>
  <si>
    <t>Tyga</t>
  </si>
  <si>
    <t>GOOBA</t>
  </si>
  <si>
    <t>6ix9ine</t>
  </si>
  <si>
    <t>R&amp;B Smooth Vibes</t>
  </si>
  <si>
    <t>Kaash Paige</t>
  </si>
  <si>
    <t>Love Songs</t>
  </si>
  <si>
    <t>After Hours</t>
  </si>
  <si>
    <t>The Weeknd</t>
  </si>
  <si>
    <t>Save Your Tears</t>
  </si>
  <si>
    <t>GINGER</t>
  </si>
  <si>
    <t>BROCKHAMPTON</t>
  </si>
  <si>
    <t>SUGAR</t>
  </si>
  <si>
    <t>Drugs</t>
  </si>
  <si>
    <t>UPSAHL</t>
  </si>
  <si>
    <t>The Beginning</t>
  </si>
  <si>
    <t>Black Eyed Peas</t>
  </si>
  <si>
    <t>Just Canâ€™t Get Enough</t>
  </si>
  <si>
    <t>Heads Will Roll</t>
  </si>
  <si>
    <t>Yeah Yeah Yeahs</t>
  </si>
  <si>
    <t>Heads Will Roll - A-Trak Remix</t>
  </si>
  <si>
    <t>Won't Bite (feat. Smino)</t>
  </si>
  <si>
    <t>Greatest</t>
  </si>
  <si>
    <t>Bee Gees</t>
  </si>
  <si>
    <t>More Than A Woman - From ""Saturday Night Fever"" Soundtrack</t>
  </si>
  <si>
    <t>DEMIDEVIL</t>
  </si>
  <si>
    <t>Daisy</t>
  </si>
  <si>
    <t>Round of Applause</t>
  </si>
  <si>
    <t>K'ron</t>
  </si>
  <si>
    <t>Because Of You</t>
  </si>
  <si>
    <t>Ne-Yo</t>
  </si>
  <si>
    <t>Black Panther The Album Music From And Inspired By</t>
  </si>
  <si>
    <t>Kendrick Lamar</t>
  </si>
  <si>
    <t>All The Stars (with SZA)</t>
  </si>
  <si>
    <t>Hamilton (Original Broadway Cast Recording)</t>
  </si>
  <si>
    <t>Lin-Manuel Miranda</t>
  </si>
  <si>
    <t>We Know</t>
  </si>
  <si>
    <t>Cyber Sex</t>
  </si>
  <si>
    <t>Mylo Xyloto</t>
  </si>
  <si>
    <t>Coldplay</t>
  </si>
  <si>
    <t>Paradise</t>
  </si>
  <si>
    <t>Watermelon Sugar</t>
  </si>
  <si>
    <t>Harry Styles</t>
  </si>
  <si>
    <t>Magic In The Hamptons (feat. Lil Yachty)</t>
  </si>
  <si>
    <t>Social House</t>
  </si>
  <si>
    <t>Rolling Papers 2</t>
  </si>
  <si>
    <t>Wiz Khalifa</t>
  </si>
  <si>
    <t>Something New (feat. Ty Dolla $ign)</t>
  </si>
  <si>
    <t>Vibe (If I Back It Up)</t>
  </si>
  <si>
    <t>Cookiee Kawaii</t>
  </si>
  <si>
    <t>ABBA Gold</t>
  </si>
  <si>
    <t>ABBA</t>
  </si>
  <si>
    <t>Lay All Your Love On Me</t>
  </si>
  <si>
    <t>Please Mr. Postman</t>
  </si>
  <si>
    <t>The Marvelettes</t>
  </si>
  <si>
    <t>Please Mr. Postman - Single Version / Mono</t>
  </si>
  <si>
    <t>Chris Brown</t>
  </si>
  <si>
    <t>No Guidance (feat. Drake)</t>
  </si>
  <si>
    <t>Slime &amp; B</t>
  </si>
  <si>
    <t>Go Crazy</t>
  </si>
  <si>
    <t>Heaven Or Hell</t>
  </si>
  <si>
    <t>Roses (Imanbek Remix)</t>
  </si>
  <si>
    <t>SAINt JHN</t>
  </si>
  <si>
    <t>Roses - Imanbek Remix</t>
  </si>
  <si>
    <t>Toosie Slide</t>
  </si>
  <si>
    <t>Hello My Name Is...</t>
  </si>
  <si>
    <t>Bridgit Mendler</t>
  </si>
  <si>
    <t>Ready or Not</t>
  </si>
  <si>
    <t>Coffee Breath</t>
  </si>
  <si>
    <t>Sofia Mills</t>
  </si>
  <si>
    <t>Intro Bonito</t>
  </si>
  <si>
    <t>I'd Rather Sleep</t>
  </si>
  <si>
    <t>Journals</t>
  </si>
  <si>
    <t>Confident</t>
  </si>
  <si>
    <t>Astrid S</t>
  </si>
  <si>
    <t>Hurts So Good</t>
  </si>
  <si>
    <t>Leave Em Alone</t>
  </si>
  <si>
    <t>Quality Control</t>
  </si>
  <si>
    <t>Queen of Disaster</t>
  </si>
  <si>
    <t>Scarlett Rose</t>
  </si>
  <si>
    <t>A Star Is Born Soundtrack</t>
  </si>
  <si>
    <t>Heal Me</t>
  </si>
  <si>
    <t>3 Musketeers</t>
  </si>
  <si>
    <t>NextYoungin</t>
  </si>
  <si>
    <t>Animal (Expanded Edition)</t>
  </si>
  <si>
    <t>Take It Off</t>
  </si>
  <si>
    <t>King's Dead (with Kendrick Lamar, Future &amp; James Blake)</t>
  </si>
  <si>
    <t>Jay Rock</t>
  </si>
  <si>
    <t>After Party</t>
  </si>
  <si>
    <t>Graduation</t>
  </si>
  <si>
    <t>Stronger</t>
  </si>
  <si>
    <t>High School Musical: The Musical: The Series (Original Soundtrack)</t>
  </si>
  <si>
    <t>Olivia Rodrigo</t>
  </si>
  <si>
    <t>All I Want</t>
  </si>
  <si>
    <t>Call Me Crazy, But...</t>
  </si>
  <si>
    <t>Sevyn Streeter</t>
  </si>
  <si>
    <t>It Won't Stop (feat. Chris Brown) - EP Version</t>
  </si>
  <si>
    <t>Toy</t>
  </si>
  <si>
    <t>Netta</t>
  </si>
  <si>
    <t>The Chordettes' Best</t>
  </si>
  <si>
    <t>Crystal Castles</t>
  </si>
  <si>
    <t>Crimewave</t>
  </si>
  <si>
    <t>The Dice Beat Pt. 1</t>
  </si>
  <si>
    <t>Ricky Desktop</t>
  </si>
  <si>
    <t>Cartoon Heroes, Vol. 5</t>
  </si>
  <si>
    <t>Kids Superstars</t>
  </si>
  <si>
    <t>Ben 10 - Theme Song</t>
  </si>
  <si>
    <t>Raggatronic</t>
  </si>
  <si>
    <t>Enur</t>
  </si>
  <si>
    <t>Calabria 2008</t>
  </si>
  <si>
    <t>The Box</t>
  </si>
  <si>
    <t>Cole World: The Sideline Story</t>
  </si>
  <si>
    <t>Work Out</t>
  </si>
  <si>
    <t>Like That (feat. Gucci Mane)</t>
  </si>
  <si>
    <t>Working Bitch</t>
  </si>
  <si>
    <t>TROLLZ (with Nicki Minaj)</t>
  </si>
  <si>
    <t>I'm Allergic To Dogs!</t>
  </si>
  <si>
    <t>Remi Wolf</t>
  </si>
  <si>
    <t>Photo ID</t>
  </si>
  <si>
    <t>Say So (Japanese Version)</t>
  </si>
  <si>
    <t>Rainych</t>
  </si>
  <si>
    <t>Say So - Japanese Version</t>
  </si>
  <si>
    <t>Grow A Pear</t>
  </si>
  <si>
    <t>CoÃ±o</t>
  </si>
  <si>
    <t>Puri</t>
  </si>
  <si>
    <t>Lose Control</t>
  </si>
  <si>
    <t>MEDUZA</t>
  </si>
  <si>
    <t>All About Cake</t>
  </si>
  <si>
    <t>KyleYouMadeThat</t>
  </si>
  <si>
    <t>All About Cake (feat. Coi Leray &amp; Kaash Paige)</t>
  </si>
  <si>
    <t>Obnimi (Remix)</t>
  </si>
  <si>
    <t>Okean Elzi</t>
  </si>
  <si>
    <t>KIRK</t>
  </si>
  <si>
    <t>VIBEZ</t>
  </si>
  <si>
    <t>Hatchback</t>
  </si>
  <si>
    <t>Cochise</t>
  </si>
  <si>
    <t>Until Death Call My Name (Reloaded)</t>
  </si>
  <si>
    <t>YoungBoy Never Broke Again</t>
  </si>
  <si>
    <t>Rags to Riches</t>
  </si>
  <si>
    <t>CITY OF ANGELS</t>
  </si>
  <si>
    <t>Mi Pan Su Su Sum</t>
  </si>
  <si>
    <t>Miel Pops</t>
  </si>
  <si>
    <t>Sofia the First</t>
  </si>
  <si>
    <t>Cast - Sofia the First</t>
  </si>
  <si>
    <t>Sofia the First Main Title Theme - From ""Sofia the First""</t>
  </si>
  <si>
    <t>Take Shelter</t>
  </si>
  <si>
    <t>Years &amp; Years</t>
  </si>
  <si>
    <t>Breathe</t>
  </si>
  <si>
    <t>JACKBOYS</t>
  </si>
  <si>
    <t>OUT WEST (feat. Young Thug)</t>
  </si>
  <si>
    <t>She Belongs to the Streets (Toxic)</t>
  </si>
  <si>
    <t>Rontae Don't Play</t>
  </si>
  <si>
    <t>Kala</t>
  </si>
  <si>
    <t>M.I.A.</t>
  </si>
  <si>
    <t>Paper Planes</t>
  </si>
  <si>
    <t>MELT</t>
  </si>
  <si>
    <t>SHAED</t>
  </si>
  <si>
    <t>Trampoline</t>
  </si>
  <si>
    <t>Nothing Happens</t>
  </si>
  <si>
    <t>Wallows</t>
  </si>
  <si>
    <t>Are You Bored Yet? (feat. Clairo)</t>
  </si>
  <si>
    <t>Lets Link</t>
  </si>
  <si>
    <t>WhoHeem</t>
  </si>
  <si>
    <t>BEYONCÃ‰ [Platinum Edition]</t>
  </si>
  <si>
    <t>BeyoncÃ©</t>
  </si>
  <si>
    <t>Partition</t>
  </si>
  <si>
    <t>I'm Looking for Mrs. Bubblegum</t>
  </si>
  <si>
    <t>Memetown</t>
  </si>
  <si>
    <t>Eternal Atake (Deluxe) - LUV vs. The World 2</t>
  </si>
  <si>
    <t>Myron</t>
  </si>
  <si>
    <t>Out of the Blue</t>
  </si>
  <si>
    <t>Electric Light Orchestra</t>
  </si>
  <si>
    <t>Mr. Blue Sky</t>
  </si>
  <si>
    <t>Jason Derulo (Deluxe Audio)</t>
  </si>
  <si>
    <t>Jason Derulo</t>
  </si>
  <si>
    <t>Whatcha Say</t>
  </si>
  <si>
    <t>Loud</t>
  </si>
  <si>
    <t>What's My Name?</t>
  </si>
  <si>
    <t>Say So (feat. Nicki Minaj)</t>
  </si>
  <si>
    <t>M to the B</t>
  </si>
  <si>
    <t>Millie B</t>
  </si>
  <si>
    <t>Hotel Room Service</t>
  </si>
  <si>
    <t>Pitbull</t>
  </si>
  <si>
    <t>Fine Line</t>
  </si>
  <si>
    <t>To Be So Lonely</t>
  </si>
  <si>
    <t>I Just Want to Be the One You Love</t>
  </si>
  <si>
    <t>Boxout</t>
  </si>
  <si>
    <t>Die Lit</t>
  </si>
  <si>
    <t>Playboi Carti</t>
  </si>
  <si>
    <t>Shoota (feat. Lil Uzi Vert)</t>
  </si>
  <si>
    <t>Hood Baby</t>
  </si>
  <si>
    <t>KBFR</t>
  </si>
  <si>
    <t>Check It Out</t>
  </si>
  <si>
    <t>Electra Heart</t>
  </si>
  <si>
    <t>Primadonna</t>
  </si>
  <si>
    <t>Plastic Hearts</t>
  </si>
  <si>
    <t>Miley Cyrus</t>
  </si>
  <si>
    <t>Someone To You</t>
  </si>
  <si>
    <t>BANNERS</t>
  </si>
  <si>
    <t>ye</t>
  </si>
  <si>
    <t>Violent Crimes</t>
  </si>
  <si>
    <t>Cleopatra</t>
  </si>
  <si>
    <t>Thrill Seeker</t>
  </si>
  <si>
    <t>Sub Urban</t>
  </si>
  <si>
    <t>Freak (feat. REI AMI)</t>
  </si>
  <si>
    <t>Don't Start Now</t>
  </si>
  <si>
    <t>Dua Lipa</t>
  </si>
  <si>
    <t>Renee</t>
  </si>
  <si>
    <t>The Slow Rush</t>
  </si>
  <si>
    <t>Borderline</t>
  </si>
  <si>
    <t>Beautiful Thugger Girls</t>
  </si>
  <si>
    <t>Young Thug</t>
  </si>
  <si>
    <t>Relationship (feat. Future)</t>
  </si>
  <si>
    <t>The Little Mermaid</t>
  </si>
  <si>
    <t>Jodi Benson</t>
  </si>
  <si>
    <t>Part of Your World - From ""The Little Mermaid"" / Soundtrack Version</t>
  </si>
  <si>
    <t>Opaul</t>
  </si>
  <si>
    <t>Skiptracing</t>
  </si>
  <si>
    <t>Mild High Club</t>
  </si>
  <si>
    <t>Homage</t>
  </si>
  <si>
    <t>La La La</t>
  </si>
  <si>
    <t>Naughty Boy</t>
  </si>
  <si>
    <t>There's Really A Wolf</t>
  </si>
  <si>
    <t>Russ</t>
  </si>
  <si>
    <t>What They Want</t>
  </si>
  <si>
    <t>Mine</t>
  </si>
  <si>
    <t>Nectar</t>
  </si>
  <si>
    <t>Gimme Love</t>
  </si>
  <si>
    <t>Certified Hitmaker</t>
  </si>
  <si>
    <t>Lil Mosey</t>
  </si>
  <si>
    <t>Blueberry Faygo</t>
  </si>
  <si>
    <t>Juicy</t>
  </si>
  <si>
    <t>Kid Krow</t>
  </si>
  <si>
    <t>Conan Gray</t>
  </si>
  <si>
    <t>Heather</t>
  </si>
  <si>
    <t>La Roux</t>
  </si>
  <si>
    <t>Bulletproof</t>
  </si>
  <si>
    <t>Alright, Still (Deluxe)</t>
  </si>
  <si>
    <t>Smile</t>
  </si>
  <si>
    <t>Growing Pains</t>
  </si>
  <si>
    <t>Just Fine</t>
  </si>
  <si>
    <t>Play Me Again</t>
  </si>
  <si>
    <t>Kid Francescoli</t>
  </si>
  <si>
    <t>Moon (And It Went Like)</t>
  </si>
  <si>
    <t>Boss Bitch</t>
  </si>
  <si>
    <t>Mad at Disney</t>
  </si>
  <si>
    <t>salem ilese</t>
  </si>
  <si>
    <t>El Dorado</t>
  </si>
  <si>
    <t>Mood (feat. iann dior)</t>
  </si>
  <si>
    <t>Eyes Blue Like The Atlantic</t>
  </si>
  <si>
    <t>Sista Prod</t>
  </si>
  <si>
    <t>good kid, m.A.A.d city</t>
  </si>
  <si>
    <t>Money Trees</t>
  </si>
  <si>
    <t>It Is What It Is</t>
  </si>
  <si>
    <t>Thundercat</t>
  </si>
  <si>
    <t>Funny Thing</t>
  </si>
  <si>
    <t>Freak</t>
  </si>
  <si>
    <t>Deep End</t>
  </si>
  <si>
    <t>FousheÃ©</t>
  </si>
  <si>
    <t>Stunnin'</t>
  </si>
  <si>
    <t>Curtis Waters</t>
  </si>
  <si>
    <t>Savage Love (Laxed - Siren Beat)</t>
  </si>
  <si>
    <t>Living Facts</t>
  </si>
  <si>
    <t>FML</t>
  </si>
  <si>
    <t>Mariposa</t>
  </si>
  <si>
    <t>Peach Tree Rascals</t>
  </si>
  <si>
    <t>ily (i love you baby) (feat. Emilee)</t>
  </si>
  <si>
    <t>Surf Mesa</t>
  </si>
  <si>
    <t>Producer Man</t>
  </si>
  <si>
    <t>Dopamine</t>
  </si>
  <si>
    <t>BÃ˜RNS</t>
  </si>
  <si>
    <t>Electric Love</t>
  </si>
  <si>
    <t>Party Girl</t>
  </si>
  <si>
    <t>StaySolidRocky</t>
  </si>
  <si>
    <t>How To Kill A Rockstar</t>
  </si>
  <si>
    <t>folklore</t>
  </si>
  <si>
    <t>cardigan</t>
  </si>
  <si>
    <t>Backyard Boy (Stripped)</t>
  </si>
  <si>
    <t>Claire Rosinkranz</t>
  </si>
  <si>
    <t>Backyard Boy</t>
  </si>
  <si>
    <t>death bed (coffee for your head)</t>
  </si>
  <si>
    <t>Powfu</t>
  </si>
  <si>
    <t>After Laughter</t>
  </si>
  <si>
    <t>Hard Times</t>
  </si>
  <si>
    <t>Bad Boy</t>
  </si>
  <si>
    <t>Yung Bae</t>
  </si>
  <si>
    <t>Cannibal</t>
  </si>
  <si>
    <t>Go Stupid (feat. NLE Choppa &amp; Mike WiLL Made-It)</t>
  </si>
  <si>
    <t>Polo G</t>
  </si>
  <si>
    <t>Cry Baby (Deluxe Edition)</t>
  </si>
  <si>
    <t>Melanie Martinez</t>
  </si>
  <si>
    <t>Play Date</t>
  </si>
  <si>
    <t>Soulection White Label - Monte Booker</t>
  </si>
  <si>
    <t>monte booker</t>
  </si>
  <si>
    <t>Kolors</t>
  </si>
  <si>
    <t>Conquest</t>
  </si>
  <si>
    <t>Beggin'</t>
  </si>
  <si>
    <t>Muffins In The Freezer</t>
  </si>
  <si>
    <t>Tiagz</t>
  </si>
  <si>
    <t>My Heart Went Oops</t>
  </si>
  <si>
    <t>They Call Me Tiago (Her Name Is Margo)</t>
  </si>
  <si>
    <t>Figure It Out</t>
  </si>
  <si>
    <t>Blu DeTiger</t>
  </si>
  <si>
    <t>Why Is Everything Chrome (Lean Swag Rock Wit It)</t>
  </si>
  <si>
    <t>King Critical</t>
  </si>
  <si>
    <t>LMK</t>
  </si>
  <si>
    <t>Lil Xxel</t>
  </si>
  <si>
    <t>Where the Light Is</t>
  </si>
  <si>
    <t>Surfaces</t>
  </si>
  <si>
    <t>Sunday Best</t>
  </si>
  <si>
    <t>The Less I Know The Better</t>
  </si>
  <si>
    <t>LEMONS (Demo)</t>
  </si>
  <si>
    <t>Brye</t>
  </si>
  <si>
    <t>LEMONS - Demo</t>
  </si>
  <si>
    <t>Life Support</t>
  </si>
  <si>
    <t>Madison Beer</t>
  </si>
  <si>
    <t>Selfish</t>
  </si>
  <si>
    <t>Future Nostalgia</t>
  </si>
  <si>
    <t>Break My Heart</t>
  </si>
  <si>
    <t>Stuck with U</t>
  </si>
  <si>
    <t>Stuck with U (with Justin Bieber)</t>
  </si>
  <si>
    <t>Put Your Records On</t>
  </si>
  <si>
    <t>Ritt Momney</t>
  </si>
  <si>
    <t>FIRE ON MARZZ</t>
  </si>
  <si>
    <t>BENEE</t>
  </si>
  <si>
    <t>Glitter</t>
  </si>
  <si>
    <t>Physical</t>
  </si>
  <si>
    <t>Romance</t>
  </si>
  <si>
    <t>Camila Cabello</t>
  </si>
  <si>
    <t>My Oh My (feat. DaBaby)</t>
  </si>
  <si>
    <t>Chromatica</t>
  </si>
  <si>
    <t>Replay</t>
  </si>
  <si>
    <t>Babylon</t>
  </si>
  <si>
    <t>Rain On Me (with Ariana Grande)</t>
  </si>
  <si>
    <t>Moral of the Story</t>
  </si>
  <si>
    <t>Ashe</t>
  </si>
  <si>
    <t>Suga</t>
  </si>
  <si>
    <t>Savage</t>
  </si>
  <si>
    <t>Hey u x</t>
  </si>
  <si>
    <t>Supalonely (feat. Gus Dapperton)</t>
  </si>
  <si>
    <t>Blinding Lights</t>
  </si>
  <si>
    <t>Desce Pro Play (PA PA PA)</t>
  </si>
  <si>
    <t>ZAAC</t>
  </si>
  <si>
    <t>lowkey</t>
  </si>
  <si>
    <t>NIKI</t>
  </si>
  <si>
    <t>Upside Down</t>
  </si>
  <si>
    <t>JVKE</t>
  </si>
  <si>
    <t>TO THE MOON</t>
  </si>
  <si>
    <t>Jnr Choi</t>
  </si>
  <si>
    <t>Panda</t>
  </si>
  <si>
    <t>Desiigner</t>
  </si>
  <si>
    <t>Talk That Talk</t>
  </si>
  <si>
    <t>We Found Love</t>
  </si>
  <si>
    <t>MIDDLE OF THE NIGHT</t>
  </si>
  <si>
    <t>Elley DuhÃ©</t>
  </si>
  <si>
    <t>Save Your Tears (Remix)</t>
  </si>
  <si>
    <t>Save Your Tears (with Ariana Grande) (Remix)</t>
  </si>
  <si>
    <t>DIMENSION : ANSWER</t>
  </si>
  <si>
    <t>ENHYPEN</t>
  </si>
  <si>
    <t>Polaroid Love</t>
  </si>
  <si>
    <t>Justice</t>
  </si>
  <si>
    <t>Ghost</t>
  </si>
  <si>
    <t>Love Tonight (David Guetta Remix)</t>
  </si>
  <si>
    <t>Shouse</t>
  </si>
  <si>
    <t>Love Tonight - David Guetta Remix Edit</t>
  </si>
  <si>
    <t>My World</t>
  </si>
  <si>
    <t>Favorite Girl</t>
  </si>
  <si>
    <t>My World 2.0</t>
  </si>
  <si>
    <t>Baby</t>
  </si>
  <si>
    <t>Free Wired</t>
  </si>
  <si>
    <t>Far East Movement</t>
  </si>
  <si>
    <t>Like A G6</t>
  </si>
  <si>
    <t>Teenage Dream</t>
  </si>
  <si>
    <t>Katy Perry</t>
  </si>
  <si>
    <t>Ain't Your Mama</t>
  </si>
  <si>
    <t>Jennifer Lopez</t>
  </si>
  <si>
    <t>EVERYTHING YOU WANTED</t>
  </si>
  <si>
    <t>Jay Park</t>
  </si>
  <si>
    <t>All I Wanna Do</t>
  </si>
  <si>
    <t>Konvicted</t>
  </si>
  <si>
    <t>Oral Fixation, Vol. 2 (Expanded Edition)</t>
  </si>
  <si>
    <t>Shakira</t>
  </si>
  <si>
    <t>Hips Don't Lie (feat. Wyclef Jean)</t>
  </si>
  <si>
    <t>abcdefu</t>
  </si>
  <si>
    <t>GAYLE</t>
  </si>
  <si>
    <t>Viva el Perreo</t>
  </si>
  <si>
    <t>Jowell &amp; Randy</t>
  </si>
  <si>
    <t>Se AcabÃ³ la Cuarentena</t>
  </si>
  <si>
    <t>Everyday Is Christmas (Deluxe Edition)</t>
  </si>
  <si>
    <t>Sia</t>
  </si>
  <si>
    <t>Snowman</t>
  </si>
  <si>
    <t>Every Summertime</t>
  </si>
  <si>
    <t>1989 (Deluxe)</t>
  </si>
  <si>
    <t>Style</t>
  </si>
  <si>
    <t>Title (Deluxe)</t>
  </si>
  <si>
    <t>Meghan Trainor</t>
  </si>
  <si>
    <t>Title</t>
  </si>
  <si>
    <t>Never Been Better (Expanded Edition)</t>
  </si>
  <si>
    <t>Olly Murs</t>
  </si>
  <si>
    <t>Up (feat. Demi Lovato)</t>
  </si>
  <si>
    <t>Watch Dogs (Music from the Video Game) [Original Game Soundtrack]</t>
  </si>
  <si>
    <t>Kid Cudi</t>
  </si>
  <si>
    <t>Day 'n' Nite</t>
  </si>
  <si>
    <t>SG (with Ozuna, Megan Thee Stallion &amp; LISA of BLACKPINK)</t>
  </si>
  <si>
    <t>DJ Snake</t>
  </si>
  <si>
    <t>Mad Love The Prequel</t>
  </si>
  <si>
    <t>No Lie</t>
  </si>
  <si>
    <t>Feel Something</t>
  </si>
  <si>
    <t>Jaymes Young</t>
  </si>
  <si>
    <t>Infinity</t>
  </si>
  <si>
    <t>SAD GIRLZ LUV MONEY Remix (feat. Kali Uchis and Moliy)</t>
  </si>
  <si>
    <t>Amaarae</t>
  </si>
  <si>
    <t>Thank You (Deluxe Version)</t>
  </si>
  <si>
    <t>Me Too</t>
  </si>
  <si>
    <t>One Time</t>
  </si>
  <si>
    <t>Rewind - The Collection</t>
  </si>
  <si>
    <t>Craig David</t>
  </si>
  <si>
    <t>Insomnia</t>
  </si>
  <si>
    <t>Teenage Dream: The Complete Confection</t>
  </si>
  <si>
    <t>California Gurls</t>
  </si>
  <si>
    <t>Soap</t>
  </si>
  <si>
    <t>æ”¾å€‹å¤§æ‹›çµ¦ä½ çœ‹ (OPPO Reno å®£å‚³æ›²)</t>
  </si>
  <si>
    <t>Ryan.B</t>
  </si>
  <si>
    <t>BOOM</t>
  </si>
  <si>
    <t>TiÃ«sto</t>
  </si>
  <si>
    <t>Certified Lover Boy</t>
  </si>
  <si>
    <t>In The Bible (with Lil Durk &amp; Giveon)</t>
  </si>
  <si>
    <t>CECE</t>
  </si>
  <si>
    <t>Celina Sharma</t>
  </si>
  <si>
    <t>True Love (feat. Lily Allen)</t>
  </si>
  <si>
    <t>Heaven &amp; Hell</t>
  </si>
  <si>
    <t>Ava Max</t>
  </si>
  <si>
    <t>Take You To Hell</t>
  </si>
  <si>
    <t>Heat Waves</t>
  </si>
  <si>
    <t>Glass Animals</t>
  </si>
  <si>
    <t>Might Be - Single</t>
  </si>
  <si>
    <t>DJ Luke Nasty</t>
  </si>
  <si>
    <t>Might Be</t>
  </si>
  <si>
    <t>TWINNEM</t>
  </si>
  <si>
    <t>Coi Leray</t>
  </si>
  <si>
    <t>Ð¯ Ð±ÑƒÐ´Ñƒ ÐµÐ±Ð°Ñ‚ÑŒ</t>
  </si>
  <si>
    <t>Moreart</t>
  </si>
  <si>
    <t>Faded</t>
  </si>
  <si>
    <t>BoyWithUke</t>
  </si>
  <si>
    <t>Toxic</t>
  </si>
  <si>
    <t>Nothing but the Beat (Ultimate Edition)</t>
  </si>
  <si>
    <t>David Guetta</t>
  </si>
  <si>
    <t>Where Them Girls At (feat. Nicki Minaj &amp; Flo Rida)</t>
  </si>
  <si>
    <t>The Rising Tied</t>
  </si>
  <si>
    <t>Fort Minor</t>
  </si>
  <si>
    <t>Where'd You Go (feat. Holly Brook &amp; Jonah Matranga)</t>
  </si>
  <si>
    <t>MKTO</t>
  </si>
  <si>
    <t>Classic</t>
  </si>
  <si>
    <t>deadroses</t>
  </si>
  <si>
    <t>dirty laundry</t>
  </si>
  <si>
    <t>Red Diary Page.1</t>
  </si>
  <si>
    <t>BOL4</t>
  </si>
  <si>
    <t>Some</t>
  </si>
  <si>
    <t>Die Young</t>
  </si>
  <si>
    <t>WFM</t>
  </si>
  <si>
    <t>RealestK</t>
  </si>
  <si>
    <t>Positions</t>
  </si>
  <si>
    <t>motive (with Doja Cat)</t>
  </si>
  <si>
    <t>Sweet but Psycho</t>
  </si>
  <si>
    <t>Year Of The Gentleman</t>
  </si>
  <si>
    <t>Miss Independent</t>
  </si>
  <si>
    <t>In The Lonely Hour</t>
  </si>
  <si>
    <t>Sam Smith</t>
  </si>
  <si>
    <t>Like I Can</t>
  </si>
  <si>
    <t>Take</t>
  </si>
  <si>
    <t>SHAUN</t>
  </si>
  <si>
    <t>Way Back Home</t>
  </si>
  <si>
    <t>No Guidance, Remake</t>
  </si>
  <si>
    <t>Litfranse</t>
  </si>
  <si>
    <t>Motive X (Promiscuous Mix)</t>
  </si>
  <si>
    <t>Khlaw</t>
  </si>
  <si>
    <t>Motive X - Promiscuous Mix</t>
  </si>
  <si>
    <t>Baby I Got Issues</t>
  </si>
  <si>
    <t>U/NITISH</t>
  </si>
  <si>
    <t>Wildest Dreams</t>
  </si>
  <si>
    <t>V (Asia Tour Edition)</t>
  </si>
  <si>
    <t>Maroon 5</t>
  </si>
  <si>
    <t>Maps</t>
  </si>
  <si>
    <t>PYRO</t>
  </si>
  <si>
    <t>Chester Young</t>
  </si>
  <si>
    <t>PLAY</t>
  </si>
  <si>
    <t>AKMU</t>
  </si>
  <si>
    <t>Give Love</t>
  </si>
  <si>
    <t>Shouldn't Be</t>
  </si>
  <si>
    <t>Luke Chiang</t>
  </si>
  <si>
    <t>Meet The Vamps</t>
  </si>
  <si>
    <t>The Vamps</t>
  </si>
  <si>
    <t>Somebody To You</t>
  </si>
  <si>
    <t>Hold On</t>
  </si>
  <si>
    <t>Fashion Week</t>
  </si>
  <si>
    <t>cry</t>
  </si>
  <si>
    <t>Maniac</t>
  </si>
  <si>
    <t>What A Shame</t>
  </si>
  <si>
    <t>Leyla Blue</t>
  </si>
  <si>
    <t>Destined 2 Win</t>
  </si>
  <si>
    <t>Calling My Phone</t>
  </si>
  <si>
    <t>positions</t>
  </si>
  <si>
    <t>34+35</t>
  </si>
  <si>
    <t>CKay The First</t>
  </si>
  <si>
    <t>CKay</t>
  </si>
  <si>
    <t>love nwantiti (ah ah ah)</t>
  </si>
  <si>
    <t>Be Kind (with Halsey)</t>
  </si>
  <si>
    <t>Marshmello</t>
  </si>
  <si>
    <t>idfc</t>
  </si>
  <si>
    <t>Planet Her</t>
  </si>
  <si>
    <t>You Right</t>
  </si>
  <si>
    <t>Good Days</t>
  </si>
  <si>
    <t>MONTERO</t>
  </si>
  <si>
    <t>THATS WHAT I WANT</t>
  </si>
  <si>
    <t>INFERNO</t>
  </si>
  <si>
    <t>Jalebi Baby (Tesher x Jason Derulo)</t>
  </si>
  <si>
    <t>Tesher</t>
  </si>
  <si>
    <t>Pepas</t>
  </si>
  <si>
    <t>Farruko</t>
  </si>
  <si>
    <t>Bad Habits</t>
  </si>
  <si>
    <t>Pumped Up Kicks</t>
  </si>
  <si>
    <t>Madism</t>
  </si>
  <si>
    <t>INDUSTRY BABY (feat. Jack Harlow)</t>
  </si>
  <si>
    <t>Encore</t>
  </si>
  <si>
    <t>Middle</t>
  </si>
  <si>
    <t>Bundles (feat. Taylor Girlz)</t>
  </si>
  <si>
    <t>Kayla Nicole</t>
  </si>
  <si>
    <t>Queen Of The Clouds</t>
  </si>
  <si>
    <t>Tove Lo</t>
  </si>
  <si>
    <t>Habits (Stay High)</t>
  </si>
  <si>
    <t>One Of The Boys</t>
  </si>
  <si>
    <t>Hot N Cold</t>
  </si>
  <si>
    <t>finding it hard to smile</t>
  </si>
  <si>
    <t>lovelytheband</t>
  </si>
  <si>
    <t>broken</t>
  </si>
  <si>
    <t>You Don't Know Me</t>
  </si>
  <si>
    <t>Jax Jones</t>
  </si>
  <si>
    <t>American Teen</t>
  </si>
  <si>
    <t>Khalid</t>
  </si>
  <si>
    <t>Young Dumb &amp; Broke</t>
  </si>
  <si>
    <t>Future Friends</t>
  </si>
  <si>
    <t>Superfruit</t>
  </si>
  <si>
    <t>GUY.exe</t>
  </si>
  <si>
    <t>Why</t>
  </si>
  <si>
    <t>Ugly is Beautiful: Shorter, Thicker &amp; Uglier (Deluxe)</t>
  </si>
  <si>
    <t>Oliver Tree</t>
  </si>
  <si>
    <t>Life Goes On</t>
  </si>
  <si>
    <t>Hello Bitches</t>
  </si>
  <si>
    <t>CL</t>
  </si>
  <si>
    <t>I Am Not A Human Being II (Deluxe)</t>
  </si>
  <si>
    <t>Lil Wayne</t>
  </si>
  <si>
    <t>Iyaz</t>
  </si>
  <si>
    <t>Shower</t>
  </si>
  <si>
    <t>Becky G</t>
  </si>
  <si>
    <t>Enter The Dragon</t>
  </si>
  <si>
    <t>JTL</t>
  </si>
  <si>
    <t>My Lecon</t>
  </si>
  <si>
    <t>Shoot For The Stars Aim For The Moon</t>
  </si>
  <si>
    <t>Pop Smoke</t>
  </si>
  <si>
    <t>What You Know Bout Love</t>
  </si>
  <si>
    <t>Get Weird (Expanded Edition)</t>
  </si>
  <si>
    <t>Hair (feat. Sean Paul)</t>
  </si>
  <si>
    <t>LALISA</t>
  </si>
  <si>
    <t>LISA</t>
  </si>
  <si>
    <t>MONEY</t>
  </si>
  <si>
    <t>Butter (Hotter, Sweeter, Cooler)</t>
  </si>
  <si>
    <t>BTS</t>
  </si>
  <si>
    <t>Butter</t>
  </si>
  <si>
    <t>Butter / Permission to Dance</t>
  </si>
  <si>
    <t>Permission to Dance</t>
  </si>
  <si>
    <t>My Universe</t>
  </si>
  <si>
    <t>You're Perfect</t>
  </si>
  <si>
    <t>Charly Black</t>
  </si>
  <si>
    <t>Kiss Me More (feat. SZA)</t>
  </si>
  <si>
    <t>Woman</t>
  </si>
  <si>
    <t>SOUR</t>
  </si>
  <si>
    <t>happier</t>
  </si>
  <si>
    <t>drivers license</t>
  </si>
  <si>
    <t>Safe Haven</t>
  </si>
  <si>
    <t>Ruth B.</t>
  </si>
  <si>
    <t>Dandelions</t>
  </si>
  <si>
    <t>The Prelude</t>
  </si>
  <si>
    <t>Pink Sweat$</t>
  </si>
  <si>
    <t>At My Worst</t>
  </si>
  <si>
    <t>The Blessed Unrest</t>
  </si>
  <si>
    <t>Sara Bareilles</t>
  </si>
  <si>
    <t>Brave</t>
  </si>
  <si>
    <t>YRN (Remix)</t>
  </si>
  <si>
    <t>Eduardo LuzquiÃ±os</t>
  </si>
  <si>
    <t>YRN - Remix</t>
  </si>
  <si>
    <t>Sit Still, Look Pretty</t>
  </si>
  <si>
    <t>Daya</t>
  </si>
  <si>
    <t>Nellyville</t>
  </si>
  <si>
    <t>Nelly</t>
  </si>
  <si>
    <t>Dilemma</t>
  </si>
  <si>
    <t>Savage Days</t>
  </si>
  <si>
    <t>Eric D</t>
  </si>
  <si>
    <t>In A Tidal Wave Of Mystery (Deluxe Edition)</t>
  </si>
  <si>
    <t>Capital Cities</t>
  </si>
  <si>
    <t>Safe And Sound</t>
  </si>
  <si>
    <t>MADE</t>
  </si>
  <si>
    <t>BIGBANG</t>
  </si>
  <si>
    <t>BANG BANG BANG</t>
  </si>
  <si>
    <t>TAKE TIME</t>
  </si>
  <si>
    <t>Giveon</t>
  </si>
  <si>
    <t>Heartbreak Anniversary</t>
  </si>
  <si>
    <t>Not 4 Sale</t>
  </si>
  <si>
    <t>Kardinal Offishall</t>
  </si>
  <si>
    <t>Dangerous</t>
  </si>
  <si>
    <t>Yours</t>
  </si>
  <si>
    <t>Raiden</t>
  </si>
  <si>
    <t>Bop City</t>
  </si>
  <si>
    <t>Terror Jr</t>
  </si>
  <si>
    <t>3 Strikes</t>
  </si>
  <si>
    <t>Lenka (Expanded Edition)</t>
  </si>
  <si>
    <t>Lenka</t>
  </si>
  <si>
    <t>The Show</t>
  </si>
  <si>
    <t>Blackout</t>
  </si>
  <si>
    <t>Gimme More</t>
  </si>
  <si>
    <t>Daddy Cool</t>
  </si>
  <si>
    <t>Boney M.</t>
  </si>
  <si>
    <t>Rasputin</t>
  </si>
  <si>
    <t>Flying Solo</t>
  </si>
  <si>
    <t>Pamungkas</t>
  </si>
  <si>
    <t>To the Bone</t>
  </si>
  <si>
    <t>Curtain Call: The Hits (Deluxe Edition)</t>
  </si>
  <si>
    <t>Eminem</t>
  </si>
  <si>
    <t>FACK</t>
  </si>
  <si>
    <t>NAKAMURA</t>
  </si>
  <si>
    <t>Aya Nakamura</t>
  </si>
  <si>
    <t>Copines</t>
  </si>
  <si>
    <t>Renai Circulation (English Cover) [TV Size]</t>
  </si>
  <si>
    <t>Lizz Robinett</t>
  </si>
  <si>
    <t>Renai Circulation (English Cover) [2012 TV Size]</t>
  </si>
  <si>
    <t>31 Minutes to Takeoff</t>
  </si>
  <si>
    <t>Mike Posner</t>
  </si>
  <si>
    <t>Please Don't Go</t>
  </si>
  <si>
    <t>Stuck in the Middle</t>
  </si>
  <si>
    <t>Tai Verdes</t>
  </si>
  <si>
    <t>SugarCrash!</t>
  </si>
  <si>
    <t>ElyOtto</t>
  </si>
  <si>
    <t>Káº» Cáº¯p Gáº·p BÃ  GiÃ </t>
  </si>
  <si>
    <t>DJ TikTok</t>
  </si>
  <si>
    <t>Káº» Cáº¯p Gáº·p BÃ  GiÃ  - Remix</t>
  </si>
  <si>
    <t>Astronaut In The Ocean</t>
  </si>
  <si>
    <t>Masked Wolf</t>
  </si>
  <si>
    <t>æ™šå®‰æ™šå®‰ (DJç‰ˆ)</t>
  </si>
  <si>
    <t>å°ä¸‰é‡‘</t>
  </si>
  <si>
    <t>2 PhÃºt HÆ¡n (KAIZ Remix)</t>
  </si>
  <si>
    <t>PhÃ¡o</t>
  </si>
  <si>
    <t>2 PhÃºt HÆ¡n - KAIZ Remix</t>
  </si>
  <si>
    <t>MONTERO (Call Me By Your Name)</t>
  </si>
  <si>
    <t>Leave The Door Open</t>
  </si>
  <si>
    <t>Bruno Mars</t>
  </si>
  <si>
    <t>We play</t>
  </si>
  <si>
    <t>Weeekly</t>
  </si>
  <si>
    <t>After School</t>
  </si>
  <si>
    <t>Levitating</t>
  </si>
  <si>
    <t>Cheating on You</t>
  </si>
  <si>
    <t>Charlie Puth</t>
  </si>
  <si>
    <t>Build a Bitch</t>
  </si>
  <si>
    <t>Bella Poarch</t>
  </si>
  <si>
    <t>Ð Ð°Ñ‚Ð°Ñ‚Ð°</t>
  </si>
  <si>
    <t>Konfuz</t>
  </si>
  <si>
    <t>Good For You</t>
  </si>
  <si>
    <t>AminÃ©</t>
  </si>
  <si>
    <t>Caroline</t>
  </si>
  <si>
    <t>good 4 u</t>
  </si>
  <si>
    <t>The Business</t>
  </si>
  <si>
    <t>Pop 2</t>
  </si>
  <si>
    <t>Charli XCX</t>
  </si>
  <si>
    <t>Unlock it (Lock It) - feat. Kim Petras and Jay Park</t>
  </si>
  <si>
    <t>everything sucks</t>
  </si>
  <si>
    <t>vaultboy</t>
  </si>
  <si>
    <t>double take</t>
  </si>
  <si>
    <t>dhruv</t>
  </si>
  <si>
    <t>So Big</t>
  </si>
  <si>
    <t>#BrooklynBloodPop!</t>
  </si>
  <si>
    <t>SyKo</t>
  </si>
  <si>
    <t>Chosen</t>
  </si>
  <si>
    <t>MÃ¥neskin</t>
  </si>
  <si>
    <t>The Papercut Chronicles II</t>
  </si>
  <si>
    <t>Gym Class Heroes</t>
  </si>
  <si>
    <t>Stereo Hearts (feat. Adam Levine)</t>
  </si>
  <si>
    <t>Know Me Too Well</t>
  </si>
  <si>
    <t>New Hope Club</t>
  </si>
  <si>
    <t>Tutu</t>
  </si>
  <si>
    <t>Camilo</t>
  </si>
  <si>
    <t>Dinero</t>
  </si>
  <si>
    <t>Trinidad Cardona</t>
  </si>
  <si>
    <t>Dá»… Äáº¿n Dá»… Äi</t>
  </si>
  <si>
    <t>Quang HÃ¹ng MasterD</t>
  </si>
  <si>
    <t>Apollo</t>
  </si>
  <si>
    <t>Nightcore High</t>
  </si>
  <si>
    <t>Into Your Arms (feat. Ava Max)</t>
  </si>
  <si>
    <t>Witt Lowry</t>
  </si>
  <si>
    <t>Need to Know</t>
  </si>
  <si>
    <t>Moments (Deluxe)</t>
  </si>
  <si>
    <t>Marcus &amp; Martinus</t>
  </si>
  <si>
    <t>Never (feat. OMI)</t>
  </si>
  <si>
    <t>Soul Searching</t>
  </si>
  <si>
    <t>deja vu</t>
  </si>
  <si>
    <t>Reckless</t>
  </si>
  <si>
    <t>It's Only Me (Studio Version)</t>
  </si>
  <si>
    <t>Kaleb J</t>
  </si>
  <si>
    <t>It's Only Me - Studio Version</t>
  </si>
  <si>
    <t>Take You Dancing</t>
  </si>
  <si>
    <t>Sezairi</t>
  </si>
  <si>
    <t>Here's Your Perfect</t>
  </si>
  <si>
    <t>Jamie Miller</t>
  </si>
  <si>
    <t>edamame (feat. Rich Brian)</t>
  </si>
  <si>
    <t>bbno$</t>
  </si>
  <si>
    <t>Peaches (feat. Daniel Caesar &amp; Giveon)</t>
  </si>
  <si>
    <t>STAY (with Justin Bieber)</t>
  </si>
  <si>
    <t>Good Looking</t>
  </si>
  <si>
    <t>Suki Waterhouse</t>
  </si>
  <si>
    <t>Honestly, Nevermind</t>
  </si>
  <si>
    <t>Jimmy Cooks (feat. 21 Savage)</t>
  </si>
  <si>
    <t>Lovely</t>
  </si>
  <si>
    <t>Alfons</t>
  </si>
  <si>
    <t>Rockstar</t>
  </si>
  <si>
    <t>Ilkay Sencan</t>
  </si>
  <si>
    <t>The World Is Yours</t>
  </si>
  <si>
    <t>Rich The Kid</t>
  </si>
  <si>
    <t>Plug Walk</t>
  </si>
  <si>
    <t>Without Me</t>
  </si>
  <si>
    <t>Red Pill Blues (Deluxe)</t>
  </si>
  <si>
    <t>Girls Like You (feat. Cardi B) - Cardi B Version</t>
  </si>
  <si>
    <t>Demons</t>
  </si>
  <si>
    <t>CPX</t>
  </si>
  <si>
    <t>Payphone</t>
  </si>
  <si>
    <t>Faruk Orman</t>
  </si>
  <si>
    <t>Skechers</t>
  </si>
  <si>
    <t>DripReport</t>
  </si>
  <si>
    <t>When the Sun Goes Down</t>
  </si>
  <si>
    <t>Martin van Lectro</t>
  </si>
  <si>
    <t>BOP</t>
  </si>
  <si>
    <t>That Way</t>
  </si>
  <si>
    <t>Let It Go</t>
  </si>
  <si>
    <t>Dame Dame</t>
  </si>
  <si>
    <t>In Your Eyes</t>
  </si>
  <si>
    <t>DÃKITI</t>
  </si>
  <si>
    <t>Let Her Go</t>
  </si>
  <si>
    <t>LANDR</t>
  </si>
  <si>
    <t>Life Is Good (feat. Drake)</t>
  </si>
  <si>
    <t>Future</t>
  </si>
  <si>
    <t>Later Bitches</t>
  </si>
  <si>
    <t>The Prince Karma</t>
  </si>
  <si>
    <t>Hey, Soul Sister</t>
  </si>
  <si>
    <t>Old Times</t>
  </si>
  <si>
    <t>Xtinctor</t>
  </si>
  <si>
    <t>Changes</t>
  </si>
  <si>
    <t>Intentions (feat. Quavo)</t>
  </si>
  <si>
    <t>Dark Lane Demo Tapes</t>
  </si>
  <si>
    <t>STELLA &amp; STEVE</t>
  </si>
  <si>
    <t>Supalonely</t>
  </si>
  <si>
    <t>What's up?</t>
  </si>
  <si>
    <t>LeXxÃ¬v</t>
  </si>
  <si>
    <t>Astronomia</t>
  </si>
  <si>
    <t>Vicetone</t>
  </si>
  <si>
    <t>On My Way</t>
  </si>
  <si>
    <t>Alex Alexander</t>
  </si>
  <si>
    <t>Rather Be</t>
  </si>
  <si>
    <t>Cabuizee</t>
  </si>
  <si>
    <t>Forever</t>
  </si>
  <si>
    <t>Gianni Blu</t>
  </si>
  <si>
    <t>Only Girl</t>
  </si>
  <si>
    <t>Coopex</t>
  </si>
  <si>
    <t>Boys Ain't Shit</t>
  </si>
  <si>
    <t>SAYGRACE</t>
  </si>
  <si>
    <t>One Too Many Times</t>
  </si>
  <si>
    <t>JRL</t>
  </si>
  <si>
    <t>One too Many Times</t>
  </si>
  <si>
    <t>Red Flag</t>
  </si>
  <si>
    <t>Pia Baris</t>
  </si>
  <si>
    <t>Kiss Me</t>
  </si>
  <si>
    <t>Lucas Estrada</t>
  </si>
  <si>
    <t>Cool for the Summer</t>
  </si>
  <si>
    <t>Alex D'Rosso</t>
  </si>
  <si>
    <t>THE SCOTTS</t>
  </si>
  <si>
    <t>Right Here Waiting</t>
  </si>
  <si>
    <t>Boostereo</t>
  </si>
  <si>
    <t>Don't Rush (feat. Headie One)</t>
  </si>
  <si>
    <t>Young T &amp; Bugsey</t>
  </si>
  <si>
    <t>Love Me Again</t>
  </si>
  <si>
    <t>The Boss</t>
  </si>
  <si>
    <t>QUAVO HUNCHO</t>
  </si>
  <si>
    <t>Quavo</t>
  </si>
  <si>
    <t>FLIP THE SWITCH (feat. Drake)</t>
  </si>
  <si>
    <t>Over You</t>
  </si>
  <si>
    <t>Myrrhe</t>
  </si>
  <si>
    <t>Falling Down</t>
  </si>
  <si>
    <t>Andrew Nagy</t>
  </si>
  <si>
    <t>Without You</t>
  </si>
  <si>
    <t>Baby Bluu</t>
  </si>
  <si>
    <t>BeVerly Hills BoYfRiEnd</t>
  </si>
  <si>
    <t>For The Night (feat. Lil Baby &amp; DaBaby)</t>
  </si>
  <si>
    <t>Glad You Came</t>
  </si>
  <si>
    <t>Braaheim</t>
  </si>
  <si>
    <t>Wild &amp; Free</t>
  </si>
  <si>
    <t>Nander</t>
  </si>
  <si>
    <t>Therefore I Am</t>
  </si>
  <si>
    <t>Billie Eilish</t>
  </si>
  <si>
    <t>Mood Swings (feat. Lil Tjay)</t>
  </si>
  <si>
    <t>Rover (feat. DTG)</t>
  </si>
  <si>
    <t>S1mba</t>
  </si>
  <si>
    <t>Fly</t>
  </si>
  <si>
    <t>F*CK LOVE (SAVAGE)</t>
  </si>
  <si>
    <t>WITHOUT YOU</t>
  </si>
  <si>
    <t>HOLIDAY</t>
  </si>
  <si>
    <t>WAP (feat. Megan Thee Stallion)</t>
  </si>
  <si>
    <t>Cardi B</t>
  </si>
  <si>
    <t>Rude Boy</t>
  </si>
  <si>
    <t>YES YES</t>
  </si>
  <si>
    <t>Lost on You</t>
  </si>
  <si>
    <t>sad girls</t>
  </si>
  <si>
    <t>Feel Your Love</t>
  </si>
  <si>
    <t>Yusuf Alev</t>
  </si>
  <si>
    <t>Positions (Deluxe)</t>
  </si>
  <si>
    <t>Gravity (feat. Tyler, The Creator)</t>
  </si>
  <si>
    <t>Brent Faiyaz</t>
  </si>
  <si>
    <t>Sin Miedo (del Amor y Otros Demonios) âˆž</t>
  </si>
  <si>
    <t>Kali Uchis</t>
  </si>
  <si>
    <t>telepatÃ­a</t>
  </si>
  <si>
    <t>Nadia Gattas</t>
  </si>
  <si>
    <t>The Papercut Chronicles</t>
  </si>
  <si>
    <t>Cupid's Chokehold / Breakfast in America</t>
  </si>
  <si>
    <t>Best Friend (feat. Doja Cat) [Remix EP]</t>
  </si>
  <si>
    <t>Best Friend (feat. Doja Cat)</t>
  </si>
  <si>
    <t>Play With Me</t>
  </si>
  <si>
    <t>Ana Shine</t>
  </si>
  <si>
    <t>Just The Two of Us</t>
  </si>
  <si>
    <t>Kauai45</t>
  </si>
  <si>
    <t>Up (Instrumental)</t>
  </si>
  <si>
    <t>Up</t>
  </si>
  <si>
    <t>K Boy Bye</t>
  </si>
  <si>
    <t>Astelle</t>
  </si>
  <si>
    <t>Paid</t>
  </si>
  <si>
    <t>PAPI JUANCHO</t>
  </si>
  <si>
    <t>Maluma</t>
  </si>
  <si>
    <t>HawÃ¡i</t>
  </si>
  <si>
    <t>Friday (feat. Mufasa &amp; Hypeman) [Dopamine Re-Edit]</t>
  </si>
  <si>
    <t>Friday (feat. Mufasa &amp; Hypeman) - Dopamine Re-Edit</t>
  </si>
  <si>
    <t>How Can You Mend A Broken Heart</t>
  </si>
  <si>
    <t>When Hello Means Goodbye</t>
  </si>
  <si>
    <t>Whoopty</t>
  </si>
  <si>
    <t>CJ</t>
  </si>
  <si>
    <t>Wicked Game</t>
  </si>
  <si>
    <t>Follow Me</t>
  </si>
  <si>
    <t>Senhit</t>
  </si>
  <si>
    <t>As It Was</t>
  </si>
  <si>
    <t>Michael Shynes</t>
  </si>
  <si>
    <t>Work from Home</t>
  </si>
  <si>
    <t>Levitating (feat. DaBaby)</t>
  </si>
  <si>
    <t>Running Away</t>
  </si>
  <si>
    <t>VANO 3000</t>
  </si>
  <si>
    <t>What If</t>
  </si>
  <si>
    <t>HOURS</t>
  </si>
  <si>
    <t>Slow Down</t>
  </si>
  <si>
    <t>Escapism: Instrumentals</t>
  </si>
  <si>
    <t>SoulChef</t>
  </si>
  <si>
    <t>Write This Down (Instrumental)</t>
  </si>
  <si>
    <t>Todo De Ti</t>
  </si>
  <si>
    <t>Rauw Alejandro</t>
  </si>
  <si>
    <t>So Pretty</t>
  </si>
  <si>
    <t>Reyanna Maria</t>
  </si>
  <si>
    <t>Wellerman (Sea Shanty / 220 KID x Billen Ted Remix)</t>
  </si>
  <si>
    <t>Nathan Evans</t>
  </si>
  <si>
    <t>Wellerman - Sea Shanty / 220 KID x Billen Ted Remix</t>
  </si>
  <si>
    <t>Ain't Shit</t>
  </si>
  <si>
    <t>Ready 4 Luv (TMLH Summer Mix)</t>
  </si>
  <si>
    <t>CAZZETTE</t>
  </si>
  <si>
    <t>Ready 4 Luv - TMLH Summer Mix</t>
  </si>
  <si>
    <t>Lies</t>
  </si>
  <si>
    <t>RAPSTAR</t>
  </si>
  <si>
    <t>JORDI (Deluxe)</t>
  </si>
  <si>
    <t>Beautiful Mistakes (feat. Megan Thee Stallion)</t>
  </si>
  <si>
    <t>Moves Like Jagger</t>
  </si>
  <si>
    <t>Timemachine</t>
  </si>
  <si>
    <t>Mr. Saxobeat</t>
  </si>
  <si>
    <t>Nito-Onna</t>
  </si>
  <si>
    <t>Thot Shit</t>
  </si>
  <si>
    <t>Heart of Glass</t>
  </si>
  <si>
    <t>Freaks</t>
  </si>
  <si>
    <t>Surf Curse</t>
  </si>
  <si>
    <t>Whatever You Like</t>
  </si>
  <si>
    <t>DLAY</t>
  </si>
  <si>
    <t>The Motto</t>
  </si>
  <si>
    <t>Better Days (NEIKED x Mae Muller x Polo G)</t>
  </si>
  <si>
    <t>NEIKED</t>
  </si>
  <si>
    <t>Why (with WLHELMINA)</t>
  </si>
  <si>
    <t>PadÃ©</t>
  </si>
  <si>
    <t>Beauty And A Beat</t>
  </si>
  <si>
    <t>Glamii</t>
  </si>
  <si>
    <t>Apologize</t>
  </si>
  <si>
    <t>Farux</t>
  </si>
  <si>
    <t>When You Were Young</t>
  </si>
  <si>
    <t>Amero</t>
  </si>
  <si>
    <t>Buss It</t>
  </si>
  <si>
    <t>Erica Banks</t>
  </si>
  <si>
    <t>Counting Stars</t>
  </si>
  <si>
    <t>Creep</t>
  </si>
  <si>
    <t>Naeleck</t>
  </si>
  <si>
    <t>MÃ˜RFI</t>
  </si>
  <si>
    <t>Doo-Wops &amp; Hooligans</t>
  </si>
  <si>
    <t>Talking to the Moon</t>
  </si>
  <si>
    <t>Complicated</t>
  </si>
  <si>
    <t>The Hills</t>
  </si>
  <si>
    <t>Ocean Drive</t>
  </si>
  <si>
    <t>Harddope</t>
  </si>
  <si>
    <t>Free Falling Love</t>
  </si>
  <si>
    <t>Vacation</t>
  </si>
  <si>
    <t>Dirty Heads</t>
  </si>
  <si>
    <t>Paint It Black</t>
  </si>
  <si>
    <t>I AM WOMAN</t>
  </si>
  <si>
    <t>Emmy Meli</t>
  </si>
  <si>
    <t>Say My Name</t>
  </si>
  <si>
    <t>Why Not</t>
  </si>
  <si>
    <t>Ameno Amapiano Remix (You Wanna Bamba)</t>
  </si>
  <si>
    <t>Goya Menor</t>
  </si>
  <si>
    <t>Memories</t>
  </si>
  <si>
    <t>She Wolf (Falling to Pieces)</t>
  </si>
  <si>
    <t>I Hate U</t>
  </si>
  <si>
    <t>Looking for Love</t>
  </si>
  <si>
    <t>Asketa &amp; Natan Chaim</t>
  </si>
  <si>
    <t>SALES LP</t>
  </si>
  <si>
    <t>Pope Is a Rockstar</t>
  </si>
  <si>
    <t>Pieces</t>
  </si>
  <si>
    <t>Nippandab</t>
  </si>
  <si>
    <t>Crazy</t>
  </si>
  <si>
    <t>Would I Lie to You</t>
  </si>
  <si>
    <t>MISERO</t>
  </si>
  <si>
    <t>Jiggle Jiggle</t>
  </si>
  <si>
    <t>Duke &amp; Jones</t>
  </si>
  <si>
    <t>The Lockdown Sessions</t>
  </si>
  <si>
    <t>Elton John</t>
  </si>
  <si>
    <t>Cold Heart - PNAU Remix</t>
  </si>
  <si>
    <t>JAM &amp; Philly</t>
  </si>
  <si>
    <t>Can't Get You Out of My Head</t>
  </si>
  <si>
    <t>loafers</t>
  </si>
  <si>
    <t>Tainted Love</t>
  </si>
  <si>
    <t>Thatsimo</t>
  </si>
  <si>
    <t>P.S.</t>
  </si>
  <si>
    <t>Running To You (feat. Caden)</t>
  </si>
  <si>
    <t>VINAI</t>
  </si>
  <si>
    <t>MAMIII</t>
  </si>
  <si>
    <t>Serenity</t>
  </si>
  <si>
    <t>Shab</t>
  </si>
  <si>
    <t>Warning / Signs</t>
  </si>
  <si>
    <t>Matvey Emerson</t>
  </si>
  <si>
    <t>Moi... Lolita</t>
  </si>
  <si>
    <t>Monaldin</t>
  </si>
  <si>
    <t>Harry's House</t>
  </si>
  <si>
    <t>Late Night Talking</t>
  </si>
  <si>
    <t>Chaa Chaa Chaa (feat. HoodCelebrityy)</t>
  </si>
  <si>
    <t>Girll Codee</t>
  </si>
  <si>
    <t>Ocean Eyes</t>
  </si>
  <si>
    <t>Leap of Faith</t>
  </si>
  <si>
    <t>credit union</t>
  </si>
  <si>
    <t>Kinrose</t>
  </si>
  <si>
    <t>1, 2, 3 (feat. Jason Derulo &amp; De La Ghetto)</t>
  </si>
  <si>
    <t>SofÃ­a Reyes</t>
  </si>
  <si>
    <t>I Wanna Know</t>
  </si>
  <si>
    <t>Light Switch (Instrumental)</t>
  </si>
  <si>
    <t>Light Switch</t>
  </si>
  <si>
    <t>John De Sohn</t>
  </si>
  <si>
    <t>Long Road</t>
  </si>
  <si>
    <t>HotBlock Jmoe</t>
  </si>
  <si>
    <t>That Bxtch</t>
  </si>
  <si>
    <t>Taylor Watson</t>
  </si>
  <si>
    <t>When You're Gone</t>
  </si>
  <si>
    <t>Paradigm</t>
  </si>
  <si>
    <t>THE ANXIETY</t>
  </si>
  <si>
    <t>Meet Me At Our Spot</t>
  </si>
  <si>
    <t>Down Under (feat. Colin Hay)</t>
  </si>
  <si>
    <t>Luude</t>
  </si>
  <si>
    <t>Riptide</t>
  </si>
  <si>
    <t>Viva La Panda</t>
  </si>
  <si>
    <t>Frozen</t>
  </si>
  <si>
    <t>Long Way Down (Deluxe)</t>
  </si>
  <si>
    <t>Tom Odell</t>
  </si>
  <si>
    <t>Another Love</t>
  </si>
  <si>
    <t>On My Way!</t>
  </si>
  <si>
    <t>Fever (Remix)</t>
  </si>
  <si>
    <t>XY&amp;O</t>
  </si>
  <si>
    <t>Fever - Remix</t>
  </si>
  <si>
    <t>Familia</t>
  </si>
  <si>
    <t>Bam Bam (feat. Ed Sheeran)</t>
  </si>
  <si>
    <t>Left and Right (Charlie Puth) [feat. Jung Kook of BTS] [Sped Up Version]</t>
  </si>
  <si>
    <t>sped up nightcore</t>
  </si>
  <si>
    <t>Left and Right (Charlie Puth) [feat. Jung Kook of BTS] - Sped Up Version</t>
  </si>
  <si>
    <t>Dreamer</t>
  </si>
  <si>
    <t>Cooped Up</t>
  </si>
  <si>
    <t>Post Malone</t>
  </si>
  <si>
    <t>Cooped Up (with Roddy Ricch)</t>
  </si>
  <si>
    <t>Cold As Ice</t>
  </si>
  <si>
    <t>Kreepa</t>
  </si>
  <si>
    <t>Oh No</t>
  </si>
  <si>
    <t>Until I Found You</t>
  </si>
  <si>
    <t>Stephen Sanchez</t>
  </si>
  <si>
    <t>Thousand Miles</t>
  </si>
  <si>
    <t>The Plan</t>
  </si>
  <si>
    <t>Arman Aydin</t>
  </si>
  <si>
    <t>Death of a Bachelor</t>
  </si>
  <si>
    <t>Panic! At The Disco</t>
  </si>
  <si>
    <t>House of Memories</t>
  </si>
  <si>
    <t>Flex On My Ex (with Bankrol Hayden)</t>
  </si>
  <si>
    <t>KillBunk</t>
  </si>
  <si>
    <t>Baby Girl</t>
  </si>
  <si>
    <t>Disco Lines</t>
  </si>
  <si>
    <t>SNAP</t>
  </si>
  <si>
    <t>Rosa Linn</t>
  </si>
  <si>
    <t>AMG</t>
  </si>
  <si>
    <t>Jt5k</t>
  </si>
  <si>
    <t>Envolver</t>
  </si>
  <si>
    <t>Anitta</t>
  </si>
  <si>
    <t>Being Good Is Boring</t>
  </si>
  <si>
    <t>Jena Rose</t>
  </si>
  <si>
    <t>Betty (Get Money)</t>
  </si>
  <si>
    <t>Afraid To Feel</t>
  </si>
  <si>
    <t>LF SYSTEM</t>
  </si>
  <si>
    <t>First Class</t>
  </si>
  <si>
    <t>Enemy (with JID) [from the series Arcane League of Legends]</t>
  </si>
  <si>
    <t>Imagine Dragons</t>
  </si>
  <si>
    <t>Enemy (with JID) - from the series Arcane League of Legends</t>
  </si>
  <si>
    <t>Gemini Rights</t>
  </si>
  <si>
    <t>Steve Lacy</t>
  </si>
  <si>
    <t>Bad Habit</t>
  </si>
  <si>
    <t>Glimpse of Us</t>
  </si>
  <si>
    <t>About Damn Time</t>
  </si>
  <si>
    <t>Dreamland (+ Bonus Levels)</t>
  </si>
  <si>
    <t>Sunroof</t>
  </si>
  <si>
    <t>Nicky Youre</t>
  </si>
  <si>
    <t>Hounds Of Love</t>
  </si>
  <si>
    <t>Kate Bush</t>
  </si>
  <si>
    <t>Running Up That Hill (A Deal With God)</t>
  </si>
  <si>
    <t>duration_ms.1</t>
  </si>
  <si>
    <t>time_signature.1</t>
  </si>
  <si>
    <t>duration_ms.2</t>
  </si>
  <si>
    <t>time_signature.2</t>
  </si>
  <si>
    <t>track_pop</t>
  </si>
  <si>
    <t>album</t>
  </si>
  <si>
    <t>artist_name</t>
  </si>
  <si>
    <t>track_name</t>
  </si>
  <si>
    <t>Year_of_release</t>
  </si>
  <si>
    <t>Last Update:</t>
  </si>
  <si>
    <t xml:space="preserve">  Videos Created vs Song Danceability</t>
  </si>
  <si>
    <t xml:space="preserve">  Videos Created vs Energy</t>
  </si>
  <si>
    <t xml:space="preserve">  Top Artists</t>
  </si>
  <si>
    <t xml:space="preserve">  Top Songs</t>
  </si>
  <si>
    <t>y</t>
  </si>
  <si>
    <t>x</t>
  </si>
  <si>
    <t>Song Performance</t>
  </si>
  <si>
    <t>1st Quartile</t>
  </si>
  <si>
    <t>2nd Quartile</t>
  </si>
  <si>
    <t>3rd Quartile</t>
  </si>
  <si>
    <t>4th Quartile</t>
  </si>
  <si>
    <t xml:space="preserve">  Videos Created vs Mode</t>
  </si>
  <si>
    <t xml:space="preserve">  Videos Created vs Liveliness</t>
  </si>
  <si>
    <t>Duration_ms</t>
  </si>
  <si>
    <t>Time Signature</t>
  </si>
  <si>
    <t xml:space="preserve">#85  </t>
  </si>
  <si>
    <t>#204993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</si>
</sst>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h:mm\ AM/PM"/>
  </numFmts>
  <fonts count="13">
    <font>
      <sz val="11"/>
      <color theme="1"/>
      <name val="Calibri"/>
      <family val="2"/>
      <scheme val="minor"/>
    </font>
    <font>
      <sz val="11"/>
      <color theme="1"/>
      <name val="SF Pro"/>
    </font>
    <font>
      <sz val="20"/>
      <color theme="1"/>
      <name val="SF Pro"/>
    </font>
    <font>
      <sz val="8"/>
      <color theme="1"/>
      <name val="SF Pro"/>
    </font>
    <font>
      <i/>
      <sz val="14"/>
      <color theme="1"/>
      <name val="SF Pro"/>
    </font>
    <font>
      <sz val="14"/>
      <color theme="1"/>
      <name val="SF Pro"/>
    </font>
    <font>
      <b/>
      <sz val="18"/>
      <color theme="1"/>
      <name val="SF Pro"/>
    </font>
    <font>
      <sz val="18"/>
      <color theme="1"/>
      <name val="SF Pro"/>
    </font>
    <font>
      <b/>
      <sz val="20"/>
      <color theme="1"/>
      <name val="SF Pro"/>
    </font>
    <font>
      <b/>
      <sz val="18"/>
      <color rgb="FF00B050"/>
      <name val="SF Pro"/>
    </font>
    <font>
      <sz val="11"/>
      <color theme="1"/>
      <name val="Calibri"/>
      <family val="2"/>
      <scheme val="minor"/>
    </font>
    <font>
      <b/>
      <sz val="16"/>
      <color theme="1"/>
      <name val="SF Pro"/>
    </font>
    <font>
      <sz val="11"/>
      <color theme="0"/>
      <name val="SF Pro"/>
    </font>
  </fonts>
  <fills count="5">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0" fillId="0" borderId="0" applyFont="0" applyFill="0" applyBorder="0" applyAlignment="0" applyProtection="0"/>
  </cellStyleXfs>
  <cellXfs count="39">
    <xf numFmtId="0" fontId="0" fillId="0" borderId="0" xfId="0"/>
    <xf numFmtId="0" fontId="0" fillId="0" borderId="0" xfId="0" pivotButton="1"/>
    <xf numFmtId="0" fontId="0" fillId="0" borderId="0" xfId="0" applyAlignment="1">
      <alignment horizontal="left"/>
    </xf>
    <xf numFmtId="0" fontId="1" fillId="2" borderId="0" xfId="0" applyFont="1" applyFill="1"/>
    <xf numFmtId="0" fontId="1" fillId="0" borderId="0" xfId="0" applyFont="1"/>
    <xf numFmtId="0" fontId="1" fillId="3" borderId="0" xfId="0" applyFont="1" applyFill="1"/>
    <xf numFmtId="0" fontId="3" fillId="3" borderId="0" xfId="0" quotePrefix="1" applyFont="1" applyFill="1" applyAlignment="1">
      <alignment horizontal="right" vertical="center"/>
    </xf>
    <xf numFmtId="0" fontId="1" fillId="0" borderId="0" xfId="0" quotePrefix="1" applyFont="1"/>
    <xf numFmtId="0" fontId="1" fillId="4" borderId="0" xfId="0" applyFont="1" applyFill="1" applyAlignment="1">
      <alignment horizontal="left"/>
    </xf>
    <xf numFmtId="0" fontId="1" fillId="2" borderId="0" xfId="0" applyFont="1" applyFill="1" applyAlignment="1">
      <alignment vertical="center"/>
    </xf>
    <xf numFmtId="0" fontId="4" fillId="3" borderId="0" xfId="0" quotePrefix="1" applyFont="1" applyFill="1" applyAlignment="1">
      <alignment vertical="top"/>
    </xf>
    <xf numFmtId="0" fontId="12" fillId="3" borderId="0" xfId="0" applyFont="1" applyFill="1"/>
    <xf numFmtId="3" fontId="8" fillId="0" borderId="0" xfId="0" quotePrefix="1" applyNumberFormat="1" applyFont="1" applyAlignment="1">
      <alignment horizontal="center" vertical="center"/>
    </xf>
    <xf numFmtId="3" fontId="8" fillId="0" borderId="0" xfId="0" applyNumberFormat="1" applyFont="1" applyAlignment="1">
      <alignment horizontal="center" vertical="center"/>
    </xf>
    <xf numFmtId="0" fontId="4" fillId="3" borderId="1" xfId="0" quotePrefix="1" applyFont="1" applyFill="1" applyBorder="1" applyAlignment="1">
      <alignment vertical="center"/>
    </xf>
    <xf numFmtId="0" fontId="4" fillId="3" borderId="0" xfId="0" quotePrefix="1" applyFont="1" applyFill="1" applyAlignment="1">
      <alignment vertical="center"/>
    </xf>
    <xf numFmtId="0" fontId="1" fillId="4" borderId="0" xfId="0" applyFont="1" applyFill="1" applyAlignment="1">
      <alignment horizontal="left"/>
    </xf>
    <xf numFmtId="0" fontId="7" fillId="3" borderId="0" xfId="0" applyFont="1" applyFill="1" applyAlignment="1">
      <alignment horizontal="center" vertical="center"/>
    </xf>
    <xf numFmtId="0" fontId="7" fillId="0" borderId="0" xfId="0" applyFont="1" applyAlignment="1">
      <alignment horizontal="left" vertical="center"/>
    </xf>
    <xf numFmtId="164" fontId="5" fillId="3" borderId="0" xfId="0" applyNumberFormat="1" applyFont="1" applyFill="1" applyAlignment="1">
      <alignment horizontal="left" vertical="center"/>
    </xf>
    <xf numFmtId="0" fontId="11" fillId="3" borderId="0" xfId="0" applyFont="1" applyFill="1" applyAlignment="1">
      <alignment horizontal="right" vertical="center"/>
    </xf>
    <xf numFmtId="0" fontId="4" fillId="3" borderId="1" xfId="0" quotePrefix="1" applyFont="1" applyFill="1" applyBorder="1" applyAlignment="1">
      <alignment horizontal="left" vertical="center"/>
    </xf>
    <xf numFmtId="0" fontId="4" fillId="3" borderId="0" xfId="0" quotePrefix="1" applyFont="1" applyFill="1" applyAlignment="1">
      <alignment horizontal="left" vertical="center"/>
    </xf>
    <xf numFmtId="0" fontId="1" fillId="3" borderId="0" xfId="0" applyFont="1" applyFill="1"/>
    <xf numFmtId="0" fontId="7" fillId="0" borderId="0" xfId="0" applyFont="1" applyAlignment="1">
      <alignment horizontal="center" vertical="center"/>
    </xf>
    <xf numFmtId="3" fontId="5" fillId="3" borderId="0" xfId="0" quotePrefix="1" applyNumberFormat="1" applyFont="1" applyFill="1" applyAlignment="1">
      <alignment horizontal="center"/>
    </xf>
    <xf numFmtId="3" fontId="5" fillId="3" borderId="0" xfId="0" applyNumberFormat="1" applyFont="1" applyFill="1" applyAlignment="1">
      <alignment horizontal="center"/>
    </xf>
    <xf numFmtId="3" fontId="5" fillId="0" borderId="0" xfId="0" quotePrefix="1" applyNumberFormat="1" applyFont="1" applyAlignment="1">
      <alignment horizontal="center"/>
    </xf>
    <xf numFmtId="0" fontId="6" fillId="3" borderId="0" xfId="0" applyFont="1" applyFill="1" applyAlignment="1">
      <alignment horizontal="left" vertical="center" wrapText="1"/>
    </xf>
    <xf numFmtId="0" fontId="9" fillId="0" borderId="0" xfId="0" quotePrefix="1" applyFont="1" applyAlignment="1">
      <alignment horizontal="center" vertical="center" wrapText="1"/>
    </xf>
    <xf numFmtId="0" fontId="2" fillId="3" borderId="0" xfId="0" applyFont="1" applyFill="1" applyAlignment="1">
      <alignment vertical="center"/>
    </xf>
    <xf numFmtId="0" fontId="6" fillId="4" borderId="0" xfId="0" applyFont="1" applyFill="1" applyAlignment="1">
      <alignment horizontal="center" vertical="center"/>
    </xf>
    <xf numFmtId="0" fontId="4" fillId="3" borderId="0" xfId="0" quotePrefix="1" applyFont="1" applyFill="1" applyAlignment="1">
      <alignment horizontal="left"/>
    </xf>
    <xf numFmtId="3" fontId="8" fillId="3" borderId="0" xfId="0" quotePrefix="1" applyNumberFormat="1" applyFont="1" applyFill="1" applyAlignment="1">
      <alignment horizontal="center" vertical="center"/>
    </xf>
    <xf numFmtId="3" fontId="8" fillId="3" borderId="0" xfId="0" applyNumberFormat="1" applyFont="1" applyFill="1" applyAlignment="1">
      <alignment horizontal="center" vertical="center"/>
    </xf>
    <xf numFmtId="0" fontId="7" fillId="3" borderId="0" xfId="0" applyFont="1" applyFill="1" applyAlignment="1">
      <alignment vertical="center"/>
    </xf>
    <xf numFmtId="0" fontId="0" fillId="3" borderId="2" xfId="0" quotePrefix="1" applyFill="1" applyBorder="1" applyAlignment="1">
      <alignment horizontal="left" vertical="center"/>
    </xf>
    <xf numFmtId="0" fontId="0" fillId="0" borderId="2" xfId="1" applyNumberFormat="1" applyFont="1" applyBorder="1" applyAlignment="1">
      <alignment horizontal="left"/>
    </xf>
    <xf numFmtId="0" fontId="0" fillId="0" borderId="0" xfId="0" applyNumberFormat="1"/>
  </cellXfs>
  <cellStyles count="2">
    <cellStyle name="Normal" xfId="0" builtinId="0"/>
    <cellStyle name="Percent" xfId="1" builtinId="5"/>
  </cellStyles>
  <dxfs count="4">
    <dxf>
      <font>
        <color rgb="FF00B050"/>
      </font>
    </dxf>
    <dxf>
      <font>
        <color rgb="FFC00000"/>
      </font>
    </dxf>
    <dxf>
      <font>
        <b/>
        <color theme="1"/>
      </font>
      <border>
        <bottom style="thin">
          <color theme="4"/>
        </bottom>
        <vertical/>
        <horizontal/>
      </border>
    </dxf>
    <dxf>
      <font>
        <color theme="1"/>
        <name val="SF Pro Light"/>
        <scheme val="none"/>
      </font>
      <border diagonalUp="0" diagonalDown="0">
        <left/>
        <right/>
        <top/>
        <bottom/>
        <vertical/>
        <horizontal/>
      </border>
    </dxf>
  </dxfs>
  <tableStyles count="1" defaultTableStyle="TableStyleMedium2" defaultPivotStyle="PivotStyleLight16">
    <tableStyle name="SlicerStyleDark1 2" pivot="0" table="0" count="10" xr9:uid="{A28EF86B-BEED-4142-A55F-BF56EDA8D224}">
      <tableStyleElement type="wholeTable" dxfId="3"/>
      <tableStyleElement type="headerRow" dxfId="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(4).xlsm]Graphs!PivotTable11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F Pro Black Italic"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s>
    <c:plotArea>
      <c:layout>
        <c:manualLayout>
          <c:layoutTarget val="inner"/>
          <c:xMode val="edge"/>
          <c:yMode val="edge"/>
          <c:x val="6.1707126007893472E-2"/>
          <c:y val="0.12762614044605292"/>
          <c:w val="0.66291848844334922"/>
          <c:h val="0.66620029793407642"/>
        </c:manualLayout>
      </c:layout>
      <c:pieChart>
        <c:varyColors val="1"/>
        <c:ser>
          <c:idx val="0"/>
          <c:order val="0"/>
          <c:tx>
            <c:strRef>
              <c:f>Graphs!$B$20</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4F4E-4F5A-B2C6-73AE82F154CF}"/>
              </c:ext>
            </c:extLst>
          </c:dPt>
          <c:dPt>
            <c:idx val="1"/>
            <c:bubble3D val="0"/>
            <c:explosion val="7"/>
            <c:spPr>
              <a:solidFill>
                <a:schemeClr val="accent2"/>
              </a:solidFill>
              <a:ln>
                <a:noFill/>
              </a:ln>
              <a:effectLst/>
            </c:spPr>
            <c:extLst>
              <c:ext xmlns:c16="http://schemas.microsoft.com/office/drawing/2014/chart" uri="{C3380CC4-5D6E-409C-BE32-E72D297353CC}">
                <c16:uniqueId val="{00000003-4F4E-4F5A-B2C6-73AE82F154C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F Pro Black Italic" pitchFamily="2"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Graphs!$A$21:$A$23</c:f>
              <c:strCache>
                <c:ptCount val="2"/>
                <c:pt idx="0">
                  <c:v>No</c:v>
                </c:pt>
                <c:pt idx="1">
                  <c:v>Yes</c:v>
                </c:pt>
              </c:strCache>
            </c:strRef>
          </c:cat>
          <c:val>
            <c:numRef>
              <c:f>Graphs!$B$21:$B$23</c:f>
              <c:numCache>
                <c:formatCode>General</c:formatCode>
                <c:ptCount val="2"/>
                <c:pt idx="0">
                  <c:v>743</c:v>
                </c:pt>
                <c:pt idx="1">
                  <c:v>221</c:v>
                </c:pt>
              </c:numCache>
            </c:numRef>
          </c:val>
          <c:extLst>
            <c:ext xmlns:c16="http://schemas.microsoft.com/office/drawing/2014/chart" uri="{C3380CC4-5D6E-409C-BE32-E72D297353CC}">
              <c16:uniqueId val="{00000004-4F4E-4F5A-B2C6-73AE82F154C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(4).xlsm]Graphs!PivotTable12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Graphs!$E$20</c:f>
              <c:strCache>
                <c:ptCount val="1"/>
                <c:pt idx="0">
                  <c:v>Total</c:v>
                </c:pt>
              </c:strCache>
            </c:strRef>
          </c:tx>
          <c:spPr>
            <a:solidFill>
              <a:schemeClr val="accent1"/>
            </a:solidFill>
            <a:ln>
              <a:noFill/>
            </a:ln>
            <a:effectLst/>
          </c:spPr>
          <c:invertIfNegative val="0"/>
          <c:cat>
            <c:strRef>
              <c:f>Graphs!$D$21:$D$438</c:f>
              <c:strCache>
                <c:ptCount val="417"/>
                <c:pt idx="0">
                  <c:v>0.174</c:v>
                </c:pt>
                <c:pt idx="1">
                  <c:v>0.247</c:v>
                </c:pt>
                <c:pt idx="2">
                  <c:v>0.252</c:v>
                </c:pt>
                <c:pt idx="3">
                  <c:v>0.308</c:v>
                </c:pt>
                <c:pt idx="4">
                  <c:v>0.316</c:v>
                </c:pt>
                <c:pt idx="5">
                  <c:v>0.336</c:v>
                </c:pt>
                <c:pt idx="6">
                  <c:v>0.345</c:v>
                </c:pt>
                <c:pt idx="7">
                  <c:v>0.357</c:v>
                </c:pt>
                <c:pt idx="8">
                  <c:v>0.367</c:v>
                </c:pt>
                <c:pt idx="9">
                  <c:v>0.375</c:v>
                </c:pt>
                <c:pt idx="10">
                  <c:v>0.376</c:v>
                </c:pt>
                <c:pt idx="11">
                  <c:v>0.377</c:v>
                </c:pt>
                <c:pt idx="12">
                  <c:v>0.386</c:v>
                </c:pt>
                <c:pt idx="13">
                  <c:v>0.387</c:v>
                </c:pt>
                <c:pt idx="14">
                  <c:v>0.388</c:v>
                </c:pt>
                <c:pt idx="15">
                  <c:v>0.395</c:v>
                </c:pt>
                <c:pt idx="16">
                  <c:v>0.399</c:v>
                </c:pt>
                <c:pt idx="17">
                  <c:v>0.407</c:v>
                </c:pt>
                <c:pt idx="18">
                  <c:v>0.41</c:v>
                </c:pt>
                <c:pt idx="19">
                  <c:v>0.413</c:v>
                </c:pt>
                <c:pt idx="20">
                  <c:v>0.418</c:v>
                </c:pt>
                <c:pt idx="21">
                  <c:v>0.42</c:v>
                </c:pt>
                <c:pt idx="22">
                  <c:v>0.421</c:v>
                </c:pt>
                <c:pt idx="23">
                  <c:v>0.429</c:v>
                </c:pt>
                <c:pt idx="24">
                  <c:v>0.432</c:v>
                </c:pt>
                <c:pt idx="25">
                  <c:v>0.435</c:v>
                </c:pt>
                <c:pt idx="26">
                  <c:v>0.436</c:v>
                </c:pt>
                <c:pt idx="27">
                  <c:v>0.437</c:v>
                </c:pt>
                <c:pt idx="28">
                  <c:v>0.438</c:v>
                </c:pt>
                <c:pt idx="29">
                  <c:v>0.44</c:v>
                </c:pt>
                <c:pt idx="30">
                  <c:v>0.442</c:v>
                </c:pt>
                <c:pt idx="31">
                  <c:v>0.445</c:v>
                </c:pt>
                <c:pt idx="32">
                  <c:v>0.447</c:v>
                </c:pt>
                <c:pt idx="33">
                  <c:v>0.448</c:v>
                </c:pt>
                <c:pt idx="34">
                  <c:v>0.449</c:v>
                </c:pt>
                <c:pt idx="35">
                  <c:v>0.453</c:v>
                </c:pt>
                <c:pt idx="36">
                  <c:v>0.457</c:v>
                </c:pt>
                <c:pt idx="37">
                  <c:v>0.464</c:v>
                </c:pt>
                <c:pt idx="38">
                  <c:v>0.465</c:v>
                </c:pt>
                <c:pt idx="39">
                  <c:v>0.466</c:v>
                </c:pt>
                <c:pt idx="40">
                  <c:v>0.47</c:v>
                </c:pt>
                <c:pt idx="41">
                  <c:v>0.471</c:v>
                </c:pt>
                <c:pt idx="42">
                  <c:v>0.474</c:v>
                </c:pt>
                <c:pt idx="43">
                  <c:v>0.48</c:v>
                </c:pt>
                <c:pt idx="44">
                  <c:v>0.482</c:v>
                </c:pt>
                <c:pt idx="45">
                  <c:v>0.483</c:v>
                </c:pt>
                <c:pt idx="46">
                  <c:v>0.484</c:v>
                </c:pt>
                <c:pt idx="47">
                  <c:v>0.487</c:v>
                </c:pt>
                <c:pt idx="48">
                  <c:v>0.497</c:v>
                </c:pt>
                <c:pt idx="49">
                  <c:v>0.498</c:v>
                </c:pt>
                <c:pt idx="50">
                  <c:v>0.501</c:v>
                </c:pt>
                <c:pt idx="51">
                  <c:v>0.504</c:v>
                </c:pt>
                <c:pt idx="52">
                  <c:v>0.506</c:v>
                </c:pt>
                <c:pt idx="53">
                  <c:v>0.507</c:v>
                </c:pt>
                <c:pt idx="54">
                  <c:v>0.511</c:v>
                </c:pt>
                <c:pt idx="55">
                  <c:v>0.512</c:v>
                </c:pt>
                <c:pt idx="56">
                  <c:v>0.513</c:v>
                </c:pt>
                <c:pt idx="57">
                  <c:v>0.514</c:v>
                </c:pt>
                <c:pt idx="58">
                  <c:v>0.515</c:v>
                </c:pt>
                <c:pt idx="59">
                  <c:v>0.516</c:v>
                </c:pt>
                <c:pt idx="60">
                  <c:v>0.517</c:v>
                </c:pt>
                <c:pt idx="61">
                  <c:v>0.52</c:v>
                </c:pt>
                <c:pt idx="62">
                  <c:v>0.525</c:v>
                </c:pt>
                <c:pt idx="63">
                  <c:v>0.526</c:v>
                </c:pt>
                <c:pt idx="64">
                  <c:v>0.527</c:v>
                </c:pt>
                <c:pt idx="65">
                  <c:v>0.528</c:v>
                </c:pt>
                <c:pt idx="66">
                  <c:v>0.529</c:v>
                </c:pt>
                <c:pt idx="67">
                  <c:v>0.535</c:v>
                </c:pt>
                <c:pt idx="68">
                  <c:v>0.539</c:v>
                </c:pt>
                <c:pt idx="69">
                  <c:v>0.541</c:v>
                </c:pt>
                <c:pt idx="70">
                  <c:v>0.544</c:v>
                </c:pt>
                <c:pt idx="71">
                  <c:v>0.546</c:v>
                </c:pt>
                <c:pt idx="72">
                  <c:v>0.547</c:v>
                </c:pt>
                <c:pt idx="73">
                  <c:v>0.548</c:v>
                </c:pt>
                <c:pt idx="74">
                  <c:v>0.549</c:v>
                </c:pt>
                <c:pt idx="75">
                  <c:v>0.551</c:v>
                </c:pt>
                <c:pt idx="76">
                  <c:v>0.552</c:v>
                </c:pt>
                <c:pt idx="77">
                  <c:v>0.553</c:v>
                </c:pt>
                <c:pt idx="78">
                  <c:v>0.556</c:v>
                </c:pt>
                <c:pt idx="79">
                  <c:v>0.557</c:v>
                </c:pt>
                <c:pt idx="80">
                  <c:v>0.558</c:v>
                </c:pt>
                <c:pt idx="81">
                  <c:v>0.56</c:v>
                </c:pt>
                <c:pt idx="82">
                  <c:v>0.561</c:v>
                </c:pt>
                <c:pt idx="83">
                  <c:v>0.563</c:v>
                </c:pt>
                <c:pt idx="84">
                  <c:v>0.565</c:v>
                </c:pt>
                <c:pt idx="85">
                  <c:v>0.566</c:v>
                </c:pt>
                <c:pt idx="86">
                  <c:v>0.567</c:v>
                </c:pt>
                <c:pt idx="87">
                  <c:v>0.57</c:v>
                </c:pt>
                <c:pt idx="88">
                  <c:v>0.572</c:v>
                </c:pt>
                <c:pt idx="89">
                  <c:v>0.574</c:v>
                </c:pt>
                <c:pt idx="90">
                  <c:v>0.575</c:v>
                </c:pt>
                <c:pt idx="91">
                  <c:v>0.577</c:v>
                </c:pt>
                <c:pt idx="92">
                  <c:v>0.578</c:v>
                </c:pt>
                <c:pt idx="93">
                  <c:v>0.579</c:v>
                </c:pt>
                <c:pt idx="94">
                  <c:v>0.58</c:v>
                </c:pt>
                <c:pt idx="95">
                  <c:v>0.581</c:v>
                </c:pt>
                <c:pt idx="96">
                  <c:v>0.583</c:v>
                </c:pt>
                <c:pt idx="97">
                  <c:v>0.585</c:v>
                </c:pt>
                <c:pt idx="98">
                  <c:v>0.586</c:v>
                </c:pt>
                <c:pt idx="99">
                  <c:v>0.588</c:v>
                </c:pt>
                <c:pt idx="100">
                  <c:v>0.591</c:v>
                </c:pt>
                <c:pt idx="101">
                  <c:v>0.592</c:v>
                </c:pt>
                <c:pt idx="102">
                  <c:v>0.594</c:v>
                </c:pt>
                <c:pt idx="103">
                  <c:v>0.595</c:v>
                </c:pt>
                <c:pt idx="104">
                  <c:v>0.597</c:v>
                </c:pt>
                <c:pt idx="105">
                  <c:v>0.598</c:v>
                </c:pt>
                <c:pt idx="106">
                  <c:v>0.599</c:v>
                </c:pt>
                <c:pt idx="107">
                  <c:v>0.6</c:v>
                </c:pt>
                <c:pt idx="108">
                  <c:v>0.601</c:v>
                </c:pt>
                <c:pt idx="109">
                  <c:v>0.602</c:v>
                </c:pt>
                <c:pt idx="110">
                  <c:v>0.603</c:v>
                </c:pt>
                <c:pt idx="111">
                  <c:v>0.604</c:v>
                </c:pt>
                <c:pt idx="112">
                  <c:v>0.606</c:v>
                </c:pt>
                <c:pt idx="113">
                  <c:v>0.607</c:v>
                </c:pt>
                <c:pt idx="114">
                  <c:v>0.608</c:v>
                </c:pt>
                <c:pt idx="115">
                  <c:v>0.609</c:v>
                </c:pt>
                <c:pt idx="116">
                  <c:v>0.61</c:v>
                </c:pt>
                <c:pt idx="117">
                  <c:v>0.611</c:v>
                </c:pt>
                <c:pt idx="118">
                  <c:v>0.612</c:v>
                </c:pt>
                <c:pt idx="119">
                  <c:v>0.613</c:v>
                </c:pt>
                <c:pt idx="120">
                  <c:v>0.615</c:v>
                </c:pt>
                <c:pt idx="121">
                  <c:v>0.616</c:v>
                </c:pt>
                <c:pt idx="122">
                  <c:v>0.617</c:v>
                </c:pt>
                <c:pt idx="123">
                  <c:v>0.618</c:v>
                </c:pt>
                <c:pt idx="124">
                  <c:v>0.619</c:v>
                </c:pt>
                <c:pt idx="125">
                  <c:v>0.62</c:v>
                </c:pt>
                <c:pt idx="126">
                  <c:v>0.621</c:v>
                </c:pt>
                <c:pt idx="127">
                  <c:v>0.622</c:v>
                </c:pt>
                <c:pt idx="128">
                  <c:v>0.624</c:v>
                </c:pt>
                <c:pt idx="129">
                  <c:v>0.625</c:v>
                </c:pt>
                <c:pt idx="130">
                  <c:v>0.626</c:v>
                </c:pt>
                <c:pt idx="131">
                  <c:v>0.628</c:v>
                </c:pt>
                <c:pt idx="132">
                  <c:v>0.629</c:v>
                </c:pt>
                <c:pt idx="133">
                  <c:v>0.63</c:v>
                </c:pt>
                <c:pt idx="134">
                  <c:v>0.631</c:v>
                </c:pt>
                <c:pt idx="135">
                  <c:v>0.632</c:v>
                </c:pt>
                <c:pt idx="136">
                  <c:v>0.634</c:v>
                </c:pt>
                <c:pt idx="137">
                  <c:v>0.636</c:v>
                </c:pt>
                <c:pt idx="138">
                  <c:v>0.638</c:v>
                </c:pt>
                <c:pt idx="139">
                  <c:v>0.639</c:v>
                </c:pt>
                <c:pt idx="140">
                  <c:v>0.64</c:v>
                </c:pt>
                <c:pt idx="141">
                  <c:v>0.641</c:v>
                </c:pt>
                <c:pt idx="142">
                  <c:v>0.642</c:v>
                </c:pt>
                <c:pt idx="143">
                  <c:v>0.643</c:v>
                </c:pt>
                <c:pt idx="144">
                  <c:v>0.645</c:v>
                </c:pt>
                <c:pt idx="145">
                  <c:v>0.646</c:v>
                </c:pt>
                <c:pt idx="146">
                  <c:v>0.647</c:v>
                </c:pt>
                <c:pt idx="147">
                  <c:v>0.648</c:v>
                </c:pt>
                <c:pt idx="148">
                  <c:v>0.649</c:v>
                </c:pt>
                <c:pt idx="149">
                  <c:v>0.65</c:v>
                </c:pt>
                <c:pt idx="150">
                  <c:v>0.651</c:v>
                </c:pt>
                <c:pt idx="151">
                  <c:v>0.652</c:v>
                </c:pt>
                <c:pt idx="152">
                  <c:v>0.653</c:v>
                </c:pt>
                <c:pt idx="153">
                  <c:v>0.654</c:v>
                </c:pt>
                <c:pt idx="154">
                  <c:v>0.655</c:v>
                </c:pt>
                <c:pt idx="155">
                  <c:v>0.656</c:v>
                </c:pt>
                <c:pt idx="156">
                  <c:v>0.657</c:v>
                </c:pt>
                <c:pt idx="157">
                  <c:v>0.658</c:v>
                </c:pt>
                <c:pt idx="158">
                  <c:v>0.659</c:v>
                </c:pt>
                <c:pt idx="159">
                  <c:v>0.66</c:v>
                </c:pt>
                <c:pt idx="160">
                  <c:v>0.662</c:v>
                </c:pt>
                <c:pt idx="161">
                  <c:v>0.664</c:v>
                </c:pt>
                <c:pt idx="162">
                  <c:v>0.665</c:v>
                </c:pt>
                <c:pt idx="163">
                  <c:v>0.666</c:v>
                </c:pt>
                <c:pt idx="164">
                  <c:v>0.667</c:v>
                </c:pt>
                <c:pt idx="165">
                  <c:v>0.668</c:v>
                </c:pt>
                <c:pt idx="166">
                  <c:v>0.669</c:v>
                </c:pt>
                <c:pt idx="167">
                  <c:v>0.67</c:v>
                </c:pt>
                <c:pt idx="168">
                  <c:v>0.671</c:v>
                </c:pt>
                <c:pt idx="169">
                  <c:v>0.672</c:v>
                </c:pt>
                <c:pt idx="170">
                  <c:v>0.673</c:v>
                </c:pt>
                <c:pt idx="171">
                  <c:v>0.674</c:v>
                </c:pt>
                <c:pt idx="172">
                  <c:v>0.675</c:v>
                </c:pt>
                <c:pt idx="173">
                  <c:v>0.676</c:v>
                </c:pt>
                <c:pt idx="174">
                  <c:v>0.677</c:v>
                </c:pt>
                <c:pt idx="175">
                  <c:v>0.679</c:v>
                </c:pt>
                <c:pt idx="176">
                  <c:v>0.68</c:v>
                </c:pt>
                <c:pt idx="177">
                  <c:v>0.681</c:v>
                </c:pt>
                <c:pt idx="178">
                  <c:v>0.682</c:v>
                </c:pt>
                <c:pt idx="179">
                  <c:v>0.683</c:v>
                </c:pt>
                <c:pt idx="180">
                  <c:v>0.684</c:v>
                </c:pt>
                <c:pt idx="181">
                  <c:v>0.685</c:v>
                </c:pt>
                <c:pt idx="182">
                  <c:v>0.686</c:v>
                </c:pt>
                <c:pt idx="183">
                  <c:v>0.687</c:v>
                </c:pt>
                <c:pt idx="184">
                  <c:v>0.688</c:v>
                </c:pt>
                <c:pt idx="185">
                  <c:v>0.689</c:v>
                </c:pt>
                <c:pt idx="186">
                  <c:v>0.69</c:v>
                </c:pt>
                <c:pt idx="187">
                  <c:v>0.691</c:v>
                </c:pt>
                <c:pt idx="188">
                  <c:v>0.692</c:v>
                </c:pt>
                <c:pt idx="189">
                  <c:v>0.694</c:v>
                </c:pt>
                <c:pt idx="190">
                  <c:v>0.695</c:v>
                </c:pt>
                <c:pt idx="191">
                  <c:v>0.696</c:v>
                </c:pt>
                <c:pt idx="192">
                  <c:v>0.697</c:v>
                </c:pt>
                <c:pt idx="193">
                  <c:v>0.698</c:v>
                </c:pt>
                <c:pt idx="194">
                  <c:v>0.699</c:v>
                </c:pt>
                <c:pt idx="195">
                  <c:v>0.7</c:v>
                </c:pt>
                <c:pt idx="196">
                  <c:v>0.701</c:v>
                </c:pt>
                <c:pt idx="197">
                  <c:v>0.702</c:v>
                </c:pt>
                <c:pt idx="198">
                  <c:v>0.703</c:v>
                </c:pt>
                <c:pt idx="199">
                  <c:v>0.704</c:v>
                </c:pt>
                <c:pt idx="200">
                  <c:v>0.705</c:v>
                </c:pt>
                <c:pt idx="201">
                  <c:v>0.706</c:v>
                </c:pt>
                <c:pt idx="202">
                  <c:v>0.707</c:v>
                </c:pt>
                <c:pt idx="203">
                  <c:v>0.708</c:v>
                </c:pt>
                <c:pt idx="204">
                  <c:v>0.709</c:v>
                </c:pt>
                <c:pt idx="205">
                  <c:v>0.71</c:v>
                </c:pt>
                <c:pt idx="206">
                  <c:v>0.711</c:v>
                </c:pt>
                <c:pt idx="207">
                  <c:v>0.712</c:v>
                </c:pt>
                <c:pt idx="208">
                  <c:v>0.713</c:v>
                </c:pt>
                <c:pt idx="209">
                  <c:v>0.714</c:v>
                </c:pt>
                <c:pt idx="210">
                  <c:v>0.715</c:v>
                </c:pt>
                <c:pt idx="211">
                  <c:v>0.716</c:v>
                </c:pt>
                <c:pt idx="212">
                  <c:v>0.717</c:v>
                </c:pt>
                <c:pt idx="213">
                  <c:v>0.718</c:v>
                </c:pt>
                <c:pt idx="214">
                  <c:v>0.719</c:v>
                </c:pt>
                <c:pt idx="215">
                  <c:v>0.72</c:v>
                </c:pt>
                <c:pt idx="216">
                  <c:v>0.721</c:v>
                </c:pt>
                <c:pt idx="217">
                  <c:v>0.722</c:v>
                </c:pt>
                <c:pt idx="218">
                  <c:v>0.723</c:v>
                </c:pt>
                <c:pt idx="219">
                  <c:v>0.724</c:v>
                </c:pt>
                <c:pt idx="220">
                  <c:v>0.725</c:v>
                </c:pt>
                <c:pt idx="221">
                  <c:v>0.726</c:v>
                </c:pt>
                <c:pt idx="222">
                  <c:v>0.727</c:v>
                </c:pt>
                <c:pt idx="223">
                  <c:v>0.728</c:v>
                </c:pt>
                <c:pt idx="224">
                  <c:v>0.729</c:v>
                </c:pt>
                <c:pt idx="225">
                  <c:v>0.73</c:v>
                </c:pt>
                <c:pt idx="226">
                  <c:v>0.731</c:v>
                </c:pt>
                <c:pt idx="227">
                  <c:v>0.732</c:v>
                </c:pt>
                <c:pt idx="228">
                  <c:v>0.733</c:v>
                </c:pt>
                <c:pt idx="229">
                  <c:v>0.734</c:v>
                </c:pt>
                <c:pt idx="230">
                  <c:v>0.735</c:v>
                </c:pt>
                <c:pt idx="231">
                  <c:v>0.736</c:v>
                </c:pt>
                <c:pt idx="232">
                  <c:v>0.737</c:v>
                </c:pt>
                <c:pt idx="233">
                  <c:v>0.738</c:v>
                </c:pt>
                <c:pt idx="234">
                  <c:v>0.739</c:v>
                </c:pt>
                <c:pt idx="235">
                  <c:v>0.74</c:v>
                </c:pt>
                <c:pt idx="236">
                  <c:v>0.741</c:v>
                </c:pt>
                <c:pt idx="237">
                  <c:v>0.742</c:v>
                </c:pt>
                <c:pt idx="238">
                  <c:v>0.744</c:v>
                </c:pt>
                <c:pt idx="239">
                  <c:v>0.745</c:v>
                </c:pt>
                <c:pt idx="240">
                  <c:v>0.746</c:v>
                </c:pt>
                <c:pt idx="241">
                  <c:v>0.747</c:v>
                </c:pt>
                <c:pt idx="242">
                  <c:v>0.748</c:v>
                </c:pt>
                <c:pt idx="243">
                  <c:v>0.749</c:v>
                </c:pt>
                <c:pt idx="244">
                  <c:v>0.75</c:v>
                </c:pt>
                <c:pt idx="245">
                  <c:v>0.751</c:v>
                </c:pt>
                <c:pt idx="246">
                  <c:v>0.752</c:v>
                </c:pt>
                <c:pt idx="247">
                  <c:v>0.753</c:v>
                </c:pt>
                <c:pt idx="248">
                  <c:v>0.754</c:v>
                </c:pt>
                <c:pt idx="249">
                  <c:v>0.755</c:v>
                </c:pt>
                <c:pt idx="250">
                  <c:v>0.756</c:v>
                </c:pt>
                <c:pt idx="251">
                  <c:v>0.757</c:v>
                </c:pt>
                <c:pt idx="252">
                  <c:v>0.758</c:v>
                </c:pt>
                <c:pt idx="253">
                  <c:v>0.759</c:v>
                </c:pt>
                <c:pt idx="254">
                  <c:v>0.76</c:v>
                </c:pt>
                <c:pt idx="255">
                  <c:v>0.761</c:v>
                </c:pt>
                <c:pt idx="256">
                  <c:v>0.762</c:v>
                </c:pt>
                <c:pt idx="257">
                  <c:v>0.763</c:v>
                </c:pt>
                <c:pt idx="258">
                  <c:v>0.764</c:v>
                </c:pt>
                <c:pt idx="259">
                  <c:v>0.765</c:v>
                </c:pt>
                <c:pt idx="260">
                  <c:v>0.766</c:v>
                </c:pt>
                <c:pt idx="261">
                  <c:v>0.767</c:v>
                </c:pt>
                <c:pt idx="262">
                  <c:v>0.768</c:v>
                </c:pt>
                <c:pt idx="263">
                  <c:v>0.769</c:v>
                </c:pt>
                <c:pt idx="264">
                  <c:v>0.77</c:v>
                </c:pt>
                <c:pt idx="265">
                  <c:v>0.771</c:v>
                </c:pt>
                <c:pt idx="266">
                  <c:v>0.772</c:v>
                </c:pt>
                <c:pt idx="267">
                  <c:v>0.773</c:v>
                </c:pt>
                <c:pt idx="268">
                  <c:v>0.774</c:v>
                </c:pt>
                <c:pt idx="269">
                  <c:v>0.775</c:v>
                </c:pt>
                <c:pt idx="270">
                  <c:v>0.776</c:v>
                </c:pt>
                <c:pt idx="271">
                  <c:v>0.777</c:v>
                </c:pt>
                <c:pt idx="272">
                  <c:v>0.778</c:v>
                </c:pt>
                <c:pt idx="273">
                  <c:v>0.779</c:v>
                </c:pt>
                <c:pt idx="274">
                  <c:v>0.78</c:v>
                </c:pt>
                <c:pt idx="275">
                  <c:v>0.781</c:v>
                </c:pt>
                <c:pt idx="276">
                  <c:v>0.782</c:v>
                </c:pt>
                <c:pt idx="277">
                  <c:v>0.783</c:v>
                </c:pt>
                <c:pt idx="278">
                  <c:v>0.784</c:v>
                </c:pt>
                <c:pt idx="279">
                  <c:v>0.785</c:v>
                </c:pt>
                <c:pt idx="280">
                  <c:v>0.786</c:v>
                </c:pt>
                <c:pt idx="281">
                  <c:v>0.787</c:v>
                </c:pt>
                <c:pt idx="282">
                  <c:v>0.788</c:v>
                </c:pt>
                <c:pt idx="283">
                  <c:v>0.789</c:v>
                </c:pt>
                <c:pt idx="284">
                  <c:v>0.791</c:v>
                </c:pt>
                <c:pt idx="285">
                  <c:v>0.792</c:v>
                </c:pt>
                <c:pt idx="286">
                  <c:v>0.793</c:v>
                </c:pt>
                <c:pt idx="287">
                  <c:v>0.794</c:v>
                </c:pt>
                <c:pt idx="288">
                  <c:v>0.795</c:v>
                </c:pt>
                <c:pt idx="289">
                  <c:v>0.796</c:v>
                </c:pt>
                <c:pt idx="290">
                  <c:v>0.797</c:v>
                </c:pt>
                <c:pt idx="291">
                  <c:v>0.798</c:v>
                </c:pt>
                <c:pt idx="292">
                  <c:v>0.799</c:v>
                </c:pt>
                <c:pt idx="293">
                  <c:v>0.8</c:v>
                </c:pt>
                <c:pt idx="294">
                  <c:v>0.801</c:v>
                </c:pt>
                <c:pt idx="295">
                  <c:v>0.802</c:v>
                </c:pt>
                <c:pt idx="296">
                  <c:v>0.803</c:v>
                </c:pt>
                <c:pt idx="297">
                  <c:v>0.804</c:v>
                </c:pt>
                <c:pt idx="298">
                  <c:v>0.805</c:v>
                </c:pt>
                <c:pt idx="299">
                  <c:v>0.806</c:v>
                </c:pt>
                <c:pt idx="300">
                  <c:v>0.807</c:v>
                </c:pt>
                <c:pt idx="301">
                  <c:v>0.808</c:v>
                </c:pt>
                <c:pt idx="302">
                  <c:v>0.81</c:v>
                </c:pt>
                <c:pt idx="303">
                  <c:v>0.811</c:v>
                </c:pt>
                <c:pt idx="304">
                  <c:v>0.812</c:v>
                </c:pt>
                <c:pt idx="305">
                  <c:v>0.813</c:v>
                </c:pt>
                <c:pt idx="306">
                  <c:v>0.814</c:v>
                </c:pt>
                <c:pt idx="307">
                  <c:v>0.815</c:v>
                </c:pt>
                <c:pt idx="308">
                  <c:v>0.816</c:v>
                </c:pt>
                <c:pt idx="309">
                  <c:v>0.817</c:v>
                </c:pt>
                <c:pt idx="310">
                  <c:v>0.818</c:v>
                </c:pt>
                <c:pt idx="311">
                  <c:v>0.819</c:v>
                </c:pt>
                <c:pt idx="312">
                  <c:v>0.82</c:v>
                </c:pt>
                <c:pt idx="313">
                  <c:v>0.822</c:v>
                </c:pt>
                <c:pt idx="314">
                  <c:v>0.823</c:v>
                </c:pt>
                <c:pt idx="315">
                  <c:v>0.824</c:v>
                </c:pt>
                <c:pt idx="316">
                  <c:v>0.826</c:v>
                </c:pt>
                <c:pt idx="317">
                  <c:v>0.827</c:v>
                </c:pt>
                <c:pt idx="318">
                  <c:v>0.828</c:v>
                </c:pt>
                <c:pt idx="319">
                  <c:v>0.829</c:v>
                </c:pt>
                <c:pt idx="320">
                  <c:v>0.83</c:v>
                </c:pt>
                <c:pt idx="321">
                  <c:v>0.831</c:v>
                </c:pt>
                <c:pt idx="322">
                  <c:v>0.834</c:v>
                </c:pt>
                <c:pt idx="323">
                  <c:v>0.836</c:v>
                </c:pt>
                <c:pt idx="324">
                  <c:v>0.839</c:v>
                </c:pt>
                <c:pt idx="325">
                  <c:v>0.84</c:v>
                </c:pt>
                <c:pt idx="326">
                  <c:v>0.842</c:v>
                </c:pt>
                <c:pt idx="327">
                  <c:v>0.843</c:v>
                </c:pt>
                <c:pt idx="328">
                  <c:v>0.844</c:v>
                </c:pt>
                <c:pt idx="329">
                  <c:v>0.845</c:v>
                </c:pt>
                <c:pt idx="330">
                  <c:v>0.847</c:v>
                </c:pt>
                <c:pt idx="331">
                  <c:v>0.848</c:v>
                </c:pt>
                <c:pt idx="332">
                  <c:v>0.849</c:v>
                </c:pt>
                <c:pt idx="333">
                  <c:v>0.85</c:v>
                </c:pt>
                <c:pt idx="334">
                  <c:v>0.851</c:v>
                </c:pt>
                <c:pt idx="335">
                  <c:v>0.853</c:v>
                </c:pt>
                <c:pt idx="336">
                  <c:v>0.855</c:v>
                </c:pt>
                <c:pt idx="337">
                  <c:v>0.856</c:v>
                </c:pt>
                <c:pt idx="338">
                  <c:v>0.857</c:v>
                </c:pt>
                <c:pt idx="339">
                  <c:v>0.859</c:v>
                </c:pt>
                <c:pt idx="340">
                  <c:v>0.861</c:v>
                </c:pt>
                <c:pt idx="341">
                  <c:v>0.862</c:v>
                </c:pt>
                <c:pt idx="342">
                  <c:v>0.863</c:v>
                </c:pt>
                <c:pt idx="343">
                  <c:v>0.864</c:v>
                </c:pt>
                <c:pt idx="344">
                  <c:v>0.865</c:v>
                </c:pt>
                <c:pt idx="345">
                  <c:v>0.866</c:v>
                </c:pt>
                <c:pt idx="346">
                  <c:v>0.868</c:v>
                </c:pt>
                <c:pt idx="347">
                  <c:v>0.87</c:v>
                </c:pt>
                <c:pt idx="348">
                  <c:v>0.871</c:v>
                </c:pt>
                <c:pt idx="349">
                  <c:v>0.872</c:v>
                </c:pt>
                <c:pt idx="350">
                  <c:v>0.873</c:v>
                </c:pt>
                <c:pt idx="351">
                  <c:v>0.874</c:v>
                </c:pt>
                <c:pt idx="352">
                  <c:v>0.875</c:v>
                </c:pt>
                <c:pt idx="353">
                  <c:v>0.876</c:v>
                </c:pt>
                <c:pt idx="354">
                  <c:v>0.877</c:v>
                </c:pt>
                <c:pt idx="355">
                  <c:v>0.878</c:v>
                </c:pt>
                <c:pt idx="356">
                  <c:v>0.879</c:v>
                </c:pt>
                <c:pt idx="357">
                  <c:v>0.88</c:v>
                </c:pt>
                <c:pt idx="358">
                  <c:v>0.883</c:v>
                </c:pt>
                <c:pt idx="359">
                  <c:v>0.884</c:v>
                </c:pt>
                <c:pt idx="360">
                  <c:v>0.885</c:v>
                </c:pt>
                <c:pt idx="361">
                  <c:v>0.886</c:v>
                </c:pt>
                <c:pt idx="362">
                  <c:v>0.887</c:v>
                </c:pt>
                <c:pt idx="363">
                  <c:v>0.888</c:v>
                </c:pt>
                <c:pt idx="364">
                  <c:v>0.889</c:v>
                </c:pt>
                <c:pt idx="365">
                  <c:v>0.89</c:v>
                </c:pt>
                <c:pt idx="366">
                  <c:v>0.891</c:v>
                </c:pt>
                <c:pt idx="367">
                  <c:v>0.892</c:v>
                </c:pt>
                <c:pt idx="368">
                  <c:v>0.893</c:v>
                </c:pt>
                <c:pt idx="369">
                  <c:v>0.894</c:v>
                </c:pt>
                <c:pt idx="370">
                  <c:v>0.895</c:v>
                </c:pt>
                <c:pt idx="371">
                  <c:v>0.896</c:v>
                </c:pt>
                <c:pt idx="372">
                  <c:v>0.897</c:v>
                </c:pt>
                <c:pt idx="373">
                  <c:v>0.898</c:v>
                </c:pt>
                <c:pt idx="374">
                  <c:v>0.899</c:v>
                </c:pt>
                <c:pt idx="375">
                  <c:v>0.9</c:v>
                </c:pt>
                <c:pt idx="376">
                  <c:v>0.901</c:v>
                </c:pt>
                <c:pt idx="377">
                  <c:v>0.905</c:v>
                </c:pt>
                <c:pt idx="378">
                  <c:v>0.906</c:v>
                </c:pt>
                <c:pt idx="379">
                  <c:v>0.907</c:v>
                </c:pt>
                <c:pt idx="380">
                  <c:v>0.91</c:v>
                </c:pt>
                <c:pt idx="381">
                  <c:v>0.911</c:v>
                </c:pt>
                <c:pt idx="382">
                  <c:v>0.912</c:v>
                </c:pt>
                <c:pt idx="383">
                  <c:v>0.913</c:v>
                </c:pt>
                <c:pt idx="384">
                  <c:v>0.915</c:v>
                </c:pt>
                <c:pt idx="385">
                  <c:v>0.917</c:v>
                </c:pt>
                <c:pt idx="386">
                  <c:v>0.918</c:v>
                </c:pt>
                <c:pt idx="387">
                  <c:v>0.92</c:v>
                </c:pt>
                <c:pt idx="388">
                  <c:v>0.921</c:v>
                </c:pt>
                <c:pt idx="389">
                  <c:v>0.922</c:v>
                </c:pt>
                <c:pt idx="390">
                  <c:v>0.923</c:v>
                </c:pt>
                <c:pt idx="391">
                  <c:v>0.924</c:v>
                </c:pt>
                <c:pt idx="392">
                  <c:v>0.925</c:v>
                </c:pt>
                <c:pt idx="393">
                  <c:v>0.928</c:v>
                </c:pt>
                <c:pt idx="394">
                  <c:v>0.932</c:v>
                </c:pt>
                <c:pt idx="395">
                  <c:v>0.934</c:v>
                </c:pt>
                <c:pt idx="396">
                  <c:v>0.935</c:v>
                </c:pt>
                <c:pt idx="397">
                  <c:v>0.937</c:v>
                </c:pt>
                <c:pt idx="398">
                  <c:v>0.938</c:v>
                </c:pt>
                <c:pt idx="399">
                  <c:v>0.939</c:v>
                </c:pt>
                <c:pt idx="400">
                  <c:v>0.94</c:v>
                </c:pt>
                <c:pt idx="401">
                  <c:v>0.941</c:v>
                </c:pt>
                <c:pt idx="402">
                  <c:v>0.944</c:v>
                </c:pt>
                <c:pt idx="403">
                  <c:v>0.945</c:v>
                </c:pt>
                <c:pt idx="404">
                  <c:v>0.946</c:v>
                </c:pt>
                <c:pt idx="405">
                  <c:v>0.949</c:v>
                </c:pt>
                <c:pt idx="406">
                  <c:v>0.95</c:v>
                </c:pt>
                <c:pt idx="407">
                  <c:v>0.954</c:v>
                </c:pt>
                <c:pt idx="408">
                  <c:v>0.96</c:v>
                </c:pt>
                <c:pt idx="409">
                  <c:v>0.961</c:v>
                </c:pt>
                <c:pt idx="410">
                  <c:v>0.964</c:v>
                </c:pt>
                <c:pt idx="411">
                  <c:v>0.965</c:v>
                </c:pt>
                <c:pt idx="412">
                  <c:v>0.971</c:v>
                </c:pt>
                <c:pt idx="413">
                  <c:v>0.974</c:v>
                </c:pt>
                <c:pt idx="414">
                  <c:v>0.977</c:v>
                </c:pt>
                <c:pt idx="415">
                  <c:v>0.978</c:v>
                </c:pt>
                <c:pt idx="416">
                  <c:v>0.98</c:v>
                </c:pt>
              </c:strCache>
            </c:strRef>
          </c:cat>
          <c:val>
            <c:numRef>
              <c:f>Graphs!$E$21:$E$438</c:f>
              <c:numCache>
                <c:formatCode>General</c:formatCode>
                <c:ptCount val="417"/>
                <c:pt idx="0">
                  <c:v>104400</c:v>
                </c:pt>
                <c:pt idx="1">
                  <c:v>105800</c:v>
                </c:pt>
                <c:pt idx="2">
                  <c:v>112</c:v>
                </c:pt>
                <c:pt idx="3">
                  <c:v>148200</c:v>
                </c:pt>
                <c:pt idx="4">
                  <c:v>1500000</c:v>
                </c:pt>
                <c:pt idx="5">
                  <c:v>13300000</c:v>
                </c:pt>
                <c:pt idx="6">
                  <c:v>202500</c:v>
                </c:pt>
                <c:pt idx="7">
                  <c:v>303400</c:v>
                </c:pt>
                <c:pt idx="8">
                  <c:v>97300</c:v>
                </c:pt>
                <c:pt idx="9">
                  <c:v>65900</c:v>
                </c:pt>
                <c:pt idx="10">
                  <c:v>456700</c:v>
                </c:pt>
                <c:pt idx="11">
                  <c:v>6068</c:v>
                </c:pt>
                <c:pt idx="12">
                  <c:v>45100</c:v>
                </c:pt>
                <c:pt idx="13">
                  <c:v>49</c:v>
                </c:pt>
                <c:pt idx="14">
                  <c:v>531900</c:v>
                </c:pt>
                <c:pt idx="15">
                  <c:v>742300</c:v>
                </c:pt>
                <c:pt idx="16">
                  <c:v>2800000</c:v>
                </c:pt>
                <c:pt idx="17">
                  <c:v>12100</c:v>
                </c:pt>
                <c:pt idx="18">
                  <c:v>722400</c:v>
                </c:pt>
                <c:pt idx="19">
                  <c:v>411300</c:v>
                </c:pt>
                <c:pt idx="20">
                  <c:v>177900</c:v>
                </c:pt>
                <c:pt idx="21">
                  <c:v>1500000</c:v>
                </c:pt>
                <c:pt idx="22">
                  <c:v>1302194</c:v>
                </c:pt>
                <c:pt idx="23">
                  <c:v>302</c:v>
                </c:pt>
                <c:pt idx="24">
                  <c:v>766300</c:v>
                </c:pt>
                <c:pt idx="25">
                  <c:v>16300</c:v>
                </c:pt>
                <c:pt idx="26">
                  <c:v>198900</c:v>
                </c:pt>
                <c:pt idx="27">
                  <c:v>1200000</c:v>
                </c:pt>
                <c:pt idx="28">
                  <c:v>231200</c:v>
                </c:pt>
                <c:pt idx="29">
                  <c:v>1000000</c:v>
                </c:pt>
                <c:pt idx="30">
                  <c:v>300</c:v>
                </c:pt>
                <c:pt idx="31">
                  <c:v>638000</c:v>
                </c:pt>
                <c:pt idx="32">
                  <c:v>240900</c:v>
                </c:pt>
                <c:pt idx="33">
                  <c:v>2600000</c:v>
                </c:pt>
                <c:pt idx="34">
                  <c:v>702700</c:v>
                </c:pt>
                <c:pt idx="35">
                  <c:v>1100000</c:v>
                </c:pt>
                <c:pt idx="36">
                  <c:v>17800</c:v>
                </c:pt>
                <c:pt idx="37">
                  <c:v>130200</c:v>
                </c:pt>
                <c:pt idx="38">
                  <c:v>0</c:v>
                </c:pt>
                <c:pt idx="39">
                  <c:v>153500</c:v>
                </c:pt>
                <c:pt idx="40">
                  <c:v>52600</c:v>
                </c:pt>
                <c:pt idx="41">
                  <c:v>2933</c:v>
                </c:pt>
                <c:pt idx="42">
                  <c:v>717600</c:v>
                </c:pt>
                <c:pt idx="43">
                  <c:v>2</c:v>
                </c:pt>
                <c:pt idx="44">
                  <c:v>331</c:v>
                </c:pt>
                <c:pt idx="45">
                  <c:v>103000</c:v>
                </c:pt>
                <c:pt idx="46">
                  <c:v>329100</c:v>
                </c:pt>
                <c:pt idx="47">
                  <c:v>1191</c:v>
                </c:pt>
                <c:pt idx="48">
                  <c:v>296700</c:v>
                </c:pt>
                <c:pt idx="49">
                  <c:v>471400</c:v>
                </c:pt>
                <c:pt idx="50">
                  <c:v>29624</c:v>
                </c:pt>
                <c:pt idx="51">
                  <c:v>1700181</c:v>
                </c:pt>
                <c:pt idx="52">
                  <c:v>502900</c:v>
                </c:pt>
                <c:pt idx="53">
                  <c:v>0</c:v>
                </c:pt>
                <c:pt idx="54">
                  <c:v>472400</c:v>
                </c:pt>
                <c:pt idx="55">
                  <c:v>225900</c:v>
                </c:pt>
                <c:pt idx="56">
                  <c:v>1742200</c:v>
                </c:pt>
                <c:pt idx="57">
                  <c:v>3400000</c:v>
                </c:pt>
                <c:pt idx="58">
                  <c:v>747300</c:v>
                </c:pt>
                <c:pt idx="59">
                  <c:v>3516</c:v>
                </c:pt>
                <c:pt idx="60">
                  <c:v>153</c:v>
                </c:pt>
                <c:pt idx="61">
                  <c:v>577800</c:v>
                </c:pt>
                <c:pt idx="62">
                  <c:v>1200000</c:v>
                </c:pt>
                <c:pt idx="63">
                  <c:v>201</c:v>
                </c:pt>
                <c:pt idx="64">
                  <c:v>23900</c:v>
                </c:pt>
                <c:pt idx="65">
                  <c:v>154600</c:v>
                </c:pt>
                <c:pt idx="66">
                  <c:v>8491</c:v>
                </c:pt>
                <c:pt idx="67">
                  <c:v>863100</c:v>
                </c:pt>
                <c:pt idx="68">
                  <c:v>954800</c:v>
                </c:pt>
                <c:pt idx="69">
                  <c:v>1100000</c:v>
                </c:pt>
                <c:pt idx="70">
                  <c:v>0</c:v>
                </c:pt>
                <c:pt idx="71">
                  <c:v>207100</c:v>
                </c:pt>
                <c:pt idx="72">
                  <c:v>6</c:v>
                </c:pt>
                <c:pt idx="73">
                  <c:v>1400000</c:v>
                </c:pt>
                <c:pt idx="74">
                  <c:v>15000</c:v>
                </c:pt>
                <c:pt idx="75">
                  <c:v>318700</c:v>
                </c:pt>
                <c:pt idx="76">
                  <c:v>0</c:v>
                </c:pt>
                <c:pt idx="77">
                  <c:v>138900</c:v>
                </c:pt>
                <c:pt idx="78">
                  <c:v>0</c:v>
                </c:pt>
                <c:pt idx="79">
                  <c:v>0</c:v>
                </c:pt>
                <c:pt idx="80">
                  <c:v>1215791</c:v>
                </c:pt>
                <c:pt idx="81">
                  <c:v>867877</c:v>
                </c:pt>
                <c:pt idx="82">
                  <c:v>1100000</c:v>
                </c:pt>
                <c:pt idx="83">
                  <c:v>13301</c:v>
                </c:pt>
                <c:pt idx="84">
                  <c:v>167</c:v>
                </c:pt>
                <c:pt idx="85">
                  <c:v>321800</c:v>
                </c:pt>
                <c:pt idx="86">
                  <c:v>1200000</c:v>
                </c:pt>
                <c:pt idx="87">
                  <c:v>0</c:v>
                </c:pt>
                <c:pt idx="88">
                  <c:v>426100</c:v>
                </c:pt>
                <c:pt idx="89">
                  <c:v>0</c:v>
                </c:pt>
                <c:pt idx="90">
                  <c:v>45500</c:v>
                </c:pt>
                <c:pt idx="91">
                  <c:v>0</c:v>
                </c:pt>
                <c:pt idx="92">
                  <c:v>250200</c:v>
                </c:pt>
                <c:pt idx="93">
                  <c:v>126</c:v>
                </c:pt>
                <c:pt idx="94">
                  <c:v>644600</c:v>
                </c:pt>
                <c:pt idx="95">
                  <c:v>170</c:v>
                </c:pt>
                <c:pt idx="96">
                  <c:v>825200</c:v>
                </c:pt>
                <c:pt idx="97">
                  <c:v>1100000</c:v>
                </c:pt>
                <c:pt idx="98">
                  <c:v>3190100</c:v>
                </c:pt>
                <c:pt idx="99">
                  <c:v>637562</c:v>
                </c:pt>
                <c:pt idx="100">
                  <c:v>10998</c:v>
                </c:pt>
                <c:pt idx="101">
                  <c:v>403920</c:v>
                </c:pt>
                <c:pt idx="102">
                  <c:v>378900</c:v>
                </c:pt>
                <c:pt idx="103">
                  <c:v>972201</c:v>
                </c:pt>
                <c:pt idx="104">
                  <c:v>271700</c:v>
                </c:pt>
                <c:pt idx="105">
                  <c:v>5500000</c:v>
                </c:pt>
                <c:pt idx="106">
                  <c:v>134817</c:v>
                </c:pt>
                <c:pt idx="107">
                  <c:v>18600</c:v>
                </c:pt>
                <c:pt idx="108">
                  <c:v>289006</c:v>
                </c:pt>
                <c:pt idx="109">
                  <c:v>849900</c:v>
                </c:pt>
                <c:pt idx="110">
                  <c:v>4653</c:v>
                </c:pt>
                <c:pt idx="111">
                  <c:v>1246700</c:v>
                </c:pt>
                <c:pt idx="112">
                  <c:v>3200010</c:v>
                </c:pt>
                <c:pt idx="113">
                  <c:v>143300</c:v>
                </c:pt>
                <c:pt idx="114">
                  <c:v>5281</c:v>
                </c:pt>
                <c:pt idx="115">
                  <c:v>1361200</c:v>
                </c:pt>
                <c:pt idx="116">
                  <c:v>5028</c:v>
                </c:pt>
                <c:pt idx="117">
                  <c:v>1157530</c:v>
                </c:pt>
                <c:pt idx="118">
                  <c:v>1046100</c:v>
                </c:pt>
                <c:pt idx="119">
                  <c:v>1153621</c:v>
                </c:pt>
                <c:pt idx="120">
                  <c:v>220</c:v>
                </c:pt>
                <c:pt idx="121">
                  <c:v>3396</c:v>
                </c:pt>
                <c:pt idx="122">
                  <c:v>43100</c:v>
                </c:pt>
                <c:pt idx="123">
                  <c:v>137400</c:v>
                </c:pt>
                <c:pt idx="124">
                  <c:v>1501889</c:v>
                </c:pt>
                <c:pt idx="125">
                  <c:v>672200</c:v>
                </c:pt>
                <c:pt idx="126">
                  <c:v>3743880</c:v>
                </c:pt>
                <c:pt idx="127">
                  <c:v>24000</c:v>
                </c:pt>
                <c:pt idx="128">
                  <c:v>11500</c:v>
                </c:pt>
                <c:pt idx="129">
                  <c:v>3</c:v>
                </c:pt>
                <c:pt idx="130">
                  <c:v>542296</c:v>
                </c:pt>
                <c:pt idx="131">
                  <c:v>1093100</c:v>
                </c:pt>
                <c:pt idx="132">
                  <c:v>2830200</c:v>
                </c:pt>
                <c:pt idx="133">
                  <c:v>338015</c:v>
                </c:pt>
                <c:pt idx="134">
                  <c:v>3600000</c:v>
                </c:pt>
                <c:pt idx="135">
                  <c:v>415000</c:v>
                </c:pt>
                <c:pt idx="136">
                  <c:v>15400</c:v>
                </c:pt>
                <c:pt idx="137">
                  <c:v>185700</c:v>
                </c:pt>
                <c:pt idx="138">
                  <c:v>4682</c:v>
                </c:pt>
                <c:pt idx="139">
                  <c:v>0</c:v>
                </c:pt>
                <c:pt idx="140">
                  <c:v>3766500</c:v>
                </c:pt>
                <c:pt idx="141">
                  <c:v>0</c:v>
                </c:pt>
                <c:pt idx="142">
                  <c:v>4</c:v>
                </c:pt>
                <c:pt idx="143">
                  <c:v>0</c:v>
                </c:pt>
                <c:pt idx="144">
                  <c:v>915658</c:v>
                </c:pt>
                <c:pt idx="145">
                  <c:v>522389</c:v>
                </c:pt>
                <c:pt idx="146">
                  <c:v>146900</c:v>
                </c:pt>
                <c:pt idx="147">
                  <c:v>415600</c:v>
                </c:pt>
                <c:pt idx="148">
                  <c:v>21194</c:v>
                </c:pt>
                <c:pt idx="149">
                  <c:v>82700</c:v>
                </c:pt>
                <c:pt idx="150">
                  <c:v>7658368</c:v>
                </c:pt>
                <c:pt idx="151">
                  <c:v>3800000</c:v>
                </c:pt>
                <c:pt idx="152">
                  <c:v>1735000</c:v>
                </c:pt>
                <c:pt idx="153">
                  <c:v>2749100</c:v>
                </c:pt>
                <c:pt idx="154">
                  <c:v>166549</c:v>
                </c:pt>
                <c:pt idx="155">
                  <c:v>1700007</c:v>
                </c:pt>
                <c:pt idx="156">
                  <c:v>170096</c:v>
                </c:pt>
                <c:pt idx="157">
                  <c:v>33128</c:v>
                </c:pt>
                <c:pt idx="158">
                  <c:v>529528</c:v>
                </c:pt>
                <c:pt idx="159">
                  <c:v>19553</c:v>
                </c:pt>
                <c:pt idx="160">
                  <c:v>2621400</c:v>
                </c:pt>
                <c:pt idx="161">
                  <c:v>1617861</c:v>
                </c:pt>
                <c:pt idx="162">
                  <c:v>384723</c:v>
                </c:pt>
                <c:pt idx="163">
                  <c:v>1435</c:v>
                </c:pt>
                <c:pt idx="164">
                  <c:v>355500</c:v>
                </c:pt>
                <c:pt idx="165">
                  <c:v>1056</c:v>
                </c:pt>
                <c:pt idx="166">
                  <c:v>28286</c:v>
                </c:pt>
                <c:pt idx="167">
                  <c:v>51</c:v>
                </c:pt>
                <c:pt idx="168">
                  <c:v>4700000</c:v>
                </c:pt>
                <c:pt idx="169">
                  <c:v>877</c:v>
                </c:pt>
                <c:pt idx="170">
                  <c:v>1</c:v>
                </c:pt>
                <c:pt idx="171">
                  <c:v>729587</c:v>
                </c:pt>
                <c:pt idx="172">
                  <c:v>572</c:v>
                </c:pt>
                <c:pt idx="173">
                  <c:v>1408616</c:v>
                </c:pt>
                <c:pt idx="174">
                  <c:v>32</c:v>
                </c:pt>
                <c:pt idx="175">
                  <c:v>47400</c:v>
                </c:pt>
                <c:pt idx="176">
                  <c:v>8944079</c:v>
                </c:pt>
                <c:pt idx="177">
                  <c:v>8</c:v>
                </c:pt>
                <c:pt idx="178">
                  <c:v>423400</c:v>
                </c:pt>
                <c:pt idx="179">
                  <c:v>1</c:v>
                </c:pt>
                <c:pt idx="180">
                  <c:v>105300</c:v>
                </c:pt>
                <c:pt idx="181">
                  <c:v>120432</c:v>
                </c:pt>
                <c:pt idx="182">
                  <c:v>1937149</c:v>
                </c:pt>
                <c:pt idx="183">
                  <c:v>8935</c:v>
                </c:pt>
                <c:pt idx="184">
                  <c:v>1853912</c:v>
                </c:pt>
                <c:pt idx="185">
                  <c:v>6981664</c:v>
                </c:pt>
                <c:pt idx="186">
                  <c:v>3326262</c:v>
                </c:pt>
                <c:pt idx="187">
                  <c:v>3553500</c:v>
                </c:pt>
                <c:pt idx="188">
                  <c:v>5</c:v>
                </c:pt>
                <c:pt idx="189">
                  <c:v>103</c:v>
                </c:pt>
                <c:pt idx="190">
                  <c:v>5744300</c:v>
                </c:pt>
                <c:pt idx="191">
                  <c:v>984502</c:v>
                </c:pt>
                <c:pt idx="192">
                  <c:v>1</c:v>
                </c:pt>
                <c:pt idx="193">
                  <c:v>149512</c:v>
                </c:pt>
                <c:pt idx="194">
                  <c:v>7509600</c:v>
                </c:pt>
                <c:pt idx="195">
                  <c:v>16019100</c:v>
                </c:pt>
                <c:pt idx="196">
                  <c:v>4200002</c:v>
                </c:pt>
                <c:pt idx="197">
                  <c:v>2338300</c:v>
                </c:pt>
                <c:pt idx="198">
                  <c:v>720300</c:v>
                </c:pt>
                <c:pt idx="199">
                  <c:v>0</c:v>
                </c:pt>
                <c:pt idx="200">
                  <c:v>2600000</c:v>
                </c:pt>
                <c:pt idx="201">
                  <c:v>1498700</c:v>
                </c:pt>
                <c:pt idx="202">
                  <c:v>1158512</c:v>
                </c:pt>
                <c:pt idx="203">
                  <c:v>3400541</c:v>
                </c:pt>
                <c:pt idx="204">
                  <c:v>12200000</c:v>
                </c:pt>
                <c:pt idx="205">
                  <c:v>4125600</c:v>
                </c:pt>
                <c:pt idx="206">
                  <c:v>2316500</c:v>
                </c:pt>
                <c:pt idx="207">
                  <c:v>297551</c:v>
                </c:pt>
                <c:pt idx="208">
                  <c:v>158300</c:v>
                </c:pt>
                <c:pt idx="209">
                  <c:v>20229659</c:v>
                </c:pt>
                <c:pt idx="210">
                  <c:v>525087</c:v>
                </c:pt>
                <c:pt idx="211">
                  <c:v>1000000</c:v>
                </c:pt>
                <c:pt idx="212">
                  <c:v>134201</c:v>
                </c:pt>
                <c:pt idx="213">
                  <c:v>4543400</c:v>
                </c:pt>
                <c:pt idx="214">
                  <c:v>1741900</c:v>
                </c:pt>
                <c:pt idx="215">
                  <c:v>806636</c:v>
                </c:pt>
                <c:pt idx="216">
                  <c:v>97909</c:v>
                </c:pt>
                <c:pt idx="217">
                  <c:v>3</c:v>
                </c:pt>
                <c:pt idx="218">
                  <c:v>115500</c:v>
                </c:pt>
                <c:pt idx="219">
                  <c:v>1100012</c:v>
                </c:pt>
                <c:pt idx="220">
                  <c:v>2587200</c:v>
                </c:pt>
                <c:pt idx="221">
                  <c:v>8200000</c:v>
                </c:pt>
                <c:pt idx="222">
                  <c:v>8288342</c:v>
                </c:pt>
                <c:pt idx="223">
                  <c:v>13703400</c:v>
                </c:pt>
                <c:pt idx="224">
                  <c:v>302500</c:v>
                </c:pt>
                <c:pt idx="225">
                  <c:v>1772900</c:v>
                </c:pt>
                <c:pt idx="226">
                  <c:v>658300</c:v>
                </c:pt>
                <c:pt idx="227">
                  <c:v>1542142</c:v>
                </c:pt>
                <c:pt idx="228">
                  <c:v>937</c:v>
                </c:pt>
                <c:pt idx="229">
                  <c:v>2255635</c:v>
                </c:pt>
                <c:pt idx="230">
                  <c:v>1152</c:v>
                </c:pt>
                <c:pt idx="231">
                  <c:v>41197142</c:v>
                </c:pt>
                <c:pt idx="232">
                  <c:v>1206900</c:v>
                </c:pt>
                <c:pt idx="233">
                  <c:v>3157227</c:v>
                </c:pt>
                <c:pt idx="234">
                  <c:v>2</c:v>
                </c:pt>
                <c:pt idx="235">
                  <c:v>793700</c:v>
                </c:pt>
                <c:pt idx="236">
                  <c:v>15</c:v>
                </c:pt>
                <c:pt idx="237">
                  <c:v>2743400</c:v>
                </c:pt>
                <c:pt idx="238">
                  <c:v>2400138</c:v>
                </c:pt>
                <c:pt idx="239">
                  <c:v>19587601</c:v>
                </c:pt>
                <c:pt idx="240">
                  <c:v>4844276</c:v>
                </c:pt>
                <c:pt idx="241">
                  <c:v>276000</c:v>
                </c:pt>
                <c:pt idx="242">
                  <c:v>163203</c:v>
                </c:pt>
                <c:pt idx="243">
                  <c:v>214400</c:v>
                </c:pt>
                <c:pt idx="244">
                  <c:v>30</c:v>
                </c:pt>
                <c:pt idx="245">
                  <c:v>18100</c:v>
                </c:pt>
                <c:pt idx="246">
                  <c:v>175671</c:v>
                </c:pt>
                <c:pt idx="247">
                  <c:v>615667</c:v>
                </c:pt>
                <c:pt idx="248">
                  <c:v>3087830</c:v>
                </c:pt>
                <c:pt idx="249">
                  <c:v>141600</c:v>
                </c:pt>
                <c:pt idx="250">
                  <c:v>97700</c:v>
                </c:pt>
                <c:pt idx="251">
                  <c:v>27557</c:v>
                </c:pt>
                <c:pt idx="252">
                  <c:v>1288000</c:v>
                </c:pt>
                <c:pt idx="253">
                  <c:v>1709931</c:v>
                </c:pt>
                <c:pt idx="254">
                  <c:v>726900</c:v>
                </c:pt>
                <c:pt idx="255">
                  <c:v>1717400</c:v>
                </c:pt>
                <c:pt idx="256">
                  <c:v>5383700</c:v>
                </c:pt>
                <c:pt idx="257">
                  <c:v>58800</c:v>
                </c:pt>
                <c:pt idx="258">
                  <c:v>2031600</c:v>
                </c:pt>
                <c:pt idx="259">
                  <c:v>132400</c:v>
                </c:pt>
                <c:pt idx="260">
                  <c:v>1762</c:v>
                </c:pt>
                <c:pt idx="261">
                  <c:v>607349</c:v>
                </c:pt>
                <c:pt idx="262">
                  <c:v>9895500</c:v>
                </c:pt>
                <c:pt idx="263">
                  <c:v>1382509</c:v>
                </c:pt>
                <c:pt idx="264">
                  <c:v>2011400</c:v>
                </c:pt>
                <c:pt idx="265">
                  <c:v>1861911</c:v>
                </c:pt>
                <c:pt idx="266">
                  <c:v>1300574</c:v>
                </c:pt>
                <c:pt idx="267">
                  <c:v>28635</c:v>
                </c:pt>
                <c:pt idx="268">
                  <c:v>1200000</c:v>
                </c:pt>
                <c:pt idx="269">
                  <c:v>5420000</c:v>
                </c:pt>
                <c:pt idx="270">
                  <c:v>3613156</c:v>
                </c:pt>
                <c:pt idx="271">
                  <c:v>3523</c:v>
                </c:pt>
                <c:pt idx="272">
                  <c:v>13464100</c:v>
                </c:pt>
                <c:pt idx="273">
                  <c:v>2500000</c:v>
                </c:pt>
                <c:pt idx="274">
                  <c:v>2600000</c:v>
                </c:pt>
                <c:pt idx="275">
                  <c:v>51600</c:v>
                </c:pt>
                <c:pt idx="276">
                  <c:v>2133</c:v>
                </c:pt>
                <c:pt idx="277">
                  <c:v>413</c:v>
                </c:pt>
                <c:pt idx="278">
                  <c:v>2215800</c:v>
                </c:pt>
                <c:pt idx="279">
                  <c:v>6642562</c:v>
                </c:pt>
                <c:pt idx="280">
                  <c:v>2254</c:v>
                </c:pt>
                <c:pt idx="281">
                  <c:v>19600000</c:v>
                </c:pt>
                <c:pt idx="282">
                  <c:v>1000122</c:v>
                </c:pt>
                <c:pt idx="283">
                  <c:v>761400</c:v>
                </c:pt>
                <c:pt idx="284">
                  <c:v>59900</c:v>
                </c:pt>
                <c:pt idx="285">
                  <c:v>7014481</c:v>
                </c:pt>
                <c:pt idx="286">
                  <c:v>266100</c:v>
                </c:pt>
                <c:pt idx="287">
                  <c:v>1838136</c:v>
                </c:pt>
                <c:pt idx="288">
                  <c:v>29</c:v>
                </c:pt>
                <c:pt idx="289">
                  <c:v>23</c:v>
                </c:pt>
                <c:pt idx="290">
                  <c:v>66</c:v>
                </c:pt>
                <c:pt idx="291">
                  <c:v>1670790</c:v>
                </c:pt>
                <c:pt idx="292">
                  <c:v>1790089</c:v>
                </c:pt>
                <c:pt idx="293">
                  <c:v>96800</c:v>
                </c:pt>
                <c:pt idx="294">
                  <c:v>287982</c:v>
                </c:pt>
                <c:pt idx="295">
                  <c:v>16600006</c:v>
                </c:pt>
                <c:pt idx="296">
                  <c:v>1086</c:v>
                </c:pt>
                <c:pt idx="297">
                  <c:v>923100</c:v>
                </c:pt>
                <c:pt idx="298">
                  <c:v>884</c:v>
                </c:pt>
                <c:pt idx="299">
                  <c:v>4902555</c:v>
                </c:pt>
                <c:pt idx="300">
                  <c:v>3300321</c:v>
                </c:pt>
                <c:pt idx="301">
                  <c:v>2200946</c:v>
                </c:pt>
                <c:pt idx="302">
                  <c:v>2788500</c:v>
                </c:pt>
                <c:pt idx="303">
                  <c:v>371100</c:v>
                </c:pt>
                <c:pt idx="304">
                  <c:v>4400088</c:v>
                </c:pt>
                <c:pt idx="305">
                  <c:v>3460200</c:v>
                </c:pt>
                <c:pt idx="306">
                  <c:v>2400120</c:v>
                </c:pt>
                <c:pt idx="307">
                  <c:v>62200</c:v>
                </c:pt>
                <c:pt idx="308">
                  <c:v>1287993</c:v>
                </c:pt>
                <c:pt idx="309">
                  <c:v>11230</c:v>
                </c:pt>
                <c:pt idx="310">
                  <c:v>50</c:v>
                </c:pt>
                <c:pt idx="311">
                  <c:v>1922900</c:v>
                </c:pt>
                <c:pt idx="312">
                  <c:v>2000000</c:v>
                </c:pt>
                <c:pt idx="313">
                  <c:v>385486</c:v>
                </c:pt>
                <c:pt idx="314">
                  <c:v>207200</c:v>
                </c:pt>
                <c:pt idx="315">
                  <c:v>50908600</c:v>
                </c:pt>
                <c:pt idx="316">
                  <c:v>4535600</c:v>
                </c:pt>
                <c:pt idx="317">
                  <c:v>125800</c:v>
                </c:pt>
                <c:pt idx="318">
                  <c:v>122200</c:v>
                </c:pt>
                <c:pt idx="319">
                  <c:v>1774</c:v>
                </c:pt>
                <c:pt idx="320">
                  <c:v>2960900</c:v>
                </c:pt>
                <c:pt idx="321">
                  <c:v>4335427</c:v>
                </c:pt>
                <c:pt idx="322">
                  <c:v>3001000</c:v>
                </c:pt>
                <c:pt idx="323">
                  <c:v>1800000</c:v>
                </c:pt>
                <c:pt idx="324">
                  <c:v>1000319</c:v>
                </c:pt>
                <c:pt idx="325">
                  <c:v>1800000</c:v>
                </c:pt>
                <c:pt idx="326">
                  <c:v>1500003</c:v>
                </c:pt>
                <c:pt idx="327">
                  <c:v>31800151</c:v>
                </c:pt>
                <c:pt idx="328">
                  <c:v>4230200</c:v>
                </c:pt>
                <c:pt idx="329">
                  <c:v>788112</c:v>
                </c:pt>
                <c:pt idx="330">
                  <c:v>18900042</c:v>
                </c:pt>
                <c:pt idx="331">
                  <c:v>220</c:v>
                </c:pt>
                <c:pt idx="332">
                  <c:v>1024200</c:v>
                </c:pt>
                <c:pt idx="333">
                  <c:v>192900</c:v>
                </c:pt>
                <c:pt idx="334">
                  <c:v>142</c:v>
                </c:pt>
                <c:pt idx="335">
                  <c:v>0</c:v>
                </c:pt>
                <c:pt idx="336">
                  <c:v>861700</c:v>
                </c:pt>
                <c:pt idx="337">
                  <c:v>1420</c:v>
                </c:pt>
                <c:pt idx="338">
                  <c:v>18700</c:v>
                </c:pt>
                <c:pt idx="339">
                  <c:v>6686180</c:v>
                </c:pt>
                <c:pt idx="340">
                  <c:v>561707</c:v>
                </c:pt>
                <c:pt idx="341">
                  <c:v>5200000</c:v>
                </c:pt>
                <c:pt idx="342">
                  <c:v>5422135</c:v>
                </c:pt>
                <c:pt idx="343">
                  <c:v>8300000</c:v>
                </c:pt>
                <c:pt idx="344">
                  <c:v>2030</c:v>
                </c:pt>
                <c:pt idx="345">
                  <c:v>846000</c:v>
                </c:pt>
                <c:pt idx="346">
                  <c:v>1885800</c:v>
                </c:pt>
                <c:pt idx="347">
                  <c:v>5933629</c:v>
                </c:pt>
                <c:pt idx="348">
                  <c:v>7</c:v>
                </c:pt>
                <c:pt idx="349">
                  <c:v>154700</c:v>
                </c:pt>
                <c:pt idx="350">
                  <c:v>169000</c:v>
                </c:pt>
                <c:pt idx="351">
                  <c:v>619</c:v>
                </c:pt>
                <c:pt idx="352">
                  <c:v>19700</c:v>
                </c:pt>
                <c:pt idx="353">
                  <c:v>887935</c:v>
                </c:pt>
                <c:pt idx="354">
                  <c:v>4107096</c:v>
                </c:pt>
                <c:pt idx="355">
                  <c:v>1712000</c:v>
                </c:pt>
                <c:pt idx="356">
                  <c:v>18710</c:v>
                </c:pt>
                <c:pt idx="357">
                  <c:v>16100830</c:v>
                </c:pt>
                <c:pt idx="358">
                  <c:v>1169864</c:v>
                </c:pt>
                <c:pt idx="359">
                  <c:v>16800</c:v>
                </c:pt>
                <c:pt idx="360">
                  <c:v>1800000</c:v>
                </c:pt>
                <c:pt idx="361">
                  <c:v>14804284</c:v>
                </c:pt>
                <c:pt idx="362">
                  <c:v>129900</c:v>
                </c:pt>
                <c:pt idx="363">
                  <c:v>10600000</c:v>
                </c:pt>
                <c:pt idx="364">
                  <c:v>1900000</c:v>
                </c:pt>
                <c:pt idx="365">
                  <c:v>919</c:v>
                </c:pt>
                <c:pt idx="366">
                  <c:v>747400</c:v>
                </c:pt>
                <c:pt idx="367">
                  <c:v>75500</c:v>
                </c:pt>
                <c:pt idx="368">
                  <c:v>1024600</c:v>
                </c:pt>
                <c:pt idx="369">
                  <c:v>335</c:v>
                </c:pt>
                <c:pt idx="370">
                  <c:v>391800</c:v>
                </c:pt>
                <c:pt idx="371">
                  <c:v>5681500</c:v>
                </c:pt>
                <c:pt idx="372">
                  <c:v>3600000</c:v>
                </c:pt>
                <c:pt idx="373">
                  <c:v>406617</c:v>
                </c:pt>
                <c:pt idx="374">
                  <c:v>1100000</c:v>
                </c:pt>
                <c:pt idx="375">
                  <c:v>12700</c:v>
                </c:pt>
                <c:pt idx="376">
                  <c:v>83097</c:v>
                </c:pt>
                <c:pt idx="377">
                  <c:v>524600</c:v>
                </c:pt>
                <c:pt idx="378">
                  <c:v>841900</c:v>
                </c:pt>
                <c:pt idx="379">
                  <c:v>3587600</c:v>
                </c:pt>
                <c:pt idx="380">
                  <c:v>812000</c:v>
                </c:pt>
                <c:pt idx="381">
                  <c:v>246000</c:v>
                </c:pt>
                <c:pt idx="382">
                  <c:v>1253100</c:v>
                </c:pt>
                <c:pt idx="383">
                  <c:v>350895</c:v>
                </c:pt>
                <c:pt idx="384">
                  <c:v>16400554</c:v>
                </c:pt>
                <c:pt idx="385">
                  <c:v>29700</c:v>
                </c:pt>
                <c:pt idx="386">
                  <c:v>3619200</c:v>
                </c:pt>
                <c:pt idx="387">
                  <c:v>377</c:v>
                </c:pt>
                <c:pt idx="388">
                  <c:v>616300</c:v>
                </c:pt>
                <c:pt idx="389">
                  <c:v>1700000</c:v>
                </c:pt>
                <c:pt idx="390">
                  <c:v>506700</c:v>
                </c:pt>
                <c:pt idx="391">
                  <c:v>1765400</c:v>
                </c:pt>
                <c:pt idx="392">
                  <c:v>382440</c:v>
                </c:pt>
                <c:pt idx="393">
                  <c:v>297000</c:v>
                </c:pt>
                <c:pt idx="394">
                  <c:v>36000</c:v>
                </c:pt>
                <c:pt idx="395">
                  <c:v>2363600</c:v>
                </c:pt>
                <c:pt idx="396">
                  <c:v>4963455</c:v>
                </c:pt>
                <c:pt idx="397">
                  <c:v>9213</c:v>
                </c:pt>
                <c:pt idx="398">
                  <c:v>129200</c:v>
                </c:pt>
                <c:pt idx="399">
                  <c:v>2400000</c:v>
                </c:pt>
                <c:pt idx="400">
                  <c:v>13800</c:v>
                </c:pt>
                <c:pt idx="401">
                  <c:v>1400000</c:v>
                </c:pt>
                <c:pt idx="402">
                  <c:v>16300</c:v>
                </c:pt>
                <c:pt idx="403">
                  <c:v>7930</c:v>
                </c:pt>
                <c:pt idx="404">
                  <c:v>665900</c:v>
                </c:pt>
                <c:pt idx="405">
                  <c:v>2059</c:v>
                </c:pt>
                <c:pt idx="406">
                  <c:v>2680300</c:v>
                </c:pt>
                <c:pt idx="407">
                  <c:v>5600000</c:v>
                </c:pt>
                <c:pt idx="408">
                  <c:v>1800000</c:v>
                </c:pt>
                <c:pt idx="409">
                  <c:v>289000</c:v>
                </c:pt>
                <c:pt idx="410">
                  <c:v>1400000</c:v>
                </c:pt>
                <c:pt idx="411">
                  <c:v>1646000</c:v>
                </c:pt>
                <c:pt idx="412">
                  <c:v>404000</c:v>
                </c:pt>
                <c:pt idx="413">
                  <c:v>2000000</c:v>
                </c:pt>
                <c:pt idx="414">
                  <c:v>9924</c:v>
                </c:pt>
                <c:pt idx="415">
                  <c:v>10600</c:v>
                </c:pt>
                <c:pt idx="416">
                  <c:v>1300000</c:v>
                </c:pt>
              </c:numCache>
            </c:numRef>
          </c:val>
          <c:extLst>
            <c:ext xmlns:c16="http://schemas.microsoft.com/office/drawing/2014/chart" uri="{C3380CC4-5D6E-409C-BE32-E72D297353CC}">
              <c16:uniqueId val="{00000000-D373-45EF-9F95-782F1F452283}"/>
            </c:ext>
          </c:extLst>
        </c:ser>
        <c:dLbls>
          <c:showLegendKey val="0"/>
          <c:showVal val="0"/>
          <c:showCatName val="0"/>
          <c:showSerName val="0"/>
          <c:showPercent val="0"/>
          <c:showBubbleSize val="0"/>
        </c:dLbls>
        <c:gapWidth val="219"/>
        <c:axId val="1490487888"/>
        <c:axId val="388127872"/>
      </c:barChart>
      <c:catAx>
        <c:axId val="1490487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127872"/>
        <c:crosses val="autoZero"/>
        <c:auto val="1"/>
        <c:lblAlgn val="ctr"/>
        <c:lblOffset val="100"/>
        <c:noMultiLvlLbl val="0"/>
      </c:catAx>
      <c:valAx>
        <c:axId val="388127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487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(4).xlsm]Graphs!PivotTable13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Graphs!$H$20</c:f>
              <c:strCache>
                <c:ptCount val="1"/>
                <c:pt idx="0">
                  <c:v>Total</c:v>
                </c:pt>
              </c:strCache>
            </c:strRef>
          </c:tx>
          <c:spPr>
            <a:solidFill>
              <a:schemeClr val="accent1"/>
            </a:solidFill>
            <a:ln>
              <a:noFill/>
            </a:ln>
            <a:effectLst/>
          </c:spPr>
          <c:invertIfNegative val="0"/>
          <c:cat>
            <c:strRef>
              <c:f>Graphs!$G$21:$G$471</c:f>
              <c:strCache>
                <c:ptCount val="450"/>
                <c:pt idx="0">
                  <c:v>0.0458</c:v>
                </c:pt>
                <c:pt idx="1">
                  <c:v>0.127</c:v>
                </c:pt>
                <c:pt idx="2">
                  <c:v>0.132</c:v>
                </c:pt>
                <c:pt idx="3">
                  <c:v>0.151</c:v>
                </c:pt>
                <c:pt idx="4">
                  <c:v>0.168</c:v>
                </c:pt>
                <c:pt idx="5">
                  <c:v>0.184</c:v>
                </c:pt>
                <c:pt idx="6">
                  <c:v>0.211</c:v>
                </c:pt>
                <c:pt idx="7">
                  <c:v>0.214</c:v>
                </c:pt>
                <c:pt idx="8">
                  <c:v>0.225</c:v>
                </c:pt>
                <c:pt idx="9">
                  <c:v>0.234</c:v>
                </c:pt>
                <c:pt idx="10">
                  <c:v>0.26</c:v>
                </c:pt>
                <c:pt idx="11">
                  <c:v>0.269</c:v>
                </c:pt>
                <c:pt idx="12">
                  <c:v>0.273</c:v>
                </c:pt>
                <c:pt idx="13">
                  <c:v>0.276</c:v>
                </c:pt>
                <c:pt idx="14">
                  <c:v>0.279</c:v>
                </c:pt>
                <c:pt idx="15">
                  <c:v>0.283</c:v>
                </c:pt>
                <c:pt idx="16">
                  <c:v>0.291</c:v>
                </c:pt>
                <c:pt idx="17">
                  <c:v>0.296</c:v>
                </c:pt>
                <c:pt idx="18">
                  <c:v>0.298</c:v>
                </c:pt>
                <c:pt idx="19">
                  <c:v>0.301</c:v>
                </c:pt>
                <c:pt idx="20">
                  <c:v>0.305</c:v>
                </c:pt>
                <c:pt idx="21">
                  <c:v>0.312</c:v>
                </c:pt>
                <c:pt idx="22">
                  <c:v>0.316</c:v>
                </c:pt>
                <c:pt idx="23">
                  <c:v>0.317</c:v>
                </c:pt>
                <c:pt idx="24">
                  <c:v>0.32</c:v>
                </c:pt>
                <c:pt idx="25">
                  <c:v>0.321</c:v>
                </c:pt>
                <c:pt idx="26">
                  <c:v>0.325</c:v>
                </c:pt>
                <c:pt idx="27">
                  <c:v>0.332</c:v>
                </c:pt>
                <c:pt idx="28">
                  <c:v>0.335</c:v>
                </c:pt>
                <c:pt idx="29">
                  <c:v>0.337</c:v>
                </c:pt>
                <c:pt idx="30">
                  <c:v>0.338</c:v>
                </c:pt>
                <c:pt idx="31">
                  <c:v>0.34</c:v>
                </c:pt>
                <c:pt idx="32">
                  <c:v>0.349</c:v>
                </c:pt>
                <c:pt idx="33">
                  <c:v>0.353</c:v>
                </c:pt>
                <c:pt idx="34">
                  <c:v>0.354</c:v>
                </c:pt>
                <c:pt idx="35">
                  <c:v>0.355</c:v>
                </c:pt>
                <c:pt idx="36">
                  <c:v>0.358</c:v>
                </c:pt>
                <c:pt idx="37">
                  <c:v>0.363</c:v>
                </c:pt>
                <c:pt idx="38">
                  <c:v>0.365</c:v>
                </c:pt>
                <c:pt idx="39">
                  <c:v>0.366</c:v>
                </c:pt>
                <c:pt idx="40">
                  <c:v>0.371</c:v>
                </c:pt>
                <c:pt idx="41">
                  <c:v>0.372</c:v>
                </c:pt>
                <c:pt idx="42">
                  <c:v>0.373</c:v>
                </c:pt>
                <c:pt idx="43">
                  <c:v>0.375</c:v>
                </c:pt>
                <c:pt idx="44">
                  <c:v>0.385</c:v>
                </c:pt>
                <c:pt idx="45">
                  <c:v>0.386</c:v>
                </c:pt>
                <c:pt idx="46">
                  <c:v>0.388</c:v>
                </c:pt>
                <c:pt idx="47">
                  <c:v>0.39</c:v>
                </c:pt>
                <c:pt idx="48">
                  <c:v>0.391</c:v>
                </c:pt>
                <c:pt idx="49">
                  <c:v>0.392</c:v>
                </c:pt>
                <c:pt idx="50">
                  <c:v>0.393</c:v>
                </c:pt>
                <c:pt idx="51">
                  <c:v>0.394</c:v>
                </c:pt>
                <c:pt idx="52">
                  <c:v>0.397</c:v>
                </c:pt>
                <c:pt idx="53">
                  <c:v>0.399</c:v>
                </c:pt>
                <c:pt idx="54">
                  <c:v>0.401</c:v>
                </c:pt>
                <c:pt idx="55">
                  <c:v>0.402</c:v>
                </c:pt>
                <c:pt idx="56">
                  <c:v>0.403</c:v>
                </c:pt>
                <c:pt idx="57">
                  <c:v>0.404</c:v>
                </c:pt>
                <c:pt idx="58">
                  <c:v>0.405</c:v>
                </c:pt>
                <c:pt idx="59">
                  <c:v>0.406</c:v>
                </c:pt>
                <c:pt idx="60">
                  <c:v>0.407</c:v>
                </c:pt>
                <c:pt idx="61">
                  <c:v>0.408</c:v>
                </c:pt>
                <c:pt idx="62">
                  <c:v>0.412</c:v>
                </c:pt>
                <c:pt idx="63">
                  <c:v>0.413</c:v>
                </c:pt>
                <c:pt idx="64">
                  <c:v>0.414</c:v>
                </c:pt>
                <c:pt idx="65">
                  <c:v>0.415</c:v>
                </c:pt>
                <c:pt idx="66">
                  <c:v>0.416</c:v>
                </c:pt>
                <c:pt idx="67">
                  <c:v>0.417</c:v>
                </c:pt>
                <c:pt idx="68">
                  <c:v>0.419</c:v>
                </c:pt>
                <c:pt idx="69">
                  <c:v>0.422</c:v>
                </c:pt>
                <c:pt idx="70">
                  <c:v>0.423</c:v>
                </c:pt>
                <c:pt idx="71">
                  <c:v>0.424</c:v>
                </c:pt>
                <c:pt idx="72">
                  <c:v>0.425</c:v>
                </c:pt>
                <c:pt idx="73">
                  <c:v>0.426</c:v>
                </c:pt>
                <c:pt idx="74">
                  <c:v>0.427</c:v>
                </c:pt>
                <c:pt idx="75">
                  <c:v>0.429</c:v>
                </c:pt>
                <c:pt idx="76">
                  <c:v>0.43</c:v>
                </c:pt>
                <c:pt idx="77">
                  <c:v>0.431</c:v>
                </c:pt>
                <c:pt idx="78">
                  <c:v>0.432</c:v>
                </c:pt>
                <c:pt idx="79">
                  <c:v>0.433</c:v>
                </c:pt>
                <c:pt idx="80">
                  <c:v>0.434</c:v>
                </c:pt>
                <c:pt idx="81">
                  <c:v>0.436</c:v>
                </c:pt>
                <c:pt idx="82">
                  <c:v>0.438</c:v>
                </c:pt>
                <c:pt idx="83">
                  <c:v>0.439</c:v>
                </c:pt>
                <c:pt idx="84">
                  <c:v>0.441</c:v>
                </c:pt>
                <c:pt idx="85">
                  <c:v>0.443</c:v>
                </c:pt>
                <c:pt idx="86">
                  <c:v>0.444</c:v>
                </c:pt>
                <c:pt idx="87">
                  <c:v>0.445</c:v>
                </c:pt>
                <c:pt idx="88">
                  <c:v>0.446</c:v>
                </c:pt>
                <c:pt idx="89">
                  <c:v>0.447</c:v>
                </c:pt>
                <c:pt idx="90">
                  <c:v>0.45</c:v>
                </c:pt>
                <c:pt idx="91">
                  <c:v>0.451</c:v>
                </c:pt>
                <c:pt idx="92">
                  <c:v>0.454</c:v>
                </c:pt>
                <c:pt idx="93">
                  <c:v>0.456</c:v>
                </c:pt>
                <c:pt idx="94">
                  <c:v>0.457</c:v>
                </c:pt>
                <c:pt idx="95">
                  <c:v>0.459</c:v>
                </c:pt>
                <c:pt idx="96">
                  <c:v>0.461</c:v>
                </c:pt>
                <c:pt idx="97">
                  <c:v>0.463</c:v>
                </c:pt>
                <c:pt idx="98">
                  <c:v>0.464</c:v>
                </c:pt>
                <c:pt idx="99">
                  <c:v>0.465</c:v>
                </c:pt>
                <c:pt idx="100">
                  <c:v>0.468</c:v>
                </c:pt>
                <c:pt idx="101">
                  <c:v>0.469</c:v>
                </c:pt>
                <c:pt idx="102">
                  <c:v>0.47</c:v>
                </c:pt>
                <c:pt idx="103">
                  <c:v>0.471</c:v>
                </c:pt>
                <c:pt idx="104">
                  <c:v>0.472</c:v>
                </c:pt>
                <c:pt idx="105">
                  <c:v>0.473</c:v>
                </c:pt>
                <c:pt idx="106">
                  <c:v>0.475</c:v>
                </c:pt>
                <c:pt idx="107">
                  <c:v>0.477</c:v>
                </c:pt>
                <c:pt idx="108">
                  <c:v>0.479</c:v>
                </c:pt>
                <c:pt idx="109">
                  <c:v>0.481</c:v>
                </c:pt>
                <c:pt idx="110">
                  <c:v>0.484</c:v>
                </c:pt>
                <c:pt idx="111">
                  <c:v>0.486</c:v>
                </c:pt>
                <c:pt idx="112">
                  <c:v>0.487</c:v>
                </c:pt>
                <c:pt idx="113">
                  <c:v>0.488</c:v>
                </c:pt>
                <c:pt idx="114">
                  <c:v>0.489</c:v>
                </c:pt>
                <c:pt idx="115">
                  <c:v>0.49</c:v>
                </c:pt>
                <c:pt idx="116">
                  <c:v>0.491</c:v>
                </c:pt>
                <c:pt idx="117">
                  <c:v>0.492</c:v>
                </c:pt>
                <c:pt idx="118">
                  <c:v>0.493</c:v>
                </c:pt>
                <c:pt idx="119">
                  <c:v>0.494</c:v>
                </c:pt>
                <c:pt idx="120">
                  <c:v>0.495</c:v>
                </c:pt>
                <c:pt idx="121">
                  <c:v>0.496</c:v>
                </c:pt>
                <c:pt idx="122">
                  <c:v>0.498</c:v>
                </c:pt>
                <c:pt idx="123">
                  <c:v>0.499</c:v>
                </c:pt>
                <c:pt idx="124">
                  <c:v>0.5</c:v>
                </c:pt>
                <c:pt idx="125">
                  <c:v>0.501</c:v>
                </c:pt>
                <c:pt idx="126">
                  <c:v>0.503</c:v>
                </c:pt>
                <c:pt idx="127">
                  <c:v>0.505</c:v>
                </c:pt>
                <c:pt idx="128">
                  <c:v>0.508</c:v>
                </c:pt>
                <c:pt idx="129">
                  <c:v>0.509</c:v>
                </c:pt>
                <c:pt idx="130">
                  <c:v>0.511</c:v>
                </c:pt>
                <c:pt idx="131">
                  <c:v>0.512</c:v>
                </c:pt>
                <c:pt idx="132">
                  <c:v>0.513</c:v>
                </c:pt>
                <c:pt idx="133">
                  <c:v>0.516</c:v>
                </c:pt>
                <c:pt idx="134">
                  <c:v>0.518</c:v>
                </c:pt>
                <c:pt idx="135">
                  <c:v>0.519</c:v>
                </c:pt>
                <c:pt idx="136">
                  <c:v>0.521</c:v>
                </c:pt>
                <c:pt idx="137">
                  <c:v>0.522</c:v>
                </c:pt>
                <c:pt idx="138">
                  <c:v>0.523</c:v>
                </c:pt>
                <c:pt idx="139">
                  <c:v>0.524</c:v>
                </c:pt>
                <c:pt idx="140">
                  <c:v>0.525</c:v>
                </c:pt>
                <c:pt idx="141">
                  <c:v>0.526</c:v>
                </c:pt>
                <c:pt idx="142">
                  <c:v>0.527</c:v>
                </c:pt>
                <c:pt idx="143">
                  <c:v>0.528</c:v>
                </c:pt>
                <c:pt idx="144">
                  <c:v>0.529</c:v>
                </c:pt>
                <c:pt idx="145">
                  <c:v>0.53</c:v>
                </c:pt>
                <c:pt idx="146">
                  <c:v>0.531</c:v>
                </c:pt>
                <c:pt idx="147">
                  <c:v>0.532</c:v>
                </c:pt>
                <c:pt idx="148">
                  <c:v>0.535</c:v>
                </c:pt>
                <c:pt idx="149">
                  <c:v>0.536</c:v>
                </c:pt>
                <c:pt idx="150">
                  <c:v>0.537</c:v>
                </c:pt>
                <c:pt idx="151">
                  <c:v>0.538</c:v>
                </c:pt>
                <c:pt idx="152">
                  <c:v>0.539</c:v>
                </c:pt>
                <c:pt idx="153">
                  <c:v>0.54</c:v>
                </c:pt>
                <c:pt idx="154">
                  <c:v>0.541</c:v>
                </c:pt>
                <c:pt idx="155">
                  <c:v>0.542</c:v>
                </c:pt>
                <c:pt idx="156">
                  <c:v>0.543</c:v>
                </c:pt>
                <c:pt idx="157">
                  <c:v>0.544</c:v>
                </c:pt>
                <c:pt idx="158">
                  <c:v>0.546</c:v>
                </c:pt>
                <c:pt idx="159">
                  <c:v>0.547</c:v>
                </c:pt>
                <c:pt idx="160">
                  <c:v>0.548</c:v>
                </c:pt>
                <c:pt idx="161">
                  <c:v>0.552</c:v>
                </c:pt>
                <c:pt idx="162">
                  <c:v>0.553</c:v>
                </c:pt>
                <c:pt idx="163">
                  <c:v>0.554</c:v>
                </c:pt>
                <c:pt idx="164">
                  <c:v>0.555</c:v>
                </c:pt>
                <c:pt idx="165">
                  <c:v>0.556</c:v>
                </c:pt>
                <c:pt idx="166">
                  <c:v>0.558</c:v>
                </c:pt>
                <c:pt idx="167">
                  <c:v>0.559</c:v>
                </c:pt>
                <c:pt idx="168">
                  <c:v>0.561</c:v>
                </c:pt>
                <c:pt idx="169">
                  <c:v>0.563</c:v>
                </c:pt>
                <c:pt idx="170">
                  <c:v>0.564</c:v>
                </c:pt>
                <c:pt idx="171">
                  <c:v>0.568</c:v>
                </c:pt>
                <c:pt idx="172">
                  <c:v>0.573</c:v>
                </c:pt>
                <c:pt idx="173">
                  <c:v>0.574</c:v>
                </c:pt>
                <c:pt idx="174">
                  <c:v>0.575</c:v>
                </c:pt>
                <c:pt idx="175">
                  <c:v>0.576</c:v>
                </c:pt>
                <c:pt idx="176">
                  <c:v>0.577</c:v>
                </c:pt>
                <c:pt idx="177">
                  <c:v>0.578</c:v>
                </c:pt>
                <c:pt idx="178">
                  <c:v>0.579</c:v>
                </c:pt>
                <c:pt idx="179">
                  <c:v>0.58</c:v>
                </c:pt>
                <c:pt idx="180">
                  <c:v>0.581</c:v>
                </c:pt>
                <c:pt idx="181">
                  <c:v>0.582</c:v>
                </c:pt>
                <c:pt idx="182">
                  <c:v>0.583</c:v>
                </c:pt>
                <c:pt idx="183">
                  <c:v>0.585</c:v>
                </c:pt>
                <c:pt idx="184">
                  <c:v>0.586</c:v>
                </c:pt>
                <c:pt idx="185">
                  <c:v>0.588</c:v>
                </c:pt>
                <c:pt idx="186">
                  <c:v>0.589</c:v>
                </c:pt>
                <c:pt idx="187">
                  <c:v>0.59</c:v>
                </c:pt>
                <c:pt idx="188">
                  <c:v>0.591</c:v>
                </c:pt>
                <c:pt idx="189">
                  <c:v>0.592</c:v>
                </c:pt>
                <c:pt idx="190">
                  <c:v>0.594</c:v>
                </c:pt>
                <c:pt idx="191">
                  <c:v>0.595</c:v>
                </c:pt>
                <c:pt idx="192">
                  <c:v>0.597</c:v>
                </c:pt>
                <c:pt idx="193">
                  <c:v>0.599</c:v>
                </c:pt>
                <c:pt idx="194">
                  <c:v>0.601</c:v>
                </c:pt>
                <c:pt idx="195">
                  <c:v>0.602</c:v>
                </c:pt>
                <c:pt idx="196">
                  <c:v>0.603</c:v>
                </c:pt>
                <c:pt idx="197">
                  <c:v>0.604</c:v>
                </c:pt>
                <c:pt idx="198">
                  <c:v>0.605</c:v>
                </c:pt>
                <c:pt idx="199">
                  <c:v>0.607</c:v>
                </c:pt>
                <c:pt idx="200">
                  <c:v>0.609</c:v>
                </c:pt>
                <c:pt idx="201">
                  <c:v>0.61</c:v>
                </c:pt>
                <c:pt idx="202">
                  <c:v>0.611</c:v>
                </c:pt>
                <c:pt idx="203">
                  <c:v>0.612</c:v>
                </c:pt>
                <c:pt idx="204">
                  <c:v>0.613</c:v>
                </c:pt>
                <c:pt idx="205">
                  <c:v>0.614</c:v>
                </c:pt>
                <c:pt idx="206">
                  <c:v>0.615</c:v>
                </c:pt>
                <c:pt idx="207">
                  <c:v>0.616</c:v>
                </c:pt>
                <c:pt idx="208">
                  <c:v>0.617</c:v>
                </c:pt>
                <c:pt idx="209">
                  <c:v>0.618</c:v>
                </c:pt>
                <c:pt idx="210">
                  <c:v>0.62</c:v>
                </c:pt>
                <c:pt idx="211">
                  <c:v>0.621</c:v>
                </c:pt>
                <c:pt idx="212">
                  <c:v>0.624</c:v>
                </c:pt>
                <c:pt idx="213">
                  <c:v>0.626</c:v>
                </c:pt>
                <c:pt idx="214">
                  <c:v>0.627</c:v>
                </c:pt>
                <c:pt idx="215">
                  <c:v>0.628</c:v>
                </c:pt>
                <c:pt idx="216">
                  <c:v>0.63</c:v>
                </c:pt>
                <c:pt idx="217">
                  <c:v>0.631</c:v>
                </c:pt>
                <c:pt idx="218">
                  <c:v>0.632</c:v>
                </c:pt>
                <c:pt idx="219">
                  <c:v>0.633</c:v>
                </c:pt>
                <c:pt idx="220">
                  <c:v>0.634</c:v>
                </c:pt>
                <c:pt idx="221">
                  <c:v>0.635</c:v>
                </c:pt>
                <c:pt idx="222">
                  <c:v>0.636</c:v>
                </c:pt>
                <c:pt idx="223">
                  <c:v>0.637</c:v>
                </c:pt>
                <c:pt idx="224">
                  <c:v>0.638</c:v>
                </c:pt>
                <c:pt idx="225">
                  <c:v>0.639</c:v>
                </c:pt>
                <c:pt idx="226">
                  <c:v>0.64</c:v>
                </c:pt>
                <c:pt idx="227">
                  <c:v>0.641</c:v>
                </c:pt>
                <c:pt idx="228">
                  <c:v>0.642</c:v>
                </c:pt>
                <c:pt idx="229">
                  <c:v>0.643</c:v>
                </c:pt>
                <c:pt idx="230">
                  <c:v>0.644</c:v>
                </c:pt>
                <c:pt idx="231">
                  <c:v>0.648</c:v>
                </c:pt>
                <c:pt idx="232">
                  <c:v>0.649</c:v>
                </c:pt>
                <c:pt idx="233">
                  <c:v>0.65</c:v>
                </c:pt>
                <c:pt idx="234">
                  <c:v>0.652</c:v>
                </c:pt>
                <c:pt idx="235">
                  <c:v>0.653</c:v>
                </c:pt>
                <c:pt idx="236">
                  <c:v>0.654</c:v>
                </c:pt>
                <c:pt idx="237">
                  <c:v>0.655</c:v>
                </c:pt>
                <c:pt idx="238">
                  <c:v>0.656</c:v>
                </c:pt>
                <c:pt idx="239">
                  <c:v>0.657</c:v>
                </c:pt>
                <c:pt idx="240">
                  <c:v>0.658</c:v>
                </c:pt>
                <c:pt idx="241">
                  <c:v>0.659</c:v>
                </c:pt>
                <c:pt idx="242">
                  <c:v>0.66</c:v>
                </c:pt>
                <c:pt idx="243">
                  <c:v>0.661</c:v>
                </c:pt>
                <c:pt idx="244">
                  <c:v>0.663</c:v>
                </c:pt>
                <c:pt idx="245">
                  <c:v>0.664</c:v>
                </c:pt>
                <c:pt idx="246">
                  <c:v>0.665</c:v>
                </c:pt>
                <c:pt idx="247">
                  <c:v>0.666</c:v>
                </c:pt>
                <c:pt idx="248">
                  <c:v>0.667</c:v>
                </c:pt>
                <c:pt idx="249">
                  <c:v>0.668</c:v>
                </c:pt>
                <c:pt idx="250">
                  <c:v>0.669</c:v>
                </c:pt>
                <c:pt idx="251">
                  <c:v>0.67</c:v>
                </c:pt>
                <c:pt idx="252">
                  <c:v>0.671</c:v>
                </c:pt>
                <c:pt idx="253">
                  <c:v>0.673</c:v>
                </c:pt>
                <c:pt idx="254">
                  <c:v>0.674</c:v>
                </c:pt>
                <c:pt idx="255">
                  <c:v>0.675</c:v>
                </c:pt>
                <c:pt idx="256">
                  <c:v>0.676</c:v>
                </c:pt>
                <c:pt idx="257">
                  <c:v>0.677</c:v>
                </c:pt>
                <c:pt idx="258">
                  <c:v>0.678</c:v>
                </c:pt>
                <c:pt idx="259">
                  <c:v>0.679</c:v>
                </c:pt>
                <c:pt idx="260">
                  <c:v>0.68</c:v>
                </c:pt>
                <c:pt idx="261">
                  <c:v>0.681</c:v>
                </c:pt>
                <c:pt idx="262">
                  <c:v>0.682</c:v>
                </c:pt>
                <c:pt idx="263">
                  <c:v>0.683</c:v>
                </c:pt>
                <c:pt idx="264">
                  <c:v>0.685</c:v>
                </c:pt>
                <c:pt idx="265">
                  <c:v>0.687</c:v>
                </c:pt>
                <c:pt idx="266">
                  <c:v>0.688</c:v>
                </c:pt>
                <c:pt idx="267">
                  <c:v>0.689</c:v>
                </c:pt>
                <c:pt idx="268">
                  <c:v>0.69</c:v>
                </c:pt>
                <c:pt idx="269">
                  <c:v>0.691</c:v>
                </c:pt>
                <c:pt idx="270">
                  <c:v>0.692</c:v>
                </c:pt>
                <c:pt idx="271">
                  <c:v>0.693</c:v>
                </c:pt>
                <c:pt idx="272">
                  <c:v>0.694</c:v>
                </c:pt>
                <c:pt idx="273">
                  <c:v>0.695</c:v>
                </c:pt>
                <c:pt idx="274">
                  <c:v>0.696</c:v>
                </c:pt>
                <c:pt idx="275">
                  <c:v>0.697</c:v>
                </c:pt>
                <c:pt idx="276">
                  <c:v>0.698</c:v>
                </c:pt>
                <c:pt idx="277">
                  <c:v>0.7</c:v>
                </c:pt>
                <c:pt idx="278">
                  <c:v>0.701</c:v>
                </c:pt>
                <c:pt idx="279">
                  <c:v>0.703</c:v>
                </c:pt>
                <c:pt idx="280">
                  <c:v>0.704</c:v>
                </c:pt>
                <c:pt idx="281">
                  <c:v>0.705</c:v>
                </c:pt>
                <c:pt idx="282">
                  <c:v>0.706</c:v>
                </c:pt>
                <c:pt idx="283">
                  <c:v>0.707</c:v>
                </c:pt>
                <c:pt idx="284">
                  <c:v>0.71</c:v>
                </c:pt>
                <c:pt idx="285">
                  <c:v>0.711</c:v>
                </c:pt>
                <c:pt idx="286">
                  <c:v>0.712</c:v>
                </c:pt>
                <c:pt idx="287">
                  <c:v>0.713</c:v>
                </c:pt>
                <c:pt idx="288">
                  <c:v>0.714</c:v>
                </c:pt>
                <c:pt idx="289">
                  <c:v>0.715</c:v>
                </c:pt>
                <c:pt idx="290">
                  <c:v>0.716</c:v>
                </c:pt>
                <c:pt idx="291">
                  <c:v>0.717</c:v>
                </c:pt>
                <c:pt idx="292">
                  <c:v>0.718</c:v>
                </c:pt>
                <c:pt idx="293">
                  <c:v>0.719</c:v>
                </c:pt>
                <c:pt idx="294">
                  <c:v>0.72</c:v>
                </c:pt>
                <c:pt idx="295">
                  <c:v>0.721</c:v>
                </c:pt>
                <c:pt idx="296">
                  <c:v>0.722</c:v>
                </c:pt>
                <c:pt idx="297">
                  <c:v>0.724</c:v>
                </c:pt>
                <c:pt idx="298">
                  <c:v>0.725</c:v>
                </c:pt>
                <c:pt idx="299">
                  <c:v>0.727</c:v>
                </c:pt>
                <c:pt idx="300">
                  <c:v>0.728</c:v>
                </c:pt>
                <c:pt idx="301">
                  <c:v>0.729</c:v>
                </c:pt>
                <c:pt idx="302">
                  <c:v>0.73</c:v>
                </c:pt>
                <c:pt idx="303">
                  <c:v>0.731</c:v>
                </c:pt>
                <c:pt idx="304">
                  <c:v>0.732</c:v>
                </c:pt>
                <c:pt idx="305">
                  <c:v>0.733</c:v>
                </c:pt>
                <c:pt idx="306">
                  <c:v>0.734</c:v>
                </c:pt>
                <c:pt idx="307">
                  <c:v>0.735</c:v>
                </c:pt>
                <c:pt idx="308">
                  <c:v>0.736</c:v>
                </c:pt>
                <c:pt idx="309">
                  <c:v>0.737</c:v>
                </c:pt>
                <c:pt idx="310">
                  <c:v>0.738</c:v>
                </c:pt>
                <c:pt idx="311">
                  <c:v>0.739</c:v>
                </c:pt>
                <c:pt idx="312">
                  <c:v>0.74</c:v>
                </c:pt>
                <c:pt idx="313">
                  <c:v>0.741</c:v>
                </c:pt>
                <c:pt idx="314">
                  <c:v>0.742</c:v>
                </c:pt>
                <c:pt idx="315">
                  <c:v>0.743</c:v>
                </c:pt>
                <c:pt idx="316">
                  <c:v>0.744</c:v>
                </c:pt>
                <c:pt idx="317">
                  <c:v>0.745</c:v>
                </c:pt>
                <c:pt idx="318">
                  <c:v>0.747</c:v>
                </c:pt>
                <c:pt idx="319">
                  <c:v>0.748</c:v>
                </c:pt>
                <c:pt idx="320">
                  <c:v>0.75</c:v>
                </c:pt>
                <c:pt idx="321">
                  <c:v>0.751</c:v>
                </c:pt>
                <c:pt idx="322">
                  <c:v>0.752</c:v>
                </c:pt>
                <c:pt idx="323">
                  <c:v>0.753</c:v>
                </c:pt>
                <c:pt idx="324">
                  <c:v>0.754</c:v>
                </c:pt>
                <c:pt idx="325">
                  <c:v>0.756</c:v>
                </c:pt>
                <c:pt idx="326">
                  <c:v>0.758</c:v>
                </c:pt>
                <c:pt idx="327">
                  <c:v>0.761</c:v>
                </c:pt>
                <c:pt idx="328">
                  <c:v>0.763</c:v>
                </c:pt>
                <c:pt idx="329">
                  <c:v>0.764</c:v>
                </c:pt>
                <c:pt idx="330">
                  <c:v>0.765</c:v>
                </c:pt>
                <c:pt idx="331">
                  <c:v>0.766</c:v>
                </c:pt>
                <c:pt idx="332">
                  <c:v>0.771</c:v>
                </c:pt>
                <c:pt idx="333">
                  <c:v>0.772</c:v>
                </c:pt>
                <c:pt idx="334">
                  <c:v>0.773</c:v>
                </c:pt>
                <c:pt idx="335">
                  <c:v>0.774</c:v>
                </c:pt>
                <c:pt idx="336">
                  <c:v>0.776</c:v>
                </c:pt>
                <c:pt idx="337">
                  <c:v>0.777</c:v>
                </c:pt>
                <c:pt idx="338">
                  <c:v>0.778</c:v>
                </c:pt>
                <c:pt idx="339">
                  <c:v>0.78</c:v>
                </c:pt>
                <c:pt idx="340">
                  <c:v>0.781</c:v>
                </c:pt>
                <c:pt idx="341">
                  <c:v>0.782</c:v>
                </c:pt>
                <c:pt idx="342">
                  <c:v>0.783</c:v>
                </c:pt>
                <c:pt idx="343">
                  <c:v>0.785</c:v>
                </c:pt>
                <c:pt idx="344">
                  <c:v>0.786</c:v>
                </c:pt>
                <c:pt idx="345">
                  <c:v>0.787</c:v>
                </c:pt>
                <c:pt idx="346">
                  <c:v>0.788</c:v>
                </c:pt>
                <c:pt idx="347">
                  <c:v>0.789</c:v>
                </c:pt>
                <c:pt idx="348">
                  <c:v>0.79</c:v>
                </c:pt>
                <c:pt idx="349">
                  <c:v>0.791</c:v>
                </c:pt>
                <c:pt idx="350">
                  <c:v>0.792</c:v>
                </c:pt>
                <c:pt idx="351">
                  <c:v>0.793</c:v>
                </c:pt>
                <c:pt idx="352">
                  <c:v>0.794</c:v>
                </c:pt>
                <c:pt idx="353">
                  <c:v>0.795</c:v>
                </c:pt>
                <c:pt idx="354">
                  <c:v>0.796</c:v>
                </c:pt>
                <c:pt idx="355">
                  <c:v>0.797</c:v>
                </c:pt>
                <c:pt idx="356">
                  <c:v>0.798</c:v>
                </c:pt>
                <c:pt idx="357">
                  <c:v>0.799</c:v>
                </c:pt>
                <c:pt idx="358">
                  <c:v>0.8</c:v>
                </c:pt>
                <c:pt idx="359">
                  <c:v>0.801</c:v>
                </c:pt>
                <c:pt idx="360">
                  <c:v>0.802</c:v>
                </c:pt>
                <c:pt idx="361">
                  <c:v>0.803</c:v>
                </c:pt>
                <c:pt idx="362">
                  <c:v>0.805</c:v>
                </c:pt>
                <c:pt idx="363">
                  <c:v>0.806</c:v>
                </c:pt>
                <c:pt idx="364">
                  <c:v>0.807</c:v>
                </c:pt>
                <c:pt idx="365">
                  <c:v>0.81</c:v>
                </c:pt>
                <c:pt idx="366">
                  <c:v>0.811</c:v>
                </c:pt>
                <c:pt idx="367">
                  <c:v>0.812</c:v>
                </c:pt>
                <c:pt idx="368">
                  <c:v>0.813</c:v>
                </c:pt>
                <c:pt idx="369">
                  <c:v>0.814</c:v>
                </c:pt>
                <c:pt idx="370">
                  <c:v>0.815</c:v>
                </c:pt>
                <c:pt idx="371">
                  <c:v>0.816</c:v>
                </c:pt>
                <c:pt idx="372">
                  <c:v>0.817</c:v>
                </c:pt>
                <c:pt idx="373">
                  <c:v>0.818</c:v>
                </c:pt>
                <c:pt idx="374">
                  <c:v>0.819</c:v>
                </c:pt>
                <c:pt idx="375">
                  <c:v>0.82</c:v>
                </c:pt>
                <c:pt idx="376">
                  <c:v>0.821</c:v>
                </c:pt>
                <c:pt idx="377">
                  <c:v>0.823</c:v>
                </c:pt>
                <c:pt idx="378">
                  <c:v>0.824</c:v>
                </c:pt>
                <c:pt idx="379">
                  <c:v>0.825</c:v>
                </c:pt>
                <c:pt idx="380">
                  <c:v>0.826</c:v>
                </c:pt>
                <c:pt idx="381">
                  <c:v>0.827</c:v>
                </c:pt>
                <c:pt idx="382">
                  <c:v>0.829</c:v>
                </c:pt>
                <c:pt idx="383">
                  <c:v>0.831</c:v>
                </c:pt>
                <c:pt idx="384">
                  <c:v>0.832</c:v>
                </c:pt>
                <c:pt idx="385">
                  <c:v>0.833</c:v>
                </c:pt>
                <c:pt idx="386">
                  <c:v>0.835</c:v>
                </c:pt>
                <c:pt idx="387">
                  <c:v>0.836</c:v>
                </c:pt>
                <c:pt idx="388">
                  <c:v>0.837</c:v>
                </c:pt>
                <c:pt idx="389">
                  <c:v>0.838</c:v>
                </c:pt>
                <c:pt idx="390">
                  <c:v>0.84</c:v>
                </c:pt>
                <c:pt idx="391">
                  <c:v>0.841</c:v>
                </c:pt>
                <c:pt idx="392">
                  <c:v>0.842</c:v>
                </c:pt>
                <c:pt idx="393">
                  <c:v>0.843</c:v>
                </c:pt>
                <c:pt idx="394">
                  <c:v>0.844</c:v>
                </c:pt>
                <c:pt idx="395">
                  <c:v>0.845</c:v>
                </c:pt>
                <c:pt idx="396">
                  <c:v>0.846</c:v>
                </c:pt>
                <c:pt idx="397">
                  <c:v>0.847</c:v>
                </c:pt>
                <c:pt idx="398">
                  <c:v>0.848</c:v>
                </c:pt>
                <c:pt idx="399">
                  <c:v>0.852</c:v>
                </c:pt>
                <c:pt idx="400">
                  <c:v>0.853</c:v>
                </c:pt>
                <c:pt idx="401">
                  <c:v>0.854</c:v>
                </c:pt>
                <c:pt idx="402">
                  <c:v>0.855</c:v>
                </c:pt>
                <c:pt idx="403">
                  <c:v>0.858</c:v>
                </c:pt>
                <c:pt idx="404">
                  <c:v>0.859</c:v>
                </c:pt>
                <c:pt idx="405">
                  <c:v>0.861</c:v>
                </c:pt>
                <c:pt idx="406">
                  <c:v>0.862</c:v>
                </c:pt>
                <c:pt idx="407">
                  <c:v>0.865</c:v>
                </c:pt>
                <c:pt idx="408">
                  <c:v>0.866</c:v>
                </c:pt>
                <c:pt idx="409">
                  <c:v>0.867</c:v>
                </c:pt>
                <c:pt idx="410">
                  <c:v>0.868</c:v>
                </c:pt>
                <c:pt idx="411">
                  <c:v>0.869</c:v>
                </c:pt>
                <c:pt idx="412">
                  <c:v>0.871</c:v>
                </c:pt>
                <c:pt idx="413">
                  <c:v>0.872</c:v>
                </c:pt>
                <c:pt idx="414">
                  <c:v>0.873</c:v>
                </c:pt>
                <c:pt idx="415">
                  <c:v>0.876</c:v>
                </c:pt>
                <c:pt idx="416">
                  <c:v>0.878</c:v>
                </c:pt>
                <c:pt idx="417">
                  <c:v>0.879</c:v>
                </c:pt>
                <c:pt idx="418">
                  <c:v>0.88</c:v>
                </c:pt>
                <c:pt idx="419">
                  <c:v>0.881</c:v>
                </c:pt>
                <c:pt idx="420">
                  <c:v>0.882</c:v>
                </c:pt>
                <c:pt idx="421">
                  <c:v>0.883</c:v>
                </c:pt>
                <c:pt idx="422">
                  <c:v>0.884</c:v>
                </c:pt>
                <c:pt idx="423">
                  <c:v>0.893</c:v>
                </c:pt>
                <c:pt idx="424">
                  <c:v>0.894</c:v>
                </c:pt>
                <c:pt idx="425">
                  <c:v>0.895</c:v>
                </c:pt>
                <c:pt idx="426">
                  <c:v>0.896</c:v>
                </c:pt>
                <c:pt idx="427">
                  <c:v>0.897</c:v>
                </c:pt>
                <c:pt idx="428">
                  <c:v>0.898</c:v>
                </c:pt>
                <c:pt idx="429">
                  <c:v>0.899</c:v>
                </c:pt>
                <c:pt idx="430">
                  <c:v>0.902</c:v>
                </c:pt>
                <c:pt idx="431">
                  <c:v>0.904</c:v>
                </c:pt>
                <c:pt idx="432">
                  <c:v>0.907</c:v>
                </c:pt>
                <c:pt idx="433">
                  <c:v>0.912</c:v>
                </c:pt>
                <c:pt idx="434">
                  <c:v>0.919</c:v>
                </c:pt>
                <c:pt idx="435">
                  <c:v>0.923</c:v>
                </c:pt>
                <c:pt idx="436">
                  <c:v>0.924</c:v>
                </c:pt>
                <c:pt idx="437">
                  <c:v>0.925</c:v>
                </c:pt>
                <c:pt idx="438">
                  <c:v>0.927</c:v>
                </c:pt>
                <c:pt idx="439">
                  <c:v>0.928</c:v>
                </c:pt>
                <c:pt idx="440">
                  <c:v>0.93</c:v>
                </c:pt>
                <c:pt idx="441">
                  <c:v>0.932</c:v>
                </c:pt>
                <c:pt idx="442">
                  <c:v>0.936</c:v>
                </c:pt>
                <c:pt idx="443">
                  <c:v>0.941</c:v>
                </c:pt>
                <c:pt idx="444">
                  <c:v>0.945</c:v>
                </c:pt>
                <c:pt idx="445">
                  <c:v>0.948</c:v>
                </c:pt>
                <c:pt idx="446">
                  <c:v>0.955</c:v>
                </c:pt>
                <c:pt idx="447">
                  <c:v>0.977</c:v>
                </c:pt>
                <c:pt idx="448">
                  <c:v>0.983</c:v>
                </c:pt>
                <c:pt idx="449">
                  <c:v>0.989</c:v>
                </c:pt>
              </c:strCache>
            </c:strRef>
          </c:cat>
          <c:val>
            <c:numRef>
              <c:f>Graphs!$H$21:$H$471</c:f>
              <c:numCache>
                <c:formatCode>General</c:formatCode>
                <c:ptCount val="450"/>
                <c:pt idx="0">
                  <c:v>329800</c:v>
                </c:pt>
                <c:pt idx="1">
                  <c:v>8452</c:v>
                </c:pt>
                <c:pt idx="2">
                  <c:v>49</c:v>
                </c:pt>
                <c:pt idx="3">
                  <c:v>916900</c:v>
                </c:pt>
                <c:pt idx="4">
                  <c:v>26000</c:v>
                </c:pt>
                <c:pt idx="5">
                  <c:v>1200000</c:v>
                </c:pt>
                <c:pt idx="6">
                  <c:v>57200</c:v>
                </c:pt>
                <c:pt idx="7">
                  <c:v>403900</c:v>
                </c:pt>
                <c:pt idx="8">
                  <c:v>4284</c:v>
                </c:pt>
                <c:pt idx="9">
                  <c:v>6802</c:v>
                </c:pt>
                <c:pt idx="10">
                  <c:v>50</c:v>
                </c:pt>
                <c:pt idx="11">
                  <c:v>488000</c:v>
                </c:pt>
                <c:pt idx="12">
                  <c:v>331</c:v>
                </c:pt>
                <c:pt idx="13">
                  <c:v>4653</c:v>
                </c:pt>
                <c:pt idx="14">
                  <c:v>35</c:v>
                </c:pt>
                <c:pt idx="15">
                  <c:v>0</c:v>
                </c:pt>
                <c:pt idx="16">
                  <c:v>17400</c:v>
                </c:pt>
                <c:pt idx="17">
                  <c:v>83400</c:v>
                </c:pt>
                <c:pt idx="18">
                  <c:v>661400</c:v>
                </c:pt>
                <c:pt idx="19">
                  <c:v>234200</c:v>
                </c:pt>
                <c:pt idx="20">
                  <c:v>5281</c:v>
                </c:pt>
                <c:pt idx="21">
                  <c:v>587000</c:v>
                </c:pt>
                <c:pt idx="22">
                  <c:v>1042</c:v>
                </c:pt>
                <c:pt idx="23">
                  <c:v>1000000</c:v>
                </c:pt>
                <c:pt idx="24">
                  <c:v>2343</c:v>
                </c:pt>
                <c:pt idx="25">
                  <c:v>286400</c:v>
                </c:pt>
                <c:pt idx="26">
                  <c:v>1</c:v>
                </c:pt>
                <c:pt idx="27">
                  <c:v>1600000</c:v>
                </c:pt>
                <c:pt idx="28">
                  <c:v>13800</c:v>
                </c:pt>
                <c:pt idx="29">
                  <c:v>382100</c:v>
                </c:pt>
                <c:pt idx="30">
                  <c:v>531900</c:v>
                </c:pt>
                <c:pt idx="31">
                  <c:v>1900000</c:v>
                </c:pt>
                <c:pt idx="32">
                  <c:v>143200</c:v>
                </c:pt>
                <c:pt idx="33">
                  <c:v>1800000</c:v>
                </c:pt>
                <c:pt idx="34">
                  <c:v>219100</c:v>
                </c:pt>
                <c:pt idx="35">
                  <c:v>3500000</c:v>
                </c:pt>
                <c:pt idx="36">
                  <c:v>3516</c:v>
                </c:pt>
                <c:pt idx="37">
                  <c:v>195600</c:v>
                </c:pt>
                <c:pt idx="38">
                  <c:v>585800</c:v>
                </c:pt>
                <c:pt idx="39">
                  <c:v>321800</c:v>
                </c:pt>
                <c:pt idx="40">
                  <c:v>231600</c:v>
                </c:pt>
                <c:pt idx="41">
                  <c:v>40100</c:v>
                </c:pt>
                <c:pt idx="42">
                  <c:v>2979457</c:v>
                </c:pt>
                <c:pt idx="43">
                  <c:v>1</c:v>
                </c:pt>
                <c:pt idx="44">
                  <c:v>5249</c:v>
                </c:pt>
                <c:pt idx="45">
                  <c:v>1765400</c:v>
                </c:pt>
                <c:pt idx="46">
                  <c:v>863100</c:v>
                </c:pt>
                <c:pt idx="47">
                  <c:v>3609924</c:v>
                </c:pt>
                <c:pt idx="48">
                  <c:v>2880</c:v>
                </c:pt>
                <c:pt idx="49">
                  <c:v>117300</c:v>
                </c:pt>
                <c:pt idx="50">
                  <c:v>720800</c:v>
                </c:pt>
                <c:pt idx="51">
                  <c:v>391800</c:v>
                </c:pt>
                <c:pt idx="52">
                  <c:v>9213</c:v>
                </c:pt>
                <c:pt idx="53">
                  <c:v>394201</c:v>
                </c:pt>
                <c:pt idx="54">
                  <c:v>310293</c:v>
                </c:pt>
                <c:pt idx="55">
                  <c:v>310500</c:v>
                </c:pt>
                <c:pt idx="56">
                  <c:v>4400016</c:v>
                </c:pt>
                <c:pt idx="57">
                  <c:v>525600</c:v>
                </c:pt>
                <c:pt idx="58">
                  <c:v>64</c:v>
                </c:pt>
                <c:pt idx="59">
                  <c:v>829900</c:v>
                </c:pt>
                <c:pt idx="60">
                  <c:v>1300000</c:v>
                </c:pt>
                <c:pt idx="61">
                  <c:v>373500</c:v>
                </c:pt>
                <c:pt idx="62">
                  <c:v>9747147</c:v>
                </c:pt>
                <c:pt idx="63">
                  <c:v>4011500</c:v>
                </c:pt>
                <c:pt idx="64">
                  <c:v>42100</c:v>
                </c:pt>
                <c:pt idx="65">
                  <c:v>4191800</c:v>
                </c:pt>
                <c:pt idx="66">
                  <c:v>12100</c:v>
                </c:pt>
                <c:pt idx="67">
                  <c:v>5266</c:v>
                </c:pt>
                <c:pt idx="68">
                  <c:v>42100</c:v>
                </c:pt>
                <c:pt idx="69">
                  <c:v>130</c:v>
                </c:pt>
                <c:pt idx="70">
                  <c:v>18900</c:v>
                </c:pt>
                <c:pt idx="71">
                  <c:v>2000000</c:v>
                </c:pt>
                <c:pt idx="72">
                  <c:v>303563</c:v>
                </c:pt>
                <c:pt idx="73">
                  <c:v>48496</c:v>
                </c:pt>
                <c:pt idx="74">
                  <c:v>3027</c:v>
                </c:pt>
                <c:pt idx="75">
                  <c:v>3500000</c:v>
                </c:pt>
                <c:pt idx="76">
                  <c:v>2491500</c:v>
                </c:pt>
                <c:pt idx="77">
                  <c:v>29300000</c:v>
                </c:pt>
                <c:pt idx="78">
                  <c:v>134800</c:v>
                </c:pt>
                <c:pt idx="79">
                  <c:v>15000</c:v>
                </c:pt>
                <c:pt idx="80">
                  <c:v>5600000</c:v>
                </c:pt>
                <c:pt idx="81">
                  <c:v>1234300</c:v>
                </c:pt>
                <c:pt idx="82">
                  <c:v>500400</c:v>
                </c:pt>
                <c:pt idx="83">
                  <c:v>523200</c:v>
                </c:pt>
                <c:pt idx="84">
                  <c:v>177900</c:v>
                </c:pt>
                <c:pt idx="85">
                  <c:v>742909</c:v>
                </c:pt>
                <c:pt idx="86">
                  <c:v>186500</c:v>
                </c:pt>
                <c:pt idx="87">
                  <c:v>830</c:v>
                </c:pt>
                <c:pt idx="88">
                  <c:v>1801420</c:v>
                </c:pt>
                <c:pt idx="89">
                  <c:v>4900000</c:v>
                </c:pt>
                <c:pt idx="90">
                  <c:v>1773730</c:v>
                </c:pt>
                <c:pt idx="91">
                  <c:v>1700000</c:v>
                </c:pt>
                <c:pt idx="92">
                  <c:v>6598300</c:v>
                </c:pt>
                <c:pt idx="93">
                  <c:v>125815</c:v>
                </c:pt>
                <c:pt idx="94">
                  <c:v>0</c:v>
                </c:pt>
                <c:pt idx="95">
                  <c:v>1700000</c:v>
                </c:pt>
                <c:pt idx="96">
                  <c:v>354900</c:v>
                </c:pt>
                <c:pt idx="97">
                  <c:v>1760600</c:v>
                </c:pt>
                <c:pt idx="98">
                  <c:v>8529</c:v>
                </c:pt>
                <c:pt idx="99">
                  <c:v>709903</c:v>
                </c:pt>
                <c:pt idx="100">
                  <c:v>207100</c:v>
                </c:pt>
                <c:pt idx="101">
                  <c:v>112</c:v>
                </c:pt>
                <c:pt idx="102">
                  <c:v>9230</c:v>
                </c:pt>
                <c:pt idx="103">
                  <c:v>472100</c:v>
                </c:pt>
                <c:pt idx="104">
                  <c:v>2000000</c:v>
                </c:pt>
                <c:pt idx="105">
                  <c:v>130519</c:v>
                </c:pt>
                <c:pt idx="106">
                  <c:v>15</c:v>
                </c:pt>
                <c:pt idx="107">
                  <c:v>10600</c:v>
                </c:pt>
                <c:pt idx="108">
                  <c:v>1044600</c:v>
                </c:pt>
                <c:pt idx="109">
                  <c:v>606600</c:v>
                </c:pt>
                <c:pt idx="110">
                  <c:v>0</c:v>
                </c:pt>
                <c:pt idx="111">
                  <c:v>7</c:v>
                </c:pt>
                <c:pt idx="112">
                  <c:v>10</c:v>
                </c:pt>
                <c:pt idx="113">
                  <c:v>332500</c:v>
                </c:pt>
                <c:pt idx="114">
                  <c:v>231200</c:v>
                </c:pt>
                <c:pt idx="115">
                  <c:v>13578522</c:v>
                </c:pt>
                <c:pt idx="116">
                  <c:v>2500000</c:v>
                </c:pt>
                <c:pt idx="117">
                  <c:v>1617400</c:v>
                </c:pt>
                <c:pt idx="118">
                  <c:v>1636</c:v>
                </c:pt>
                <c:pt idx="119">
                  <c:v>682671</c:v>
                </c:pt>
                <c:pt idx="120">
                  <c:v>850</c:v>
                </c:pt>
                <c:pt idx="121">
                  <c:v>553400</c:v>
                </c:pt>
                <c:pt idx="122">
                  <c:v>10</c:v>
                </c:pt>
                <c:pt idx="123">
                  <c:v>103986</c:v>
                </c:pt>
                <c:pt idx="124">
                  <c:v>25600</c:v>
                </c:pt>
                <c:pt idx="125">
                  <c:v>11320134</c:v>
                </c:pt>
                <c:pt idx="126">
                  <c:v>3913145</c:v>
                </c:pt>
                <c:pt idx="127">
                  <c:v>1083</c:v>
                </c:pt>
                <c:pt idx="128">
                  <c:v>612814</c:v>
                </c:pt>
                <c:pt idx="129">
                  <c:v>3600006</c:v>
                </c:pt>
                <c:pt idx="130">
                  <c:v>788520</c:v>
                </c:pt>
                <c:pt idx="131">
                  <c:v>1097100</c:v>
                </c:pt>
                <c:pt idx="132">
                  <c:v>3606724</c:v>
                </c:pt>
                <c:pt idx="133">
                  <c:v>6400000</c:v>
                </c:pt>
                <c:pt idx="134">
                  <c:v>299295</c:v>
                </c:pt>
                <c:pt idx="135">
                  <c:v>3635</c:v>
                </c:pt>
                <c:pt idx="136">
                  <c:v>411312</c:v>
                </c:pt>
                <c:pt idx="137">
                  <c:v>10604697</c:v>
                </c:pt>
                <c:pt idx="138">
                  <c:v>5900000</c:v>
                </c:pt>
                <c:pt idx="139">
                  <c:v>1643300</c:v>
                </c:pt>
                <c:pt idx="140">
                  <c:v>11362400</c:v>
                </c:pt>
                <c:pt idx="141">
                  <c:v>5500589</c:v>
                </c:pt>
                <c:pt idx="142">
                  <c:v>1100000</c:v>
                </c:pt>
                <c:pt idx="143">
                  <c:v>30100</c:v>
                </c:pt>
                <c:pt idx="144">
                  <c:v>6800000</c:v>
                </c:pt>
                <c:pt idx="145">
                  <c:v>826000</c:v>
                </c:pt>
                <c:pt idx="146">
                  <c:v>0</c:v>
                </c:pt>
                <c:pt idx="147">
                  <c:v>233</c:v>
                </c:pt>
                <c:pt idx="148">
                  <c:v>749596</c:v>
                </c:pt>
                <c:pt idx="149">
                  <c:v>106300</c:v>
                </c:pt>
                <c:pt idx="150">
                  <c:v>1254200</c:v>
                </c:pt>
                <c:pt idx="151">
                  <c:v>3847400</c:v>
                </c:pt>
                <c:pt idx="152">
                  <c:v>540200</c:v>
                </c:pt>
                <c:pt idx="153">
                  <c:v>2014100</c:v>
                </c:pt>
                <c:pt idx="154">
                  <c:v>238737</c:v>
                </c:pt>
                <c:pt idx="155">
                  <c:v>146219</c:v>
                </c:pt>
                <c:pt idx="156">
                  <c:v>53702</c:v>
                </c:pt>
                <c:pt idx="157">
                  <c:v>61</c:v>
                </c:pt>
                <c:pt idx="158">
                  <c:v>2555</c:v>
                </c:pt>
                <c:pt idx="159">
                  <c:v>2536000</c:v>
                </c:pt>
                <c:pt idx="160">
                  <c:v>12200000</c:v>
                </c:pt>
                <c:pt idx="161">
                  <c:v>151200</c:v>
                </c:pt>
                <c:pt idx="162">
                  <c:v>4200000</c:v>
                </c:pt>
                <c:pt idx="163">
                  <c:v>5676000</c:v>
                </c:pt>
                <c:pt idx="164">
                  <c:v>2700000</c:v>
                </c:pt>
                <c:pt idx="165">
                  <c:v>16400554</c:v>
                </c:pt>
                <c:pt idx="166">
                  <c:v>6800</c:v>
                </c:pt>
                <c:pt idx="167">
                  <c:v>790500</c:v>
                </c:pt>
                <c:pt idx="168">
                  <c:v>5600000</c:v>
                </c:pt>
                <c:pt idx="169">
                  <c:v>668600</c:v>
                </c:pt>
                <c:pt idx="170">
                  <c:v>61000</c:v>
                </c:pt>
                <c:pt idx="171">
                  <c:v>1598400</c:v>
                </c:pt>
                <c:pt idx="172">
                  <c:v>17610261</c:v>
                </c:pt>
                <c:pt idx="173">
                  <c:v>6796</c:v>
                </c:pt>
                <c:pt idx="174">
                  <c:v>18700</c:v>
                </c:pt>
                <c:pt idx="175">
                  <c:v>0</c:v>
                </c:pt>
                <c:pt idx="176">
                  <c:v>149800</c:v>
                </c:pt>
                <c:pt idx="177">
                  <c:v>859500</c:v>
                </c:pt>
                <c:pt idx="178">
                  <c:v>108000</c:v>
                </c:pt>
                <c:pt idx="179">
                  <c:v>192900</c:v>
                </c:pt>
                <c:pt idx="180">
                  <c:v>669800</c:v>
                </c:pt>
                <c:pt idx="181">
                  <c:v>728100</c:v>
                </c:pt>
                <c:pt idx="182">
                  <c:v>312400</c:v>
                </c:pt>
                <c:pt idx="183">
                  <c:v>457700</c:v>
                </c:pt>
                <c:pt idx="184">
                  <c:v>2812222</c:v>
                </c:pt>
                <c:pt idx="185">
                  <c:v>75500</c:v>
                </c:pt>
                <c:pt idx="186">
                  <c:v>229100</c:v>
                </c:pt>
                <c:pt idx="187">
                  <c:v>1647500</c:v>
                </c:pt>
                <c:pt idx="188">
                  <c:v>16600000</c:v>
                </c:pt>
                <c:pt idx="189">
                  <c:v>2300051</c:v>
                </c:pt>
                <c:pt idx="190">
                  <c:v>779400</c:v>
                </c:pt>
                <c:pt idx="191">
                  <c:v>1431470</c:v>
                </c:pt>
                <c:pt idx="192">
                  <c:v>1819700</c:v>
                </c:pt>
                <c:pt idx="193">
                  <c:v>855500</c:v>
                </c:pt>
                <c:pt idx="194">
                  <c:v>3760200</c:v>
                </c:pt>
                <c:pt idx="195">
                  <c:v>111</c:v>
                </c:pt>
                <c:pt idx="196">
                  <c:v>344642</c:v>
                </c:pt>
                <c:pt idx="197">
                  <c:v>1280700</c:v>
                </c:pt>
                <c:pt idx="198">
                  <c:v>11783300</c:v>
                </c:pt>
                <c:pt idx="199">
                  <c:v>50100</c:v>
                </c:pt>
                <c:pt idx="200">
                  <c:v>2005672</c:v>
                </c:pt>
                <c:pt idx="201">
                  <c:v>941233</c:v>
                </c:pt>
                <c:pt idx="202">
                  <c:v>2893500</c:v>
                </c:pt>
                <c:pt idx="203">
                  <c:v>1145500</c:v>
                </c:pt>
                <c:pt idx="204">
                  <c:v>9931</c:v>
                </c:pt>
                <c:pt idx="205">
                  <c:v>0</c:v>
                </c:pt>
                <c:pt idx="206">
                  <c:v>426000</c:v>
                </c:pt>
                <c:pt idx="207">
                  <c:v>3000000</c:v>
                </c:pt>
                <c:pt idx="208">
                  <c:v>485191</c:v>
                </c:pt>
                <c:pt idx="209">
                  <c:v>167</c:v>
                </c:pt>
                <c:pt idx="210">
                  <c:v>37939400</c:v>
                </c:pt>
                <c:pt idx="211">
                  <c:v>2422200</c:v>
                </c:pt>
                <c:pt idx="212">
                  <c:v>1202300</c:v>
                </c:pt>
                <c:pt idx="213">
                  <c:v>323100</c:v>
                </c:pt>
                <c:pt idx="214">
                  <c:v>15000335</c:v>
                </c:pt>
                <c:pt idx="215">
                  <c:v>3744</c:v>
                </c:pt>
                <c:pt idx="216">
                  <c:v>1500000</c:v>
                </c:pt>
                <c:pt idx="217">
                  <c:v>23200007</c:v>
                </c:pt>
                <c:pt idx="218">
                  <c:v>329100</c:v>
                </c:pt>
                <c:pt idx="219">
                  <c:v>349800</c:v>
                </c:pt>
                <c:pt idx="220">
                  <c:v>12628</c:v>
                </c:pt>
                <c:pt idx="221">
                  <c:v>2780741</c:v>
                </c:pt>
                <c:pt idx="222">
                  <c:v>1</c:v>
                </c:pt>
                <c:pt idx="223">
                  <c:v>2300000</c:v>
                </c:pt>
                <c:pt idx="224">
                  <c:v>129200</c:v>
                </c:pt>
                <c:pt idx="225">
                  <c:v>425754</c:v>
                </c:pt>
                <c:pt idx="226">
                  <c:v>1762</c:v>
                </c:pt>
                <c:pt idx="227">
                  <c:v>1420</c:v>
                </c:pt>
                <c:pt idx="228">
                  <c:v>4785600</c:v>
                </c:pt>
                <c:pt idx="229">
                  <c:v>873</c:v>
                </c:pt>
                <c:pt idx="230">
                  <c:v>730200</c:v>
                </c:pt>
                <c:pt idx="231">
                  <c:v>725400</c:v>
                </c:pt>
                <c:pt idx="232">
                  <c:v>29601</c:v>
                </c:pt>
                <c:pt idx="233">
                  <c:v>4000937</c:v>
                </c:pt>
                <c:pt idx="234">
                  <c:v>2404600</c:v>
                </c:pt>
                <c:pt idx="235">
                  <c:v>2800088</c:v>
                </c:pt>
                <c:pt idx="236">
                  <c:v>353900</c:v>
                </c:pt>
                <c:pt idx="237">
                  <c:v>201712</c:v>
                </c:pt>
                <c:pt idx="238">
                  <c:v>5300011</c:v>
                </c:pt>
                <c:pt idx="239">
                  <c:v>716300</c:v>
                </c:pt>
                <c:pt idx="240">
                  <c:v>1710864</c:v>
                </c:pt>
                <c:pt idx="241">
                  <c:v>340</c:v>
                </c:pt>
                <c:pt idx="242">
                  <c:v>1659589</c:v>
                </c:pt>
                <c:pt idx="243">
                  <c:v>0</c:v>
                </c:pt>
                <c:pt idx="244">
                  <c:v>101000</c:v>
                </c:pt>
                <c:pt idx="245">
                  <c:v>211300</c:v>
                </c:pt>
                <c:pt idx="246">
                  <c:v>97300</c:v>
                </c:pt>
                <c:pt idx="247">
                  <c:v>207</c:v>
                </c:pt>
                <c:pt idx="248">
                  <c:v>123000</c:v>
                </c:pt>
                <c:pt idx="249">
                  <c:v>501729</c:v>
                </c:pt>
                <c:pt idx="250">
                  <c:v>12</c:v>
                </c:pt>
                <c:pt idx="251">
                  <c:v>624604</c:v>
                </c:pt>
                <c:pt idx="252">
                  <c:v>390500</c:v>
                </c:pt>
                <c:pt idx="253">
                  <c:v>24300039</c:v>
                </c:pt>
                <c:pt idx="254">
                  <c:v>1049950</c:v>
                </c:pt>
                <c:pt idx="255">
                  <c:v>530500</c:v>
                </c:pt>
                <c:pt idx="256">
                  <c:v>902800</c:v>
                </c:pt>
                <c:pt idx="257">
                  <c:v>19799</c:v>
                </c:pt>
                <c:pt idx="258">
                  <c:v>2926300</c:v>
                </c:pt>
                <c:pt idx="259">
                  <c:v>96435</c:v>
                </c:pt>
                <c:pt idx="260">
                  <c:v>3600000</c:v>
                </c:pt>
                <c:pt idx="261">
                  <c:v>2201128</c:v>
                </c:pt>
                <c:pt idx="262">
                  <c:v>2403624</c:v>
                </c:pt>
                <c:pt idx="263">
                  <c:v>1492300</c:v>
                </c:pt>
                <c:pt idx="264">
                  <c:v>20</c:v>
                </c:pt>
                <c:pt idx="265">
                  <c:v>1207529</c:v>
                </c:pt>
                <c:pt idx="266">
                  <c:v>601700</c:v>
                </c:pt>
                <c:pt idx="267">
                  <c:v>987000</c:v>
                </c:pt>
                <c:pt idx="268">
                  <c:v>1372500</c:v>
                </c:pt>
                <c:pt idx="269">
                  <c:v>163500</c:v>
                </c:pt>
                <c:pt idx="270">
                  <c:v>3775229</c:v>
                </c:pt>
                <c:pt idx="271">
                  <c:v>780300</c:v>
                </c:pt>
                <c:pt idx="272">
                  <c:v>147920</c:v>
                </c:pt>
                <c:pt idx="273">
                  <c:v>13234768</c:v>
                </c:pt>
                <c:pt idx="274">
                  <c:v>10008641</c:v>
                </c:pt>
                <c:pt idx="275">
                  <c:v>97700</c:v>
                </c:pt>
                <c:pt idx="276">
                  <c:v>58344</c:v>
                </c:pt>
                <c:pt idx="277">
                  <c:v>516351</c:v>
                </c:pt>
                <c:pt idx="278">
                  <c:v>3321400</c:v>
                </c:pt>
                <c:pt idx="279">
                  <c:v>211600</c:v>
                </c:pt>
                <c:pt idx="280">
                  <c:v>1700007</c:v>
                </c:pt>
                <c:pt idx="281">
                  <c:v>2914700</c:v>
                </c:pt>
                <c:pt idx="282">
                  <c:v>621401</c:v>
                </c:pt>
                <c:pt idx="283">
                  <c:v>150</c:v>
                </c:pt>
                <c:pt idx="284">
                  <c:v>1400032</c:v>
                </c:pt>
                <c:pt idx="285">
                  <c:v>357023</c:v>
                </c:pt>
                <c:pt idx="286">
                  <c:v>223554</c:v>
                </c:pt>
                <c:pt idx="287">
                  <c:v>54200</c:v>
                </c:pt>
                <c:pt idx="288">
                  <c:v>45500</c:v>
                </c:pt>
                <c:pt idx="289">
                  <c:v>47400</c:v>
                </c:pt>
                <c:pt idx="290">
                  <c:v>14238695</c:v>
                </c:pt>
                <c:pt idx="291">
                  <c:v>548000</c:v>
                </c:pt>
                <c:pt idx="292">
                  <c:v>2600000</c:v>
                </c:pt>
                <c:pt idx="293">
                  <c:v>355504</c:v>
                </c:pt>
                <c:pt idx="294">
                  <c:v>12700</c:v>
                </c:pt>
                <c:pt idx="295">
                  <c:v>51638</c:v>
                </c:pt>
                <c:pt idx="296">
                  <c:v>5200000</c:v>
                </c:pt>
                <c:pt idx="297">
                  <c:v>1953200</c:v>
                </c:pt>
                <c:pt idx="298">
                  <c:v>3</c:v>
                </c:pt>
                <c:pt idx="299">
                  <c:v>390379</c:v>
                </c:pt>
                <c:pt idx="300">
                  <c:v>3553</c:v>
                </c:pt>
                <c:pt idx="301">
                  <c:v>10161642</c:v>
                </c:pt>
                <c:pt idx="302">
                  <c:v>4800000</c:v>
                </c:pt>
                <c:pt idx="303">
                  <c:v>698200</c:v>
                </c:pt>
                <c:pt idx="304">
                  <c:v>119064</c:v>
                </c:pt>
                <c:pt idx="305">
                  <c:v>798817</c:v>
                </c:pt>
                <c:pt idx="306">
                  <c:v>566502</c:v>
                </c:pt>
                <c:pt idx="307">
                  <c:v>7199</c:v>
                </c:pt>
                <c:pt idx="308">
                  <c:v>2200000</c:v>
                </c:pt>
                <c:pt idx="309">
                  <c:v>129900</c:v>
                </c:pt>
                <c:pt idx="310">
                  <c:v>2163034</c:v>
                </c:pt>
                <c:pt idx="311">
                  <c:v>12863300</c:v>
                </c:pt>
                <c:pt idx="312">
                  <c:v>5377605</c:v>
                </c:pt>
                <c:pt idx="313">
                  <c:v>29778656</c:v>
                </c:pt>
                <c:pt idx="314">
                  <c:v>404633</c:v>
                </c:pt>
                <c:pt idx="315">
                  <c:v>1800803</c:v>
                </c:pt>
                <c:pt idx="316">
                  <c:v>261800</c:v>
                </c:pt>
                <c:pt idx="317">
                  <c:v>0</c:v>
                </c:pt>
                <c:pt idx="318">
                  <c:v>201753</c:v>
                </c:pt>
                <c:pt idx="319">
                  <c:v>0</c:v>
                </c:pt>
                <c:pt idx="320">
                  <c:v>19467</c:v>
                </c:pt>
                <c:pt idx="321">
                  <c:v>5900000</c:v>
                </c:pt>
                <c:pt idx="322">
                  <c:v>3000000</c:v>
                </c:pt>
                <c:pt idx="323">
                  <c:v>366</c:v>
                </c:pt>
                <c:pt idx="324">
                  <c:v>2560474</c:v>
                </c:pt>
                <c:pt idx="325">
                  <c:v>66700</c:v>
                </c:pt>
                <c:pt idx="326">
                  <c:v>749</c:v>
                </c:pt>
                <c:pt idx="327">
                  <c:v>746700</c:v>
                </c:pt>
                <c:pt idx="328">
                  <c:v>87200</c:v>
                </c:pt>
                <c:pt idx="329">
                  <c:v>3810998</c:v>
                </c:pt>
                <c:pt idx="330">
                  <c:v>269008</c:v>
                </c:pt>
                <c:pt idx="331">
                  <c:v>4701982</c:v>
                </c:pt>
                <c:pt idx="332">
                  <c:v>225900</c:v>
                </c:pt>
                <c:pt idx="333">
                  <c:v>115500</c:v>
                </c:pt>
                <c:pt idx="334">
                  <c:v>9257</c:v>
                </c:pt>
                <c:pt idx="335">
                  <c:v>651787</c:v>
                </c:pt>
                <c:pt idx="336">
                  <c:v>1200000</c:v>
                </c:pt>
                <c:pt idx="337">
                  <c:v>0</c:v>
                </c:pt>
                <c:pt idx="338">
                  <c:v>168868</c:v>
                </c:pt>
                <c:pt idx="339">
                  <c:v>385177</c:v>
                </c:pt>
                <c:pt idx="340">
                  <c:v>1291</c:v>
                </c:pt>
                <c:pt idx="341">
                  <c:v>6000895</c:v>
                </c:pt>
                <c:pt idx="342">
                  <c:v>156821</c:v>
                </c:pt>
                <c:pt idx="343">
                  <c:v>120</c:v>
                </c:pt>
                <c:pt idx="344">
                  <c:v>578</c:v>
                </c:pt>
                <c:pt idx="345">
                  <c:v>1689500</c:v>
                </c:pt>
                <c:pt idx="346">
                  <c:v>1700000</c:v>
                </c:pt>
                <c:pt idx="347">
                  <c:v>452</c:v>
                </c:pt>
                <c:pt idx="348">
                  <c:v>660158</c:v>
                </c:pt>
                <c:pt idx="349">
                  <c:v>204482</c:v>
                </c:pt>
                <c:pt idx="350">
                  <c:v>1774</c:v>
                </c:pt>
                <c:pt idx="351">
                  <c:v>1868100</c:v>
                </c:pt>
                <c:pt idx="352">
                  <c:v>495300</c:v>
                </c:pt>
                <c:pt idx="353">
                  <c:v>1401981</c:v>
                </c:pt>
                <c:pt idx="354">
                  <c:v>1840609</c:v>
                </c:pt>
                <c:pt idx="355">
                  <c:v>710200</c:v>
                </c:pt>
                <c:pt idx="356">
                  <c:v>0</c:v>
                </c:pt>
                <c:pt idx="357">
                  <c:v>3720065</c:v>
                </c:pt>
                <c:pt idx="358">
                  <c:v>16940429</c:v>
                </c:pt>
                <c:pt idx="359">
                  <c:v>131103</c:v>
                </c:pt>
                <c:pt idx="360">
                  <c:v>504600</c:v>
                </c:pt>
                <c:pt idx="361">
                  <c:v>1049700</c:v>
                </c:pt>
                <c:pt idx="362">
                  <c:v>1027755</c:v>
                </c:pt>
                <c:pt idx="363">
                  <c:v>5</c:v>
                </c:pt>
                <c:pt idx="364">
                  <c:v>1048616</c:v>
                </c:pt>
                <c:pt idx="365">
                  <c:v>519400</c:v>
                </c:pt>
                <c:pt idx="366">
                  <c:v>1100000</c:v>
                </c:pt>
                <c:pt idx="367">
                  <c:v>1</c:v>
                </c:pt>
                <c:pt idx="368">
                  <c:v>3547</c:v>
                </c:pt>
                <c:pt idx="369">
                  <c:v>265400</c:v>
                </c:pt>
                <c:pt idx="370">
                  <c:v>0</c:v>
                </c:pt>
                <c:pt idx="371">
                  <c:v>1401151</c:v>
                </c:pt>
                <c:pt idx="372">
                  <c:v>547900</c:v>
                </c:pt>
                <c:pt idx="373">
                  <c:v>12601</c:v>
                </c:pt>
                <c:pt idx="374">
                  <c:v>271407</c:v>
                </c:pt>
                <c:pt idx="375">
                  <c:v>561700</c:v>
                </c:pt>
                <c:pt idx="376">
                  <c:v>7930</c:v>
                </c:pt>
                <c:pt idx="377">
                  <c:v>3117000</c:v>
                </c:pt>
                <c:pt idx="378">
                  <c:v>174842</c:v>
                </c:pt>
                <c:pt idx="379">
                  <c:v>754800</c:v>
                </c:pt>
                <c:pt idx="380">
                  <c:v>1934500</c:v>
                </c:pt>
                <c:pt idx="381">
                  <c:v>415600</c:v>
                </c:pt>
                <c:pt idx="382">
                  <c:v>365220</c:v>
                </c:pt>
                <c:pt idx="383">
                  <c:v>5</c:v>
                </c:pt>
                <c:pt idx="384">
                  <c:v>659840</c:v>
                </c:pt>
                <c:pt idx="385">
                  <c:v>377</c:v>
                </c:pt>
                <c:pt idx="386">
                  <c:v>60100</c:v>
                </c:pt>
                <c:pt idx="387">
                  <c:v>253259</c:v>
                </c:pt>
                <c:pt idx="388">
                  <c:v>113100</c:v>
                </c:pt>
                <c:pt idx="389">
                  <c:v>28</c:v>
                </c:pt>
                <c:pt idx="390">
                  <c:v>3800000</c:v>
                </c:pt>
                <c:pt idx="391">
                  <c:v>1508300</c:v>
                </c:pt>
                <c:pt idx="392">
                  <c:v>256512</c:v>
                </c:pt>
                <c:pt idx="393">
                  <c:v>36</c:v>
                </c:pt>
                <c:pt idx="394">
                  <c:v>1146900</c:v>
                </c:pt>
                <c:pt idx="395">
                  <c:v>5700000</c:v>
                </c:pt>
                <c:pt idx="396">
                  <c:v>1036201</c:v>
                </c:pt>
                <c:pt idx="397">
                  <c:v>0</c:v>
                </c:pt>
                <c:pt idx="398">
                  <c:v>303108</c:v>
                </c:pt>
                <c:pt idx="399">
                  <c:v>0</c:v>
                </c:pt>
                <c:pt idx="400">
                  <c:v>23100</c:v>
                </c:pt>
                <c:pt idx="401">
                  <c:v>46900000</c:v>
                </c:pt>
                <c:pt idx="402">
                  <c:v>7889</c:v>
                </c:pt>
                <c:pt idx="403">
                  <c:v>1848</c:v>
                </c:pt>
                <c:pt idx="404">
                  <c:v>192900</c:v>
                </c:pt>
                <c:pt idx="405">
                  <c:v>148200</c:v>
                </c:pt>
                <c:pt idx="406">
                  <c:v>214067</c:v>
                </c:pt>
                <c:pt idx="407">
                  <c:v>14</c:v>
                </c:pt>
                <c:pt idx="408">
                  <c:v>3</c:v>
                </c:pt>
                <c:pt idx="409">
                  <c:v>63</c:v>
                </c:pt>
                <c:pt idx="410">
                  <c:v>385700</c:v>
                </c:pt>
                <c:pt idx="411">
                  <c:v>0</c:v>
                </c:pt>
                <c:pt idx="412">
                  <c:v>16</c:v>
                </c:pt>
                <c:pt idx="413">
                  <c:v>156652</c:v>
                </c:pt>
                <c:pt idx="414">
                  <c:v>242794</c:v>
                </c:pt>
                <c:pt idx="415">
                  <c:v>0</c:v>
                </c:pt>
                <c:pt idx="416">
                  <c:v>32000</c:v>
                </c:pt>
                <c:pt idx="417">
                  <c:v>2</c:v>
                </c:pt>
                <c:pt idx="418">
                  <c:v>97800</c:v>
                </c:pt>
                <c:pt idx="419">
                  <c:v>34874</c:v>
                </c:pt>
                <c:pt idx="420">
                  <c:v>2312474</c:v>
                </c:pt>
                <c:pt idx="421">
                  <c:v>1300000</c:v>
                </c:pt>
                <c:pt idx="422">
                  <c:v>899100</c:v>
                </c:pt>
                <c:pt idx="423">
                  <c:v>190103</c:v>
                </c:pt>
                <c:pt idx="424">
                  <c:v>3</c:v>
                </c:pt>
                <c:pt idx="425">
                  <c:v>6700000</c:v>
                </c:pt>
                <c:pt idx="426">
                  <c:v>0</c:v>
                </c:pt>
                <c:pt idx="427">
                  <c:v>2200000</c:v>
                </c:pt>
                <c:pt idx="428">
                  <c:v>3300000</c:v>
                </c:pt>
                <c:pt idx="429">
                  <c:v>0</c:v>
                </c:pt>
                <c:pt idx="430">
                  <c:v>14</c:v>
                </c:pt>
                <c:pt idx="431">
                  <c:v>20000</c:v>
                </c:pt>
                <c:pt idx="432">
                  <c:v>11300</c:v>
                </c:pt>
                <c:pt idx="433">
                  <c:v>228582</c:v>
                </c:pt>
                <c:pt idx="434">
                  <c:v>14</c:v>
                </c:pt>
                <c:pt idx="435">
                  <c:v>169600</c:v>
                </c:pt>
                <c:pt idx="436">
                  <c:v>2933</c:v>
                </c:pt>
                <c:pt idx="437">
                  <c:v>0</c:v>
                </c:pt>
                <c:pt idx="438">
                  <c:v>285700</c:v>
                </c:pt>
                <c:pt idx="439">
                  <c:v>15400</c:v>
                </c:pt>
                <c:pt idx="440">
                  <c:v>472400</c:v>
                </c:pt>
                <c:pt idx="441">
                  <c:v>11</c:v>
                </c:pt>
                <c:pt idx="442">
                  <c:v>7976</c:v>
                </c:pt>
                <c:pt idx="443">
                  <c:v>345800</c:v>
                </c:pt>
                <c:pt idx="444">
                  <c:v>335000</c:v>
                </c:pt>
                <c:pt idx="445">
                  <c:v>101400</c:v>
                </c:pt>
                <c:pt idx="446">
                  <c:v>1285500</c:v>
                </c:pt>
                <c:pt idx="447">
                  <c:v>143400</c:v>
                </c:pt>
                <c:pt idx="448">
                  <c:v>5121</c:v>
                </c:pt>
                <c:pt idx="449">
                  <c:v>1860</c:v>
                </c:pt>
              </c:numCache>
            </c:numRef>
          </c:val>
          <c:extLst>
            <c:ext xmlns:c16="http://schemas.microsoft.com/office/drawing/2014/chart" uri="{C3380CC4-5D6E-409C-BE32-E72D297353CC}">
              <c16:uniqueId val="{00000000-67A3-45D4-A323-149C37269502}"/>
            </c:ext>
          </c:extLst>
        </c:ser>
        <c:dLbls>
          <c:showLegendKey val="0"/>
          <c:showVal val="0"/>
          <c:showCatName val="0"/>
          <c:showSerName val="0"/>
          <c:showPercent val="0"/>
          <c:showBubbleSize val="0"/>
        </c:dLbls>
        <c:gapWidth val="219"/>
        <c:axId val="537103232"/>
        <c:axId val="678407152"/>
      </c:barChart>
      <c:catAx>
        <c:axId val="537103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407152"/>
        <c:crosses val="autoZero"/>
        <c:auto val="1"/>
        <c:lblAlgn val="ctr"/>
        <c:lblOffset val="100"/>
        <c:noMultiLvlLbl val="0"/>
      </c:catAx>
      <c:valAx>
        <c:axId val="678407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103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Graphs!$AD$20</c:f>
              <c:strCache>
                <c:ptCount val="1"/>
                <c:pt idx="0">
                  <c:v>Total</c:v>
                </c:pt>
              </c:strCache>
            </c:strRef>
          </c:tx>
          <c:spPr>
            <a:solidFill>
              <a:schemeClr val="accent1"/>
            </a:solidFill>
            <a:ln>
              <a:noFill/>
            </a:ln>
            <a:effectLst/>
          </c:spPr>
          <c:invertIfNegative val="0"/>
          <c:cat>
            <c:strRef>
              <c:f>Graphs!$AC$21:$AC$25</c:f>
              <c:strCache>
                <c:ptCount val="4"/>
                <c:pt idx="0">
                  <c:v>1st Quartile</c:v>
                </c:pt>
                <c:pt idx="1">
                  <c:v>2nd Quartile</c:v>
                </c:pt>
                <c:pt idx="2">
                  <c:v>3rd Quartile</c:v>
                </c:pt>
                <c:pt idx="3">
                  <c:v>4th Quartile</c:v>
                </c:pt>
              </c:strCache>
            </c:strRef>
          </c:cat>
          <c:val>
            <c:numRef>
              <c:f>Graphs!$AD$21:$AD$25</c:f>
              <c:numCache>
                <c:formatCode>General</c:formatCode>
                <c:ptCount val="4"/>
                <c:pt idx="0">
                  <c:v>241</c:v>
                </c:pt>
                <c:pt idx="1">
                  <c:v>241</c:v>
                </c:pt>
                <c:pt idx="2">
                  <c:v>241</c:v>
                </c:pt>
                <c:pt idx="3">
                  <c:v>241</c:v>
                </c:pt>
              </c:numCache>
            </c:numRef>
          </c:val>
          <c:extLst>
            <c:ext xmlns:c16="http://schemas.microsoft.com/office/drawing/2014/chart" uri="{C3380CC4-5D6E-409C-BE32-E72D297353CC}">
              <c16:uniqueId val="{00000000-0A00-45A9-9E71-7582924EDE6B}"/>
            </c:ext>
          </c:extLst>
        </c:ser>
        <c:dLbls>
          <c:showLegendKey val="0"/>
          <c:showVal val="0"/>
          <c:showCatName val="0"/>
          <c:showSerName val="0"/>
          <c:showPercent val="0"/>
          <c:showBubbleSize val="0"/>
        </c:dLbls>
        <c:gapWidth val="219"/>
        <c:overlap val="-27"/>
        <c:axId val="1761040127"/>
        <c:axId val="514123535"/>
      </c:barChart>
      <c:catAx>
        <c:axId val="176104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23535"/>
        <c:crosses val="autoZero"/>
        <c:auto val="1"/>
        <c:lblAlgn val="ctr"/>
        <c:lblOffset val="100"/>
        <c:noMultiLvlLbl val="0"/>
      </c:catAx>
      <c:valAx>
        <c:axId val="514123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1040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Graphs!$T$20</c:f>
              <c:strCache>
                <c:ptCount val="1"/>
                <c:pt idx="0">
                  <c:v>Total</c:v>
                </c:pt>
              </c:strCache>
            </c:strRef>
          </c:tx>
          <c:spPr>
            <a:solidFill>
              <a:schemeClr val="accent1"/>
            </a:solidFill>
            <a:ln>
              <a:noFill/>
            </a:ln>
            <a:effectLst/>
          </c:spPr>
          <c:invertIfNegative val="0"/>
          <c:cat>
            <c:strRef>
              <c:f>Graphs!$S$21:$S$23</c:f>
              <c:strCache>
                <c:ptCount val="2"/>
                <c:pt idx="0">
                  <c:v>0</c:v>
                </c:pt>
                <c:pt idx="1">
                  <c:v>1</c:v>
                </c:pt>
              </c:strCache>
            </c:strRef>
          </c:cat>
          <c:val>
            <c:numRef>
              <c:f>Graphs!$T$21:$T$23</c:f>
              <c:numCache>
                <c:formatCode>General</c:formatCode>
                <c:ptCount val="2"/>
                <c:pt idx="0">
                  <c:v>344277491</c:v>
                </c:pt>
                <c:pt idx="1">
                  <c:v>474540465</c:v>
                </c:pt>
              </c:numCache>
            </c:numRef>
          </c:val>
          <c:extLst>
            <c:ext xmlns:c16="http://schemas.microsoft.com/office/drawing/2014/chart" uri="{C3380CC4-5D6E-409C-BE32-E72D297353CC}">
              <c16:uniqueId val="{00000000-C793-40EE-BCEA-DA569FEBA6D9}"/>
            </c:ext>
          </c:extLst>
        </c:ser>
        <c:dLbls>
          <c:showLegendKey val="0"/>
          <c:showVal val="0"/>
          <c:showCatName val="0"/>
          <c:showSerName val="0"/>
          <c:showPercent val="0"/>
          <c:showBubbleSize val="0"/>
        </c:dLbls>
        <c:gapWidth val="219"/>
        <c:overlap val="-27"/>
        <c:axId val="1795254383"/>
        <c:axId val="562145551"/>
      </c:barChart>
      <c:catAx>
        <c:axId val="1795254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145551"/>
        <c:crosses val="autoZero"/>
        <c:auto val="1"/>
        <c:lblAlgn val="ctr"/>
        <c:lblOffset val="100"/>
        <c:noMultiLvlLbl val="0"/>
      </c:catAx>
      <c:valAx>
        <c:axId val="562145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54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Graphs!$W$20</c:f>
              <c:strCache>
                <c:ptCount val="1"/>
                <c:pt idx="0">
                  <c:v>Total</c:v>
                </c:pt>
              </c:strCache>
            </c:strRef>
          </c:tx>
          <c:spPr>
            <a:solidFill>
              <a:schemeClr val="accent1"/>
            </a:solidFill>
            <a:ln>
              <a:noFill/>
            </a:ln>
            <a:effectLst/>
          </c:spPr>
          <c:invertIfNegative val="0"/>
          <c:cat>
            <c:strRef>
              <c:f>Graphs!$V$21:$V$486</c:f>
              <c:strCache>
                <c:ptCount val="465"/>
                <c:pt idx="0">
                  <c:v>0.0194</c:v>
                </c:pt>
                <c:pt idx="1">
                  <c:v>0.0219</c:v>
                </c:pt>
                <c:pt idx="2">
                  <c:v>0.0265</c:v>
                </c:pt>
                <c:pt idx="3">
                  <c:v>0.03</c:v>
                </c:pt>
                <c:pt idx="4">
                  <c:v>0.0311</c:v>
                </c:pt>
                <c:pt idx="5">
                  <c:v>0.0319</c:v>
                </c:pt>
                <c:pt idx="6">
                  <c:v>0.033</c:v>
                </c:pt>
                <c:pt idx="7">
                  <c:v>0.0338</c:v>
                </c:pt>
                <c:pt idx="8">
                  <c:v>0.0389</c:v>
                </c:pt>
                <c:pt idx="9">
                  <c:v>0.0405</c:v>
                </c:pt>
                <c:pt idx="10">
                  <c:v>0.0425</c:v>
                </c:pt>
                <c:pt idx="11">
                  <c:v>0.0429</c:v>
                </c:pt>
                <c:pt idx="12">
                  <c:v>0.0452</c:v>
                </c:pt>
                <c:pt idx="13">
                  <c:v>0.0461</c:v>
                </c:pt>
                <c:pt idx="14">
                  <c:v>0.0467</c:v>
                </c:pt>
                <c:pt idx="15">
                  <c:v>0.0468</c:v>
                </c:pt>
                <c:pt idx="16">
                  <c:v>0.0486</c:v>
                </c:pt>
                <c:pt idx="17">
                  <c:v>0.0493</c:v>
                </c:pt>
                <c:pt idx="18">
                  <c:v>0.0498</c:v>
                </c:pt>
                <c:pt idx="19">
                  <c:v>0.05</c:v>
                </c:pt>
                <c:pt idx="20">
                  <c:v>0.0501</c:v>
                </c:pt>
                <c:pt idx="21">
                  <c:v>0.0509</c:v>
                </c:pt>
                <c:pt idx="22">
                  <c:v>0.0511</c:v>
                </c:pt>
                <c:pt idx="23">
                  <c:v>0.0516</c:v>
                </c:pt>
                <c:pt idx="24">
                  <c:v>0.0517</c:v>
                </c:pt>
                <c:pt idx="25">
                  <c:v>0.0521</c:v>
                </c:pt>
                <c:pt idx="26">
                  <c:v>0.0523</c:v>
                </c:pt>
                <c:pt idx="27">
                  <c:v>0.0527</c:v>
                </c:pt>
                <c:pt idx="28">
                  <c:v>0.0534</c:v>
                </c:pt>
                <c:pt idx="29">
                  <c:v>0.054</c:v>
                </c:pt>
                <c:pt idx="30">
                  <c:v>0.0541</c:v>
                </c:pt>
                <c:pt idx="31">
                  <c:v>0.0543</c:v>
                </c:pt>
                <c:pt idx="32">
                  <c:v>0.0549</c:v>
                </c:pt>
                <c:pt idx="33">
                  <c:v>0.055</c:v>
                </c:pt>
                <c:pt idx="34">
                  <c:v>0.0552</c:v>
                </c:pt>
                <c:pt idx="35">
                  <c:v>0.0561</c:v>
                </c:pt>
                <c:pt idx="36">
                  <c:v>0.0562</c:v>
                </c:pt>
                <c:pt idx="37">
                  <c:v>0.0565</c:v>
                </c:pt>
                <c:pt idx="38">
                  <c:v>0.058</c:v>
                </c:pt>
                <c:pt idx="39">
                  <c:v>0.059</c:v>
                </c:pt>
                <c:pt idx="40">
                  <c:v>0.0596</c:v>
                </c:pt>
                <c:pt idx="41">
                  <c:v>0.06</c:v>
                </c:pt>
                <c:pt idx="42">
                  <c:v>0.0604</c:v>
                </c:pt>
                <c:pt idx="43">
                  <c:v>0.0621</c:v>
                </c:pt>
                <c:pt idx="44">
                  <c:v>0.0626</c:v>
                </c:pt>
                <c:pt idx="45">
                  <c:v>0.063</c:v>
                </c:pt>
                <c:pt idx="46">
                  <c:v>0.0633</c:v>
                </c:pt>
                <c:pt idx="47">
                  <c:v>0.0637</c:v>
                </c:pt>
                <c:pt idx="48">
                  <c:v>0.0648</c:v>
                </c:pt>
                <c:pt idx="49">
                  <c:v>0.065</c:v>
                </c:pt>
                <c:pt idx="50">
                  <c:v>0.0652</c:v>
                </c:pt>
                <c:pt idx="51">
                  <c:v>0.0654</c:v>
                </c:pt>
                <c:pt idx="52">
                  <c:v>0.0657</c:v>
                </c:pt>
                <c:pt idx="53">
                  <c:v>0.0658</c:v>
                </c:pt>
                <c:pt idx="54">
                  <c:v>0.0659</c:v>
                </c:pt>
                <c:pt idx="55">
                  <c:v>0.0663</c:v>
                </c:pt>
                <c:pt idx="56">
                  <c:v>0.0665</c:v>
                </c:pt>
                <c:pt idx="57">
                  <c:v>0.0669</c:v>
                </c:pt>
                <c:pt idx="58">
                  <c:v>0.0672</c:v>
                </c:pt>
                <c:pt idx="59">
                  <c:v>0.0673</c:v>
                </c:pt>
                <c:pt idx="60">
                  <c:v>0.0674</c:v>
                </c:pt>
                <c:pt idx="61">
                  <c:v>0.0675</c:v>
                </c:pt>
                <c:pt idx="62">
                  <c:v>0.0678</c:v>
                </c:pt>
                <c:pt idx="63">
                  <c:v>0.068</c:v>
                </c:pt>
                <c:pt idx="64">
                  <c:v>0.0682</c:v>
                </c:pt>
                <c:pt idx="65">
                  <c:v>0.0683</c:v>
                </c:pt>
                <c:pt idx="66">
                  <c:v>0.0684</c:v>
                </c:pt>
                <c:pt idx="67">
                  <c:v>0.0688</c:v>
                </c:pt>
                <c:pt idx="68">
                  <c:v>0.0689</c:v>
                </c:pt>
                <c:pt idx="69">
                  <c:v>0.0695</c:v>
                </c:pt>
                <c:pt idx="70">
                  <c:v>0.0697</c:v>
                </c:pt>
                <c:pt idx="71">
                  <c:v>0.07</c:v>
                </c:pt>
                <c:pt idx="72">
                  <c:v>0.0706</c:v>
                </c:pt>
                <c:pt idx="73">
                  <c:v>0.0708</c:v>
                </c:pt>
                <c:pt idx="74">
                  <c:v>0.071</c:v>
                </c:pt>
                <c:pt idx="75">
                  <c:v>0.0714</c:v>
                </c:pt>
                <c:pt idx="76">
                  <c:v>0.0723</c:v>
                </c:pt>
                <c:pt idx="77">
                  <c:v>0.073</c:v>
                </c:pt>
                <c:pt idx="78">
                  <c:v>0.0733</c:v>
                </c:pt>
                <c:pt idx="79">
                  <c:v>0.0735</c:v>
                </c:pt>
                <c:pt idx="80">
                  <c:v>0.0736</c:v>
                </c:pt>
                <c:pt idx="81">
                  <c:v>0.0738</c:v>
                </c:pt>
                <c:pt idx="82">
                  <c:v>0.0743</c:v>
                </c:pt>
                <c:pt idx="83">
                  <c:v>0.0745</c:v>
                </c:pt>
                <c:pt idx="84">
                  <c:v>0.0747</c:v>
                </c:pt>
                <c:pt idx="85">
                  <c:v>0.075</c:v>
                </c:pt>
                <c:pt idx="86">
                  <c:v>0.0752</c:v>
                </c:pt>
                <c:pt idx="87">
                  <c:v>0.0754</c:v>
                </c:pt>
                <c:pt idx="88">
                  <c:v>0.0759</c:v>
                </c:pt>
                <c:pt idx="89">
                  <c:v>0.0763</c:v>
                </c:pt>
                <c:pt idx="90">
                  <c:v>0.0765</c:v>
                </c:pt>
                <c:pt idx="91">
                  <c:v>0.0767</c:v>
                </c:pt>
                <c:pt idx="92">
                  <c:v>0.0769</c:v>
                </c:pt>
                <c:pt idx="93">
                  <c:v>0.0774</c:v>
                </c:pt>
                <c:pt idx="94">
                  <c:v>0.0775</c:v>
                </c:pt>
                <c:pt idx="95">
                  <c:v>0.0778</c:v>
                </c:pt>
                <c:pt idx="96">
                  <c:v>0.0779</c:v>
                </c:pt>
                <c:pt idx="97">
                  <c:v>0.0781</c:v>
                </c:pt>
                <c:pt idx="98">
                  <c:v>0.0783</c:v>
                </c:pt>
                <c:pt idx="99">
                  <c:v>0.0784</c:v>
                </c:pt>
                <c:pt idx="100">
                  <c:v>0.0785</c:v>
                </c:pt>
                <c:pt idx="101">
                  <c:v>0.0797</c:v>
                </c:pt>
                <c:pt idx="102">
                  <c:v>0.08</c:v>
                </c:pt>
                <c:pt idx="103">
                  <c:v>0.0801</c:v>
                </c:pt>
                <c:pt idx="104">
                  <c:v>0.0803</c:v>
                </c:pt>
                <c:pt idx="105">
                  <c:v>0.0809</c:v>
                </c:pt>
                <c:pt idx="106">
                  <c:v>0.0813</c:v>
                </c:pt>
                <c:pt idx="107">
                  <c:v>0.0816</c:v>
                </c:pt>
                <c:pt idx="108">
                  <c:v>0.0817</c:v>
                </c:pt>
                <c:pt idx="109">
                  <c:v>0.082</c:v>
                </c:pt>
                <c:pt idx="110">
                  <c:v>0.0821</c:v>
                </c:pt>
                <c:pt idx="111">
                  <c:v>0.0824</c:v>
                </c:pt>
                <c:pt idx="112">
                  <c:v>0.0825</c:v>
                </c:pt>
                <c:pt idx="113">
                  <c:v>0.0829</c:v>
                </c:pt>
                <c:pt idx="114">
                  <c:v>0.0832</c:v>
                </c:pt>
                <c:pt idx="115">
                  <c:v>0.0833</c:v>
                </c:pt>
                <c:pt idx="116">
                  <c:v>0.0836</c:v>
                </c:pt>
                <c:pt idx="117">
                  <c:v>0.0839</c:v>
                </c:pt>
                <c:pt idx="118">
                  <c:v>0.0845</c:v>
                </c:pt>
                <c:pt idx="119">
                  <c:v>0.0848</c:v>
                </c:pt>
                <c:pt idx="120">
                  <c:v>0.0849</c:v>
                </c:pt>
                <c:pt idx="121">
                  <c:v>0.0851</c:v>
                </c:pt>
                <c:pt idx="122">
                  <c:v>0.0853</c:v>
                </c:pt>
                <c:pt idx="123">
                  <c:v>0.0855</c:v>
                </c:pt>
                <c:pt idx="124">
                  <c:v>0.0857</c:v>
                </c:pt>
                <c:pt idx="125">
                  <c:v>0.0864</c:v>
                </c:pt>
                <c:pt idx="126">
                  <c:v>0.0865</c:v>
                </c:pt>
                <c:pt idx="127">
                  <c:v>0.0867</c:v>
                </c:pt>
                <c:pt idx="128">
                  <c:v>0.0869</c:v>
                </c:pt>
                <c:pt idx="129">
                  <c:v>0.0871</c:v>
                </c:pt>
                <c:pt idx="130">
                  <c:v>0.0874</c:v>
                </c:pt>
                <c:pt idx="131">
                  <c:v>0.0876</c:v>
                </c:pt>
                <c:pt idx="132">
                  <c:v>0.0881</c:v>
                </c:pt>
                <c:pt idx="133">
                  <c:v>0.0884</c:v>
                </c:pt>
                <c:pt idx="134">
                  <c:v>0.0887</c:v>
                </c:pt>
                <c:pt idx="135">
                  <c:v>0.0889</c:v>
                </c:pt>
                <c:pt idx="136">
                  <c:v>0.089</c:v>
                </c:pt>
                <c:pt idx="137">
                  <c:v>0.0892</c:v>
                </c:pt>
                <c:pt idx="138">
                  <c:v>0.0894</c:v>
                </c:pt>
                <c:pt idx="139">
                  <c:v>0.0895</c:v>
                </c:pt>
                <c:pt idx="140">
                  <c:v>0.0897</c:v>
                </c:pt>
                <c:pt idx="141">
                  <c:v>0.0901</c:v>
                </c:pt>
                <c:pt idx="142">
                  <c:v>0.0902</c:v>
                </c:pt>
                <c:pt idx="143">
                  <c:v>0.0903</c:v>
                </c:pt>
                <c:pt idx="144">
                  <c:v>0.0904</c:v>
                </c:pt>
                <c:pt idx="145">
                  <c:v>0.0906</c:v>
                </c:pt>
                <c:pt idx="146">
                  <c:v>0.0912</c:v>
                </c:pt>
                <c:pt idx="147">
                  <c:v>0.0914</c:v>
                </c:pt>
                <c:pt idx="148">
                  <c:v>0.0915</c:v>
                </c:pt>
                <c:pt idx="149">
                  <c:v>0.0916</c:v>
                </c:pt>
                <c:pt idx="150">
                  <c:v>0.0917</c:v>
                </c:pt>
                <c:pt idx="151">
                  <c:v>0.0919</c:v>
                </c:pt>
                <c:pt idx="152">
                  <c:v>0.092</c:v>
                </c:pt>
                <c:pt idx="153">
                  <c:v>0.0921</c:v>
                </c:pt>
                <c:pt idx="154">
                  <c:v>0.0922</c:v>
                </c:pt>
                <c:pt idx="155">
                  <c:v>0.0924</c:v>
                </c:pt>
                <c:pt idx="156">
                  <c:v>0.0926</c:v>
                </c:pt>
                <c:pt idx="157">
                  <c:v>0.0927</c:v>
                </c:pt>
                <c:pt idx="158">
                  <c:v>0.0928</c:v>
                </c:pt>
                <c:pt idx="159">
                  <c:v>0.093</c:v>
                </c:pt>
                <c:pt idx="160">
                  <c:v>0.0931</c:v>
                </c:pt>
                <c:pt idx="161">
                  <c:v>0.0932</c:v>
                </c:pt>
                <c:pt idx="162">
                  <c:v>0.0935</c:v>
                </c:pt>
                <c:pt idx="163">
                  <c:v>0.0936</c:v>
                </c:pt>
                <c:pt idx="164">
                  <c:v>0.0937</c:v>
                </c:pt>
                <c:pt idx="165">
                  <c:v>0.0938</c:v>
                </c:pt>
                <c:pt idx="166">
                  <c:v>0.0939</c:v>
                </c:pt>
                <c:pt idx="167">
                  <c:v>0.094</c:v>
                </c:pt>
                <c:pt idx="168">
                  <c:v>0.0943</c:v>
                </c:pt>
                <c:pt idx="169">
                  <c:v>0.0944</c:v>
                </c:pt>
                <c:pt idx="170">
                  <c:v>0.0946</c:v>
                </c:pt>
                <c:pt idx="171">
                  <c:v>0.0948</c:v>
                </c:pt>
                <c:pt idx="172">
                  <c:v>0.0949</c:v>
                </c:pt>
                <c:pt idx="173">
                  <c:v>0.0951</c:v>
                </c:pt>
                <c:pt idx="174">
                  <c:v>0.0952</c:v>
                </c:pt>
                <c:pt idx="175">
                  <c:v>0.0953</c:v>
                </c:pt>
                <c:pt idx="176">
                  <c:v>0.0954</c:v>
                </c:pt>
                <c:pt idx="177">
                  <c:v>0.0957</c:v>
                </c:pt>
                <c:pt idx="178">
                  <c:v>0.096</c:v>
                </c:pt>
                <c:pt idx="179">
                  <c:v>0.0963</c:v>
                </c:pt>
                <c:pt idx="180">
                  <c:v>0.0964</c:v>
                </c:pt>
                <c:pt idx="181">
                  <c:v>0.0965</c:v>
                </c:pt>
                <c:pt idx="182">
                  <c:v>0.0967</c:v>
                </c:pt>
                <c:pt idx="183">
                  <c:v>0.0968</c:v>
                </c:pt>
                <c:pt idx="184">
                  <c:v>0.097</c:v>
                </c:pt>
                <c:pt idx="185">
                  <c:v>0.0972</c:v>
                </c:pt>
                <c:pt idx="186">
                  <c:v>0.0975</c:v>
                </c:pt>
                <c:pt idx="187">
                  <c:v>0.0978</c:v>
                </c:pt>
                <c:pt idx="188">
                  <c:v>0.0979</c:v>
                </c:pt>
                <c:pt idx="189">
                  <c:v>0.0981</c:v>
                </c:pt>
                <c:pt idx="190">
                  <c:v>0.0982</c:v>
                </c:pt>
                <c:pt idx="191">
                  <c:v>0.0987</c:v>
                </c:pt>
                <c:pt idx="192">
                  <c:v>0.0989</c:v>
                </c:pt>
                <c:pt idx="193">
                  <c:v>0.0996</c:v>
                </c:pt>
                <c:pt idx="194">
                  <c:v>0.1</c:v>
                </c:pt>
                <c:pt idx="195">
                  <c:v>0.101</c:v>
                </c:pt>
                <c:pt idx="196">
                  <c:v>0.102</c:v>
                </c:pt>
                <c:pt idx="197">
                  <c:v>0.103</c:v>
                </c:pt>
                <c:pt idx="198">
                  <c:v>0.104</c:v>
                </c:pt>
                <c:pt idx="199">
                  <c:v>0.105</c:v>
                </c:pt>
                <c:pt idx="200">
                  <c:v>0.106</c:v>
                </c:pt>
                <c:pt idx="201">
                  <c:v>0.107</c:v>
                </c:pt>
                <c:pt idx="202">
                  <c:v>0.108</c:v>
                </c:pt>
                <c:pt idx="203">
                  <c:v>0.109</c:v>
                </c:pt>
                <c:pt idx="204">
                  <c:v>0.11</c:v>
                </c:pt>
                <c:pt idx="205">
                  <c:v>0.111</c:v>
                </c:pt>
                <c:pt idx="206">
                  <c:v>0.112</c:v>
                </c:pt>
                <c:pt idx="207">
                  <c:v>0.113</c:v>
                </c:pt>
                <c:pt idx="208">
                  <c:v>0.114</c:v>
                </c:pt>
                <c:pt idx="209">
                  <c:v>0.115</c:v>
                </c:pt>
                <c:pt idx="210">
                  <c:v>0.116</c:v>
                </c:pt>
                <c:pt idx="211">
                  <c:v>0.117</c:v>
                </c:pt>
                <c:pt idx="212">
                  <c:v>0.118</c:v>
                </c:pt>
                <c:pt idx="213">
                  <c:v>0.119</c:v>
                </c:pt>
                <c:pt idx="214">
                  <c:v>0.12</c:v>
                </c:pt>
                <c:pt idx="215">
                  <c:v>0.121</c:v>
                </c:pt>
                <c:pt idx="216">
                  <c:v>0.122</c:v>
                </c:pt>
                <c:pt idx="217">
                  <c:v>0.123</c:v>
                </c:pt>
                <c:pt idx="218">
                  <c:v>0.124</c:v>
                </c:pt>
                <c:pt idx="219">
                  <c:v>0.125</c:v>
                </c:pt>
                <c:pt idx="220">
                  <c:v>0.126</c:v>
                </c:pt>
                <c:pt idx="221">
                  <c:v>0.127</c:v>
                </c:pt>
                <c:pt idx="222">
                  <c:v>0.128</c:v>
                </c:pt>
                <c:pt idx="223">
                  <c:v>0.129</c:v>
                </c:pt>
                <c:pt idx="224">
                  <c:v>0.13</c:v>
                </c:pt>
                <c:pt idx="225">
                  <c:v>0.131</c:v>
                </c:pt>
                <c:pt idx="226">
                  <c:v>0.132</c:v>
                </c:pt>
                <c:pt idx="227">
                  <c:v>0.133</c:v>
                </c:pt>
                <c:pt idx="228">
                  <c:v>0.134</c:v>
                </c:pt>
                <c:pt idx="229">
                  <c:v>0.135</c:v>
                </c:pt>
                <c:pt idx="230">
                  <c:v>0.136</c:v>
                </c:pt>
                <c:pt idx="231">
                  <c:v>0.137</c:v>
                </c:pt>
                <c:pt idx="232">
                  <c:v>0.138</c:v>
                </c:pt>
                <c:pt idx="233">
                  <c:v>0.139</c:v>
                </c:pt>
                <c:pt idx="234">
                  <c:v>0.14</c:v>
                </c:pt>
                <c:pt idx="235">
                  <c:v>0.141</c:v>
                </c:pt>
                <c:pt idx="236">
                  <c:v>0.142</c:v>
                </c:pt>
                <c:pt idx="237">
                  <c:v>0.143</c:v>
                </c:pt>
                <c:pt idx="238">
                  <c:v>0.144</c:v>
                </c:pt>
                <c:pt idx="239">
                  <c:v>0.145</c:v>
                </c:pt>
                <c:pt idx="240">
                  <c:v>0.146</c:v>
                </c:pt>
                <c:pt idx="241">
                  <c:v>0.147</c:v>
                </c:pt>
                <c:pt idx="242">
                  <c:v>0.148</c:v>
                </c:pt>
                <c:pt idx="243">
                  <c:v>0.149</c:v>
                </c:pt>
                <c:pt idx="244">
                  <c:v>0.15</c:v>
                </c:pt>
                <c:pt idx="245">
                  <c:v>0.152</c:v>
                </c:pt>
                <c:pt idx="246">
                  <c:v>0.153</c:v>
                </c:pt>
                <c:pt idx="247">
                  <c:v>0.154</c:v>
                </c:pt>
                <c:pt idx="248">
                  <c:v>0.155</c:v>
                </c:pt>
                <c:pt idx="249">
                  <c:v>0.156</c:v>
                </c:pt>
                <c:pt idx="250">
                  <c:v>0.157</c:v>
                </c:pt>
                <c:pt idx="251">
                  <c:v>0.158</c:v>
                </c:pt>
                <c:pt idx="252">
                  <c:v>0.159</c:v>
                </c:pt>
                <c:pt idx="253">
                  <c:v>0.161</c:v>
                </c:pt>
                <c:pt idx="254">
                  <c:v>0.162</c:v>
                </c:pt>
                <c:pt idx="255">
                  <c:v>0.163</c:v>
                </c:pt>
                <c:pt idx="256">
                  <c:v>0.164</c:v>
                </c:pt>
                <c:pt idx="257">
                  <c:v>0.165</c:v>
                </c:pt>
                <c:pt idx="258">
                  <c:v>0.166</c:v>
                </c:pt>
                <c:pt idx="259">
                  <c:v>0.167</c:v>
                </c:pt>
                <c:pt idx="260">
                  <c:v>0.168</c:v>
                </c:pt>
                <c:pt idx="261">
                  <c:v>0.169</c:v>
                </c:pt>
                <c:pt idx="262">
                  <c:v>0.17</c:v>
                </c:pt>
                <c:pt idx="263">
                  <c:v>0.172</c:v>
                </c:pt>
                <c:pt idx="264">
                  <c:v>0.173</c:v>
                </c:pt>
                <c:pt idx="265">
                  <c:v>0.174</c:v>
                </c:pt>
                <c:pt idx="266">
                  <c:v>0.175</c:v>
                </c:pt>
                <c:pt idx="267">
                  <c:v>0.176</c:v>
                </c:pt>
                <c:pt idx="268">
                  <c:v>0.178</c:v>
                </c:pt>
                <c:pt idx="269">
                  <c:v>0.18</c:v>
                </c:pt>
                <c:pt idx="270">
                  <c:v>0.181</c:v>
                </c:pt>
                <c:pt idx="271">
                  <c:v>0.183</c:v>
                </c:pt>
                <c:pt idx="272">
                  <c:v>0.184</c:v>
                </c:pt>
                <c:pt idx="273">
                  <c:v>0.186</c:v>
                </c:pt>
                <c:pt idx="274">
                  <c:v>0.19</c:v>
                </c:pt>
                <c:pt idx="275">
                  <c:v>0.191</c:v>
                </c:pt>
                <c:pt idx="276">
                  <c:v>0.192</c:v>
                </c:pt>
                <c:pt idx="277">
                  <c:v>0.193</c:v>
                </c:pt>
                <c:pt idx="278">
                  <c:v>0.194</c:v>
                </c:pt>
                <c:pt idx="279">
                  <c:v>0.196</c:v>
                </c:pt>
                <c:pt idx="280">
                  <c:v>0.198</c:v>
                </c:pt>
                <c:pt idx="281">
                  <c:v>0.199</c:v>
                </c:pt>
                <c:pt idx="282">
                  <c:v>0.2</c:v>
                </c:pt>
                <c:pt idx="283">
                  <c:v>0.201</c:v>
                </c:pt>
                <c:pt idx="284">
                  <c:v>0.202</c:v>
                </c:pt>
                <c:pt idx="285">
                  <c:v>0.203</c:v>
                </c:pt>
                <c:pt idx="286">
                  <c:v>0.205</c:v>
                </c:pt>
                <c:pt idx="287">
                  <c:v>0.206</c:v>
                </c:pt>
                <c:pt idx="288">
                  <c:v>0.207</c:v>
                </c:pt>
                <c:pt idx="289">
                  <c:v>0.209</c:v>
                </c:pt>
                <c:pt idx="290">
                  <c:v>0.212</c:v>
                </c:pt>
                <c:pt idx="291">
                  <c:v>0.213</c:v>
                </c:pt>
                <c:pt idx="292">
                  <c:v>0.214</c:v>
                </c:pt>
                <c:pt idx="293">
                  <c:v>0.215</c:v>
                </c:pt>
                <c:pt idx="294">
                  <c:v>0.216</c:v>
                </c:pt>
                <c:pt idx="295">
                  <c:v>0.217</c:v>
                </c:pt>
                <c:pt idx="296">
                  <c:v>0.221</c:v>
                </c:pt>
                <c:pt idx="297">
                  <c:v>0.224</c:v>
                </c:pt>
                <c:pt idx="298">
                  <c:v>0.225</c:v>
                </c:pt>
                <c:pt idx="299">
                  <c:v>0.228</c:v>
                </c:pt>
                <c:pt idx="300">
                  <c:v>0.229</c:v>
                </c:pt>
                <c:pt idx="301">
                  <c:v>0.23</c:v>
                </c:pt>
                <c:pt idx="302">
                  <c:v>0.232</c:v>
                </c:pt>
                <c:pt idx="303">
                  <c:v>0.234</c:v>
                </c:pt>
                <c:pt idx="304">
                  <c:v>0.235</c:v>
                </c:pt>
                <c:pt idx="305">
                  <c:v>0.236</c:v>
                </c:pt>
                <c:pt idx="306">
                  <c:v>0.237</c:v>
                </c:pt>
                <c:pt idx="307">
                  <c:v>0.239</c:v>
                </c:pt>
                <c:pt idx="308">
                  <c:v>0.24</c:v>
                </c:pt>
                <c:pt idx="309">
                  <c:v>0.241</c:v>
                </c:pt>
                <c:pt idx="310">
                  <c:v>0.242</c:v>
                </c:pt>
                <c:pt idx="311">
                  <c:v>0.243</c:v>
                </c:pt>
                <c:pt idx="312">
                  <c:v>0.245</c:v>
                </c:pt>
                <c:pt idx="313">
                  <c:v>0.246</c:v>
                </c:pt>
                <c:pt idx="314">
                  <c:v>0.247</c:v>
                </c:pt>
                <c:pt idx="315">
                  <c:v>0.248</c:v>
                </c:pt>
                <c:pt idx="316">
                  <c:v>0.25</c:v>
                </c:pt>
                <c:pt idx="317">
                  <c:v>0.251</c:v>
                </c:pt>
                <c:pt idx="318">
                  <c:v>0.253</c:v>
                </c:pt>
                <c:pt idx="319">
                  <c:v>0.254</c:v>
                </c:pt>
                <c:pt idx="320">
                  <c:v>0.255</c:v>
                </c:pt>
                <c:pt idx="321">
                  <c:v>0.256</c:v>
                </c:pt>
                <c:pt idx="322">
                  <c:v>0.259</c:v>
                </c:pt>
                <c:pt idx="323">
                  <c:v>0.26</c:v>
                </c:pt>
                <c:pt idx="324">
                  <c:v>0.261</c:v>
                </c:pt>
                <c:pt idx="325">
                  <c:v>0.262</c:v>
                </c:pt>
                <c:pt idx="326">
                  <c:v>0.263</c:v>
                </c:pt>
                <c:pt idx="327">
                  <c:v>0.266</c:v>
                </c:pt>
                <c:pt idx="328">
                  <c:v>0.267</c:v>
                </c:pt>
                <c:pt idx="329">
                  <c:v>0.268</c:v>
                </c:pt>
                <c:pt idx="330">
                  <c:v>0.269</c:v>
                </c:pt>
                <c:pt idx="331">
                  <c:v>0.271</c:v>
                </c:pt>
                <c:pt idx="332">
                  <c:v>0.272</c:v>
                </c:pt>
                <c:pt idx="333">
                  <c:v>0.273</c:v>
                </c:pt>
                <c:pt idx="334">
                  <c:v>0.274</c:v>
                </c:pt>
                <c:pt idx="335">
                  <c:v>0.277</c:v>
                </c:pt>
                <c:pt idx="336">
                  <c:v>0.278</c:v>
                </c:pt>
                <c:pt idx="337">
                  <c:v>0.279</c:v>
                </c:pt>
                <c:pt idx="338">
                  <c:v>0.281</c:v>
                </c:pt>
                <c:pt idx="339">
                  <c:v>0.283</c:v>
                </c:pt>
                <c:pt idx="340">
                  <c:v>0.285</c:v>
                </c:pt>
                <c:pt idx="341">
                  <c:v>0.286</c:v>
                </c:pt>
                <c:pt idx="342">
                  <c:v>0.289</c:v>
                </c:pt>
                <c:pt idx="343">
                  <c:v>0.29</c:v>
                </c:pt>
                <c:pt idx="344">
                  <c:v>0.291</c:v>
                </c:pt>
                <c:pt idx="345">
                  <c:v>0.293</c:v>
                </c:pt>
                <c:pt idx="346">
                  <c:v>0.294</c:v>
                </c:pt>
                <c:pt idx="347">
                  <c:v>0.298</c:v>
                </c:pt>
                <c:pt idx="348">
                  <c:v>0.299</c:v>
                </c:pt>
                <c:pt idx="349">
                  <c:v>0.3</c:v>
                </c:pt>
                <c:pt idx="350">
                  <c:v>0.303</c:v>
                </c:pt>
                <c:pt idx="351">
                  <c:v>0.304</c:v>
                </c:pt>
                <c:pt idx="352">
                  <c:v>0.306</c:v>
                </c:pt>
                <c:pt idx="353">
                  <c:v>0.307</c:v>
                </c:pt>
                <c:pt idx="354">
                  <c:v>0.308</c:v>
                </c:pt>
                <c:pt idx="355">
                  <c:v>0.309</c:v>
                </c:pt>
                <c:pt idx="356">
                  <c:v>0.31</c:v>
                </c:pt>
                <c:pt idx="357">
                  <c:v>0.311</c:v>
                </c:pt>
                <c:pt idx="358">
                  <c:v>0.313</c:v>
                </c:pt>
                <c:pt idx="359">
                  <c:v>0.316</c:v>
                </c:pt>
                <c:pt idx="360">
                  <c:v>0.318</c:v>
                </c:pt>
                <c:pt idx="361">
                  <c:v>0.319</c:v>
                </c:pt>
                <c:pt idx="362">
                  <c:v>0.321</c:v>
                </c:pt>
                <c:pt idx="363">
                  <c:v>0.322</c:v>
                </c:pt>
                <c:pt idx="364">
                  <c:v>0.323</c:v>
                </c:pt>
                <c:pt idx="365">
                  <c:v>0.324</c:v>
                </c:pt>
                <c:pt idx="366">
                  <c:v>0.325</c:v>
                </c:pt>
                <c:pt idx="367">
                  <c:v>0.329</c:v>
                </c:pt>
                <c:pt idx="368">
                  <c:v>0.33</c:v>
                </c:pt>
                <c:pt idx="369">
                  <c:v>0.332</c:v>
                </c:pt>
                <c:pt idx="370">
                  <c:v>0.333</c:v>
                </c:pt>
                <c:pt idx="371">
                  <c:v>0.334</c:v>
                </c:pt>
                <c:pt idx="372">
                  <c:v>0.335</c:v>
                </c:pt>
                <c:pt idx="373">
                  <c:v>0.337</c:v>
                </c:pt>
                <c:pt idx="374">
                  <c:v>0.338</c:v>
                </c:pt>
                <c:pt idx="375">
                  <c:v>0.339</c:v>
                </c:pt>
                <c:pt idx="376">
                  <c:v>0.342</c:v>
                </c:pt>
                <c:pt idx="377">
                  <c:v>0.346</c:v>
                </c:pt>
                <c:pt idx="378">
                  <c:v>0.347</c:v>
                </c:pt>
                <c:pt idx="379">
                  <c:v>0.348</c:v>
                </c:pt>
                <c:pt idx="380">
                  <c:v>0.349</c:v>
                </c:pt>
                <c:pt idx="381">
                  <c:v>0.35</c:v>
                </c:pt>
                <c:pt idx="382">
                  <c:v>0.351</c:v>
                </c:pt>
                <c:pt idx="383">
                  <c:v>0.353</c:v>
                </c:pt>
                <c:pt idx="384">
                  <c:v>0.354</c:v>
                </c:pt>
                <c:pt idx="385">
                  <c:v>0.356</c:v>
                </c:pt>
                <c:pt idx="386">
                  <c:v>0.359</c:v>
                </c:pt>
                <c:pt idx="387">
                  <c:v>0.36</c:v>
                </c:pt>
                <c:pt idx="388">
                  <c:v>0.361</c:v>
                </c:pt>
                <c:pt idx="389">
                  <c:v>0.363</c:v>
                </c:pt>
                <c:pt idx="390">
                  <c:v>0.364</c:v>
                </c:pt>
                <c:pt idx="391">
                  <c:v>0.366</c:v>
                </c:pt>
                <c:pt idx="392">
                  <c:v>0.367</c:v>
                </c:pt>
                <c:pt idx="393">
                  <c:v>0.369</c:v>
                </c:pt>
                <c:pt idx="394">
                  <c:v>0.37</c:v>
                </c:pt>
                <c:pt idx="395">
                  <c:v>0.372</c:v>
                </c:pt>
                <c:pt idx="396">
                  <c:v>0.374</c:v>
                </c:pt>
                <c:pt idx="397">
                  <c:v>0.375</c:v>
                </c:pt>
                <c:pt idx="398">
                  <c:v>0.376</c:v>
                </c:pt>
                <c:pt idx="399">
                  <c:v>0.382</c:v>
                </c:pt>
                <c:pt idx="400">
                  <c:v>0.384</c:v>
                </c:pt>
                <c:pt idx="401">
                  <c:v>0.386</c:v>
                </c:pt>
                <c:pt idx="402">
                  <c:v>0.387</c:v>
                </c:pt>
                <c:pt idx="403">
                  <c:v>0.393</c:v>
                </c:pt>
                <c:pt idx="404">
                  <c:v>0.397</c:v>
                </c:pt>
                <c:pt idx="405">
                  <c:v>0.399</c:v>
                </c:pt>
                <c:pt idx="406">
                  <c:v>0.4</c:v>
                </c:pt>
                <c:pt idx="407">
                  <c:v>0.402</c:v>
                </c:pt>
                <c:pt idx="408">
                  <c:v>0.405</c:v>
                </c:pt>
                <c:pt idx="409">
                  <c:v>0.408</c:v>
                </c:pt>
                <c:pt idx="410">
                  <c:v>0.41</c:v>
                </c:pt>
                <c:pt idx="411">
                  <c:v>0.415</c:v>
                </c:pt>
                <c:pt idx="412">
                  <c:v>0.42</c:v>
                </c:pt>
                <c:pt idx="413">
                  <c:v>0.426</c:v>
                </c:pt>
                <c:pt idx="414">
                  <c:v>0.427</c:v>
                </c:pt>
                <c:pt idx="415">
                  <c:v>0.43</c:v>
                </c:pt>
                <c:pt idx="416">
                  <c:v>0.434</c:v>
                </c:pt>
                <c:pt idx="417">
                  <c:v>0.436</c:v>
                </c:pt>
                <c:pt idx="418">
                  <c:v>0.439</c:v>
                </c:pt>
                <c:pt idx="419">
                  <c:v>0.44</c:v>
                </c:pt>
                <c:pt idx="420">
                  <c:v>0.442</c:v>
                </c:pt>
                <c:pt idx="421">
                  <c:v>0.444</c:v>
                </c:pt>
                <c:pt idx="422">
                  <c:v>0.445</c:v>
                </c:pt>
                <c:pt idx="423">
                  <c:v>0.446</c:v>
                </c:pt>
                <c:pt idx="424">
                  <c:v>0.46</c:v>
                </c:pt>
                <c:pt idx="425">
                  <c:v>0.461</c:v>
                </c:pt>
                <c:pt idx="426">
                  <c:v>0.465</c:v>
                </c:pt>
                <c:pt idx="427">
                  <c:v>0.471</c:v>
                </c:pt>
                <c:pt idx="428">
                  <c:v>0.474</c:v>
                </c:pt>
                <c:pt idx="429">
                  <c:v>0.477</c:v>
                </c:pt>
                <c:pt idx="430">
                  <c:v>0.479</c:v>
                </c:pt>
                <c:pt idx="431">
                  <c:v>0.48</c:v>
                </c:pt>
                <c:pt idx="432">
                  <c:v>0.484</c:v>
                </c:pt>
                <c:pt idx="433">
                  <c:v>0.486</c:v>
                </c:pt>
                <c:pt idx="434">
                  <c:v>0.509</c:v>
                </c:pt>
                <c:pt idx="435">
                  <c:v>0.513</c:v>
                </c:pt>
                <c:pt idx="436">
                  <c:v>0.519</c:v>
                </c:pt>
                <c:pt idx="437">
                  <c:v>0.525</c:v>
                </c:pt>
                <c:pt idx="438">
                  <c:v>0.533</c:v>
                </c:pt>
                <c:pt idx="439">
                  <c:v>0.54</c:v>
                </c:pt>
                <c:pt idx="440">
                  <c:v>0.543</c:v>
                </c:pt>
                <c:pt idx="441">
                  <c:v>0.555</c:v>
                </c:pt>
                <c:pt idx="442">
                  <c:v>0.561</c:v>
                </c:pt>
                <c:pt idx="443">
                  <c:v>0.569</c:v>
                </c:pt>
                <c:pt idx="444">
                  <c:v>0.571</c:v>
                </c:pt>
                <c:pt idx="445">
                  <c:v>0.581</c:v>
                </c:pt>
                <c:pt idx="446">
                  <c:v>0.584</c:v>
                </c:pt>
                <c:pt idx="447">
                  <c:v>0.595</c:v>
                </c:pt>
                <c:pt idx="448">
                  <c:v>0.596</c:v>
                </c:pt>
                <c:pt idx="449">
                  <c:v>0.603</c:v>
                </c:pt>
                <c:pt idx="450">
                  <c:v>0.606</c:v>
                </c:pt>
                <c:pt idx="451">
                  <c:v>0.613</c:v>
                </c:pt>
                <c:pt idx="452">
                  <c:v>0.631</c:v>
                </c:pt>
                <c:pt idx="453">
                  <c:v>0.635</c:v>
                </c:pt>
                <c:pt idx="454">
                  <c:v>0.65</c:v>
                </c:pt>
                <c:pt idx="455">
                  <c:v>0.653</c:v>
                </c:pt>
                <c:pt idx="456">
                  <c:v>0.688</c:v>
                </c:pt>
                <c:pt idx="457">
                  <c:v>0.692</c:v>
                </c:pt>
                <c:pt idx="458">
                  <c:v>0.696</c:v>
                </c:pt>
                <c:pt idx="459">
                  <c:v>0.714</c:v>
                </c:pt>
                <c:pt idx="460">
                  <c:v>0.79</c:v>
                </c:pt>
                <c:pt idx="461">
                  <c:v>0.825</c:v>
                </c:pt>
                <c:pt idx="462">
                  <c:v>0.826</c:v>
                </c:pt>
                <c:pt idx="463">
                  <c:v>0.847</c:v>
                </c:pt>
                <c:pt idx="464">
                  <c:v>0.944</c:v>
                </c:pt>
              </c:strCache>
            </c:strRef>
          </c:cat>
          <c:val>
            <c:numRef>
              <c:f>Graphs!$W$21:$W$486</c:f>
              <c:numCache>
                <c:formatCode>General</c:formatCode>
                <c:ptCount val="465"/>
                <c:pt idx="0">
                  <c:v>0</c:v>
                </c:pt>
                <c:pt idx="1">
                  <c:v>12400</c:v>
                </c:pt>
                <c:pt idx="2">
                  <c:v>62200</c:v>
                </c:pt>
                <c:pt idx="3">
                  <c:v>83200</c:v>
                </c:pt>
                <c:pt idx="4">
                  <c:v>1400000</c:v>
                </c:pt>
                <c:pt idx="5">
                  <c:v>0</c:v>
                </c:pt>
                <c:pt idx="6">
                  <c:v>16300</c:v>
                </c:pt>
                <c:pt idx="7">
                  <c:v>5600000</c:v>
                </c:pt>
                <c:pt idx="8">
                  <c:v>1257</c:v>
                </c:pt>
                <c:pt idx="9">
                  <c:v>1400000</c:v>
                </c:pt>
                <c:pt idx="10">
                  <c:v>252000</c:v>
                </c:pt>
                <c:pt idx="11">
                  <c:v>1435</c:v>
                </c:pt>
                <c:pt idx="12">
                  <c:v>10600000</c:v>
                </c:pt>
                <c:pt idx="13">
                  <c:v>1300000</c:v>
                </c:pt>
                <c:pt idx="14">
                  <c:v>18100</c:v>
                </c:pt>
                <c:pt idx="15">
                  <c:v>11100</c:v>
                </c:pt>
                <c:pt idx="16">
                  <c:v>1539100</c:v>
                </c:pt>
                <c:pt idx="17">
                  <c:v>3618600</c:v>
                </c:pt>
                <c:pt idx="18">
                  <c:v>75500</c:v>
                </c:pt>
                <c:pt idx="19">
                  <c:v>1</c:v>
                </c:pt>
                <c:pt idx="20">
                  <c:v>8400007</c:v>
                </c:pt>
                <c:pt idx="21">
                  <c:v>403800</c:v>
                </c:pt>
                <c:pt idx="22">
                  <c:v>202500</c:v>
                </c:pt>
                <c:pt idx="23">
                  <c:v>23900</c:v>
                </c:pt>
                <c:pt idx="24">
                  <c:v>7012</c:v>
                </c:pt>
                <c:pt idx="25">
                  <c:v>598400</c:v>
                </c:pt>
                <c:pt idx="26">
                  <c:v>70300</c:v>
                </c:pt>
                <c:pt idx="27">
                  <c:v>825200</c:v>
                </c:pt>
                <c:pt idx="28">
                  <c:v>7942</c:v>
                </c:pt>
                <c:pt idx="29">
                  <c:v>0</c:v>
                </c:pt>
                <c:pt idx="30">
                  <c:v>312400</c:v>
                </c:pt>
                <c:pt idx="31">
                  <c:v>154700</c:v>
                </c:pt>
                <c:pt idx="32">
                  <c:v>11500</c:v>
                </c:pt>
                <c:pt idx="33">
                  <c:v>1900000</c:v>
                </c:pt>
                <c:pt idx="34">
                  <c:v>2400000</c:v>
                </c:pt>
                <c:pt idx="35">
                  <c:v>172996</c:v>
                </c:pt>
                <c:pt idx="36">
                  <c:v>518000</c:v>
                </c:pt>
                <c:pt idx="37">
                  <c:v>611500</c:v>
                </c:pt>
                <c:pt idx="38">
                  <c:v>9924</c:v>
                </c:pt>
                <c:pt idx="39">
                  <c:v>54220</c:v>
                </c:pt>
                <c:pt idx="40">
                  <c:v>377</c:v>
                </c:pt>
                <c:pt idx="41">
                  <c:v>20000</c:v>
                </c:pt>
                <c:pt idx="42">
                  <c:v>2400000</c:v>
                </c:pt>
                <c:pt idx="43">
                  <c:v>50</c:v>
                </c:pt>
                <c:pt idx="44">
                  <c:v>15447</c:v>
                </c:pt>
                <c:pt idx="45">
                  <c:v>1722100</c:v>
                </c:pt>
                <c:pt idx="46">
                  <c:v>256600</c:v>
                </c:pt>
                <c:pt idx="47">
                  <c:v>78400</c:v>
                </c:pt>
                <c:pt idx="48">
                  <c:v>140400</c:v>
                </c:pt>
                <c:pt idx="49">
                  <c:v>382100</c:v>
                </c:pt>
                <c:pt idx="50">
                  <c:v>2000000</c:v>
                </c:pt>
                <c:pt idx="51">
                  <c:v>26300</c:v>
                </c:pt>
                <c:pt idx="52">
                  <c:v>93</c:v>
                </c:pt>
                <c:pt idx="53">
                  <c:v>526200</c:v>
                </c:pt>
                <c:pt idx="54">
                  <c:v>247000</c:v>
                </c:pt>
                <c:pt idx="55">
                  <c:v>728100</c:v>
                </c:pt>
                <c:pt idx="56">
                  <c:v>658300</c:v>
                </c:pt>
                <c:pt idx="57">
                  <c:v>24400</c:v>
                </c:pt>
                <c:pt idx="58">
                  <c:v>1116800</c:v>
                </c:pt>
                <c:pt idx="59">
                  <c:v>3</c:v>
                </c:pt>
                <c:pt idx="60">
                  <c:v>518600</c:v>
                </c:pt>
                <c:pt idx="61">
                  <c:v>222300</c:v>
                </c:pt>
                <c:pt idx="62">
                  <c:v>15800</c:v>
                </c:pt>
                <c:pt idx="63">
                  <c:v>728100</c:v>
                </c:pt>
                <c:pt idx="64">
                  <c:v>749</c:v>
                </c:pt>
                <c:pt idx="65">
                  <c:v>0</c:v>
                </c:pt>
                <c:pt idx="66">
                  <c:v>3800000</c:v>
                </c:pt>
                <c:pt idx="67">
                  <c:v>1400000</c:v>
                </c:pt>
                <c:pt idx="68">
                  <c:v>394200</c:v>
                </c:pt>
                <c:pt idx="69">
                  <c:v>3396</c:v>
                </c:pt>
                <c:pt idx="70">
                  <c:v>42400</c:v>
                </c:pt>
                <c:pt idx="71">
                  <c:v>42</c:v>
                </c:pt>
                <c:pt idx="72">
                  <c:v>561700</c:v>
                </c:pt>
                <c:pt idx="73">
                  <c:v>13300000</c:v>
                </c:pt>
                <c:pt idx="74">
                  <c:v>6295</c:v>
                </c:pt>
                <c:pt idx="75">
                  <c:v>1088477</c:v>
                </c:pt>
                <c:pt idx="76">
                  <c:v>1000000</c:v>
                </c:pt>
                <c:pt idx="77">
                  <c:v>0</c:v>
                </c:pt>
                <c:pt idx="78">
                  <c:v>16400554</c:v>
                </c:pt>
                <c:pt idx="79">
                  <c:v>1700921</c:v>
                </c:pt>
                <c:pt idx="80">
                  <c:v>355500</c:v>
                </c:pt>
                <c:pt idx="81">
                  <c:v>4218</c:v>
                </c:pt>
                <c:pt idx="82">
                  <c:v>394600</c:v>
                </c:pt>
                <c:pt idx="83">
                  <c:v>732</c:v>
                </c:pt>
                <c:pt idx="84">
                  <c:v>1</c:v>
                </c:pt>
                <c:pt idx="85">
                  <c:v>0</c:v>
                </c:pt>
                <c:pt idx="86">
                  <c:v>266100</c:v>
                </c:pt>
                <c:pt idx="87">
                  <c:v>5629700</c:v>
                </c:pt>
                <c:pt idx="88">
                  <c:v>0</c:v>
                </c:pt>
                <c:pt idx="89">
                  <c:v>855500</c:v>
                </c:pt>
                <c:pt idx="90">
                  <c:v>66700</c:v>
                </c:pt>
                <c:pt idx="91">
                  <c:v>11000000</c:v>
                </c:pt>
                <c:pt idx="92">
                  <c:v>97800</c:v>
                </c:pt>
                <c:pt idx="93">
                  <c:v>15162</c:v>
                </c:pt>
                <c:pt idx="94">
                  <c:v>67</c:v>
                </c:pt>
                <c:pt idx="95">
                  <c:v>1300000</c:v>
                </c:pt>
                <c:pt idx="96">
                  <c:v>0</c:v>
                </c:pt>
                <c:pt idx="97">
                  <c:v>2900000</c:v>
                </c:pt>
                <c:pt idx="98">
                  <c:v>958</c:v>
                </c:pt>
                <c:pt idx="99">
                  <c:v>3600574</c:v>
                </c:pt>
                <c:pt idx="100">
                  <c:v>231600</c:v>
                </c:pt>
                <c:pt idx="101">
                  <c:v>578</c:v>
                </c:pt>
                <c:pt idx="102">
                  <c:v>310200</c:v>
                </c:pt>
                <c:pt idx="103">
                  <c:v>310500</c:v>
                </c:pt>
                <c:pt idx="104">
                  <c:v>125400</c:v>
                </c:pt>
                <c:pt idx="105">
                  <c:v>2018500</c:v>
                </c:pt>
                <c:pt idx="106">
                  <c:v>3516</c:v>
                </c:pt>
                <c:pt idx="107">
                  <c:v>11989</c:v>
                </c:pt>
                <c:pt idx="108">
                  <c:v>149800</c:v>
                </c:pt>
                <c:pt idx="109">
                  <c:v>23100</c:v>
                </c:pt>
                <c:pt idx="110">
                  <c:v>153</c:v>
                </c:pt>
                <c:pt idx="111">
                  <c:v>7054595</c:v>
                </c:pt>
                <c:pt idx="112">
                  <c:v>0</c:v>
                </c:pt>
                <c:pt idx="113">
                  <c:v>937</c:v>
                </c:pt>
                <c:pt idx="114">
                  <c:v>788500</c:v>
                </c:pt>
                <c:pt idx="115">
                  <c:v>396800</c:v>
                </c:pt>
                <c:pt idx="116">
                  <c:v>615600</c:v>
                </c:pt>
                <c:pt idx="117">
                  <c:v>742300</c:v>
                </c:pt>
                <c:pt idx="118">
                  <c:v>12322200</c:v>
                </c:pt>
                <c:pt idx="119">
                  <c:v>747402</c:v>
                </c:pt>
                <c:pt idx="120">
                  <c:v>13300</c:v>
                </c:pt>
                <c:pt idx="121">
                  <c:v>9230</c:v>
                </c:pt>
                <c:pt idx="122">
                  <c:v>70</c:v>
                </c:pt>
                <c:pt idx="123">
                  <c:v>233</c:v>
                </c:pt>
                <c:pt idx="124">
                  <c:v>391761</c:v>
                </c:pt>
                <c:pt idx="125">
                  <c:v>1361200</c:v>
                </c:pt>
                <c:pt idx="126">
                  <c:v>0</c:v>
                </c:pt>
                <c:pt idx="127">
                  <c:v>2616100</c:v>
                </c:pt>
                <c:pt idx="128">
                  <c:v>271</c:v>
                </c:pt>
                <c:pt idx="129">
                  <c:v>9</c:v>
                </c:pt>
                <c:pt idx="130">
                  <c:v>61000</c:v>
                </c:pt>
                <c:pt idx="131">
                  <c:v>356900</c:v>
                </c:pt>
                <c:pt idx="132">
                  <c:v>323100</c:v>
                </c:pt>
                <c:pt idx="133">
                  <c:v>451600</c:v>
                </c:pt>
                <c:pt idx="134">
                  <c:v>10927200</c:v>
                </c:pt>
                <c:pt idx="135">
                  <c:v>8</c:v>
                </c:pt>
                <c:pt idx="136">
                  <c:v>0</c:v>
                </c:pt>
                <c:pt idx="137">
                  <c:v>2400000</c:v>
                </c:pt>
                <c:pt idx="138">
                  <c:v>431300</c:v>
                </c:pt>
                <c:pt idx="139">
                  <c:v>225900</c:v>
                </c:pt>
                <c:pt idx="140">
                  <c:v>3400012</c:v>
                </c:pt>
                <c:pt idx="141">
                  <c:v>87200</c:v>
                </c:pt>
                <c:pt idx="142">
                  <c:v>8529</c:v>
                </c:pt>
                <c:pt idx="143">
                  <c:v>1800000</c:v>
                </c:pt>
                <c:pt idx="144">
                  <c:v>19696800</c:v>
                </c:pt>
                <c:pt idx="145">
                  <c:v>1700000</c:v>
                </c:pt>
                <c:pt idx="146">
                  <c:v>291500</c:v>
                </c:pt>
                <c:pt idx="147">
                  <c:v>2200000</c:v>
                </c:pt>
                <c:pt idx="148">
                  <c:v>29</c:v>
                </c:pt>
                <c:pt idx="149">
                  <c:v>10</c:v>
                </c:pt>
                <c:pt idx="150">
                  <c:v>103400</c:v>
                </c:pt>
                <c:pt idx="151">
                  <c:v>9213</c:v>
                </c:pt>
                <c:pt idx="152">
                  <c:v>509800</c:v>
                </c:pt>
                <c:pt idx="153">
                  <c:v>1851602</c:v>
                </c:pt>
                <c:pt idx="154">
                  <c:v>14800</c:v>
                </c:pt>
                <c:pt idx="155">
                  <c:v>36000</c:v>
                </c:pt>
                <c:pt idx="156">
                  <c:v>1633851</c:v>
                </c:pt>
                <c:pt idx="157">
                  <c:v>3000000</c:v>
                </c:pt>
                <c:pt idx="158">
                  <c:v>1000000</c:v>
                </c:pt>
                <c:pt idx="159">
                  <c:v>39</c:v>
                </c:pt>
                <c:pt idx="160">
                  <c:v>170700</c:v>
                </c:pt>
                <c:pt idx="161">
                  <c:v>2600000</c:v>
                </c:pt>
                <c:pt idx="162">
                  <c:v>42100</c:v>
                </c:pt>
                <c:pt idx="163">
                  <c:v>5358100</c:v>
                </c:pt>
                <c:pt idx="164">
                  <c:v>12</c:v>
                </c:pt>
                <c:pt idx="165">
                  <c:v>1704284</c:v>
                </c:pt>
                <c:pt idx="166">
                  <c:v>319</c:v>
                </c:pt>
                <c:pt idx="167">
                  <c:v>170700</c:v>
                </c:pt>
                <c:pt idx="168">
                  <c:v>0</c:v>
                </c:pt>
                <c:pt idx="169">
                  <c:v>638000</c:v>
                </c:pt>
                <c:pt idx="170">
                  <c:v>384541</c:v>
                </c:pt>
                <c:pt idx="171">
                  <c:v>42443</c:v>
                </c:pt>
                <c:pt idx="172">
                  <c:v>3500000</c:v>
                </c:pt>
                <c:pt idx="173">
                  <c:v>2000000</c:v>
                </c:pt>
                <c:pt idx="174">
                  <c:v>1899400</c:v>
                </c:pt>
                <c:pt idx="175">
                  <c:v>525600</c:v>
                </c:pt>
                <c:pt idx="176">
                  <c:v>7</c:v>
                </c:pt>
                <c:pt idx="177">
                  <c:v>11372</c:v>
                </c:pt>
                <c:pt idx="178">
                  <c:v>28200000</c:v>
                </c:pt>
                <c:pt idx="179">
                  <c:v>329800</c:v>
                </c:pt>
                <c:pt idx="180">
                  <c:v>1300000</c:v>
                </c:pt>
                <c:pt idx="181">
                  <c:v>3278000</c:v>
                </c:pt>
                <c:pt idx="182">
                  <c:v>10</c:v>
                </c:pt>
                <c:pt idx="183">
                  <c:v>3002</c:v>
                </c:pt>
                <c:pt idx="184">
                  <c:v>404000</c:v>
                </c:pt>
                <c:pt idx="185">
                  <c:v>1</c:v>
                </c:pt>
                <c:pt idx="186">
                  <c:v>20</c:v>
                </c:pt>
                <c:pt idx="187">
                  <c:v>875510</c:v>
                </c:pt>
                <c:pt idx="188">
                  <c:v>169000</c:v>
                </c:pt>
                <c:pt idx="189">
                  <c:v>12100</c:v>
                </c:pt>
                <c:pt idx="190">
                  <c:v>214400</c:v>
                </c:pt>
                <c:pt idx="191">
                  <c:v>57200</c:v>
                </c:pt>
                <c:pt idx="192">
                  <c:v>1644700</c:v>
                </c:pt>
                <c:pt idx="193">
                  <c:v>13895300</c:v>
                </c:pt>
                <c:pt idx="194">
                  <c:v>2403819</c:v>
                </c:pt>
                <c:pt idx="195">
                  <c:v>7139305</c:v>
                </c:pt>
                <c:pt idx="196">
                  <c:v>6284767</c:v>
                </c:pt>
                <c:pt idx="197">
                  <c:v>113391</c:v>
                </c:pt>
                <c:pt idx="198">
                  <c:v>226871</c:v>
                </c:pt>
                <c:pt idx="199">
                  <c:v>5338852</c:v>
                </c:pt>
                <c:pt idx="200">
                  <c:v>5291368</c:v>
                </c:pt>
                <c:pt idx="201">
                  <c:v>6043152</c:v>
                </c:pt>
                <c:pt idx="202">
                  <c:v>7356635</c:v>
                </c:pt>
                <c:pt idx="203">
                  <c:v>4810669</c:v>
                </c:pt>
                <c:pt idx="204">
                  <c:v>8463230</c:v>
                </c:pt>
                <c:pt idx="205">
                  <c:v>6216961</c:v>
                </c:pt>
                <c:pt idx="206">
                  <c:v>3973045</c:v>
                </c:pt>
                <c:pt idx="207">
                  <c:v>11680546</c:v>
                </c:pt>
                <c:pt idx="208">
                  <c:v>5755915</c:v>
                </c:pt>
                <c:pt idx="209">
                  <c:v>4894433</c:v>
                </c:pt>
                <c:pt idx="210">
                  <c:v>2722411</c:v>
                </c:pt>
                <c:pt idx="211">
                  <c:v>62006900</c:v>
                </c:pt>
                <c:pt idx="212">
                  <c:v>4054082</c:v>
                </c:pt>
                <c:pt idx="213">
                  <c:v>25</c:v>
                </c:pt>
                <c:pt idx="214">
                  <c:v>2001358</c:v>
                </c:pt>
                <c:pt idx="215">
                  <c:v>140450</c:v>
                </c:pt>
                <c:pt idx="216">
                  <c:v>486862</c:v>
                </c:pt>
                <c:pt idx="217">
                  <c:v>17703678</c:v>
                </c:pt>
                <c:pt idx="218">
                  <c:v>9314610</c:v>
                </c:pt>
                <c:pt idx="219">
                  <c:v>601470</c:v>
                </c:pt>
                <c:pt idx="220">
                  <c:v>5568700</c:v>
                </c:pt>
                <c:pt idx="221">
                  <c:v>5226744</c:v>
                </c:pt>
                <c:pt idx="222">
                  <c:v>4034341</c:v>
                </c:pt>
                <c:pt idx="223">
                  <c:v>1279986</c:v>
                </c:pt>
                <c:pt idx="224">
                  <c:v>586422</c:v>
                </c:pt>
                <c:pt idx="225">
                  <c:v>3205249</c:v>
                </c:pt>
                <c:pt idx="226">
                  <c:v>2588200</c:v>
                </c:pt>
                <c:pt idx="227">
                  <c:v>12210600</c:v>
                </c:pt>
                <c:pt idx="228">
                  <c:v>2162600</c:v>
                </c:pt>
                <c:pt idx="229">
                  <c:v>4920800</c:v>
                </c:pt>
                <c:pt idx="230">
                  <c:v>3</c:v>
                </c:pt>
                <c:pt idx="231">
                  <c:v>3617500</c:v>
                </c:pt>
                <c:pt idx="232">
                  <c:v>250024</c:v>
                </c:pt>
                <c:pt idx="233">
                  <c:v>346466</c:v>
                </c:pt>
                <c:pt idx="234">
                  <c:v>5700172</c:v>
                </c:pt>
                <c:pt idx="235">
                  <c:v>1000000</c:v>
                </c:pt>
                <c:pt idx="236">
                  <c:v>746700</c:v>
                </c:pt>
                <c:pt idx="237">
                  <c:v>3808366</c:v>
                </c:pt>
                <c:pt idx="238">
                  <c:v>356568</c:v>
                </c:pt>
                <c:pt idx="239">
                  <c:v>2108324</c:v>
                </c:pt>
                <c:pt idx="240">
                  <c:v>14500</c:v>
                </c:pt>
                <c:pt idx="241">
                  <c:v>0</c:v>
                </c:pt>
                <c:pt idx="242">
                  <c:v>221300</c:v>
                </c:pt>
                <c:pt idx="243">
                  <c:v>285700</c:v>
                </c:pt>
                <c:pt idx="244">
                  <c:v>25208005</c:v>
                </c:pt>
                <c:pt idx="245">
                  <c:v>4278300</c:v>
                </c:pt>
                <c:pt idx="246">
                  <c:v>150</c:v>
                </c:pt>
                <c:pt idx="247">
                  <c:v>27300</c:v>
                </c:pt>
                <c:pt idx="248">
                  <c:v>577223</c:v>
                </c:pt>
                <c:pt idx="249">
                  <c:v>2438103</c:v>
                </c:pt>
                <c:pt idx="250">
                  <c:v>297100</c:v>
                </c:pt>
                <c:pt idx="251">
                  <c:v>1152</c:v>
                </c:pt>
                <c:pt idx="252">
                  <c:v>8</c:v>
                </c:pt>
                <c:pt idx="253">
                  <c:v>8200000</c:v>
                </c:pt>
                <c:pt idx="254">
                  <c:v>531500</c:v>
                </c:pt>
                <c:pt idx="255">
                  <c:v>6459900</c:v>
                </c:pt>
                <c:pt idx="256">
                  <c:v>1848</c:v>
                </c:pt>
                <c:pt idx="257">
                  <c:v>11948500</c:v>
                </c:pt>
                <c:pt idx="258">
                  <c:v>870900</c:v>
                </c:pt>
                <c:pt idx="259">
                  <c:v>611100</c:v>
                </c:pt>
                <c:pt idx="260">
                  <c:v>3547</c:v>
                </c:pt>
                <c:pt idx="261">
                  <c:v>1700000</c:v>
                </c:pt>
                <c:pt idx="262">
                  <c:v>1534200</c:v>
                </c:pt>
                <c:pt idx="263">
                  <c:v>6796</c:v>
                </c:pt>
                <c:pt idx="264">
                  <c:v>3980300</c:v>
                </c:pt>
                <c:pt idx="265">
                  <c:v>627200</c:v>
                </c:pt>
                <c:pt idx="266">
                  <c:v>11200</c:v>
                </c:pt>
                <c:pt idx="267">
                  <c:v>615200</c:v>
                </c:pt>
                <c:pt idx="268">
                  <c:v>341200</c:v>
                </c:pt>
                <c:pt idx="269">
                  <c:v>18900</c:v>
                </c:pt>
                <c:pt idx="270">
                  <c:v>0</c:v>
                </c:pt>
                <c:pt idx="271">
                  <c:v>571621</c:v>
                </c:pt>
                <c:pt idx="272">
                  <c:v>59660</c:v>
                </c:pt>
                <c:pt idx="273">
                  <c:v>5266</c:v>
                </c:pt>
                <c:pt idx="274">
                  <c:v>1100000</c:v>
                </c:pt>
                <c:pt idx="275">
                  <c:v>891300</c:v>
                </c:pt>
                <c:pt idx="276">
                  <c:v>7746</c:v>
                </c:pt>
                <c:pt idx="277">
                  <c:v>210091</c:v>
                </c:pt>
                <c:pt idx="278">
                  <c:v>930600</c:v>
                </c:pt>
                <c:pt idx="279">
                  <c:v>16600000</c:v>
                </c:pt>
                <c:pt idx="280">
                  <c:v>194240</c:v>
                </c:pt>
                <c:pt idx="281">
                  <c:v>128964</c:v>
                </c:pt>
                <c:pt idx="282">
                  <c:v>629900</c:v>
                </c:pt>
                <c:pt idx="283">
                  <c:v>15400</c:v>
                </c:pt>
                <c:pt idx="284">
                  <c:v>1148100</c:v>
                </c:pt>
                <c:pt idx="285">
                  <c:v>1400000</c:v>
                </c:pt>
                <c:pt idx="286">
                  <c:v>1861616</c:v>
                </c:pt>
                <c:pt idx="287">
                  <c:v>1000000</c:v>
                </c:pt>
                <c:pt idx="288">
                  <c:v>585800</c:v>
                </c:pt>
                <c:pt idx="289">
                  <c:v>329112</c:v>
                </c:pt>
                <c:pt idx="290">
                  <c:v>190100</c:v>
                </c:pt>
                <c:pt idx="291">
                  <c:v>867200</c:v>
                </c:pt>
                <c:pt idx="292">
                  <c:v>353900</c:v>
                </c:pt>
                <c:pt idx="293">
                  <c:v>18515</c:v>
                </c:pt>
                <c:pt idx="294">
                  <c:v>2300000</c:v>
                </c:pt>
                <c:pt idx="295">
                  <c:v>415600</c:v>
                </c:pt>
                <c:pt idx="296">
                  <c:v>203400</c:v>
                </c:pt>
                <c:pt idx="297">
                  <c:v>10383808</c:v>
                </c:pt>
                <c:pt idx="298">
                  <c:v>3466</c:v>
                </c:pt>
                <c:pt idx="299">
                  <c:v>4543200</c:v>
                </c:pt>
                <c:pt idx="300">
                  <c:v>2800000</c:v>
                </c:pt>
                <c:pt idx="301">
                  <c:v>11300</c:v>
                </c:pt>
                <c:pt idx="302">
                  <c:v>1400000</c:v>
                </c:pt>
                <c:pt idx="303">
                  <c:v>4682</c:v>
                </c:pt>
                <c:pt idx="304">
                  <c:v>26300</c:v>
                </c:pt>
                <c:pt idx="305">
                  <c:v>2254</c:v>
                </c:pt>
                <c:pt idx="306">
                  <c:v>10214</c:v>
                </c:pt>
                <c:pt idx="307">
                  <c:v>391803</c:v>
                </c:pt>
                <c:pt idx="308">
                  <c:v>1151</c:v>
                </c:pt>
                <c:pt idx="309">
                  <c:v>1031574</c:v>
                </c:pt>
                <c:pt idx="310">
                  <c:v>472574</c:v>
                </c:pt>
                <c:pt idx="311">
                  <c:v>0</c:v>
                </c:pt>
                <c:pt idx="312">
                  <c:v>6</c:v>
                </c:pt>
                <c:pt idx="313">
                  <c:v>35</c:v>
                </c:pt>
                <c:pt idx="314">
                  <c:v>587000</c:v>
                </c:pt>
                <c:pt idx="315">
                  <c:v>592800</c:v>
                </c:pt>
                <c:pt idx="316">
                  <c:v>751300</c:v>
                </c:pt>
                <c:pt idx="317">
                  <c:v>752300</c:v>
                </c:pt>
                <c:pt idx="318">
                  <c:v>844700</c:v>
                </c:pt>
                <c:pt idx="319">
                  <c:v>365001</c:v>
                </c:pt>
                <c:pt idx="320">
                  <c:v>1103700</c:v>
                </c:pt>
                <c:pt idx="321">
                  <c:v>4753</c:v>
                </c:pt>
                <c:pt idx="322">
                  <c:v>393897</c:v>
                </c:pt>
                <c:pt idx="323">
                  <c:v>562034</c:v>
                </c:pt>
                <c:pt idx="324">
                  <c:v>0</c:v>
                </c:pt>
                <c:pt idx="325">
                  <c:v>13800</c:v>
                </c:pt>
                <c:pt idx="326">
                  <c:v>59100</c:v>
                </c:pt>
                <c:pt idx="327">
                  <c:v>11</c:v>
                </c:pt>
                <c:pt idx="328">
                  <c:v>4581</c:v>
                </c:pt>
                <c:pt idx="329">
                  <c:v>58</c:v>
                </c:pt>
                <c:pt idx="330">
                  <c:v>606601</c:v>
                </c:pt>
                <c:pt idx="331">
                  <c:v>47400</c:v>
                </c:pt>
                <c:pt idx="332">
                  <c:v>5640834</c:v>
                </c:pt>
                <c:pt idx="333">
                  <c:v>563200</c:v>
                </c:pt>
                <c:pt idx="334">
                  <c:v>2918700</c:v>
                </c:pt>
                <c:pt idx="335">
                  <c:v>148200</c:v>
                </c:pt>
                <c:pt idx="336">
                  <c:v>0</c:v>
                </c:pt>
                <c:pt idx="337">
                  <c:v>340</c:v>
                </c:pt>
                <c:pt idx="338">
                  <c:v>1000049</c:v>
                </c:pt>
                <c:pt idx="339">
                  <c:v>868600</c:v>
                </c:pt>
                <c:pt idx="340">
                  <c:v>6800000</c:v>
                </c:pt>
                <c:pt idx="341">
                  <c:v>1243000</c:v>
                </c:pt>
                <c:pt idx="342">
                  <c:v>2601336</c:v>
                </c:pt>
                <c:pt idx="343">
                  <c:v>948400</c:v>
                </c:pt>
                <c:pt idx="344">
                  <c:v>29500</c:v>
                </c:pt>
                <c:pt idx="345">
                  <c:v>18700</c:v>
                </c:pt>
                <c:pt idx="346">
                  <c:v>52600</c:v>
                </c:pt>
                <c:pt idx="347">
                  <c:v>555</c:v>
                </c:pt>
                <c:pt idx="348">
                  <c:v>0</c:v>
                </c:pt>
                <c:pt idx="349">
                  <c:v>102900</c:v>
                </c:pt>
                <c:pt idx="350">
                  <c:v>514500</c:v>
                </c:pt>
                <c:pt idx="351">
                  <c:v>4700000</c:v>
                </c:pt>
                <c:pt idx="352">
                  <c:v>177900</c:v>
                </c:pt>
                <c:pt idx="353">
                  <c:v>45533</c:v>
                </c:pt>
                <c:pt idx="354">
                  <c:v>775859</c:v>
                </c:pt>
                <c:pt idx="355">
                  <c:v>0</c:v>
                </c:pt>
                <c:pt idx="356">
                  <c:v>161</c:v>
                </c:pt>
                <c:pt idx="357">
                  <c:v>577800</c:v>
                </c:pt>
                <c:pt idx="358">
                  <c:v>2961</c:v>
                </c:pt>
                <c:pt idx="359">
                  <c:v>616200</c:v>
                </c:pt>
                <c:pt idx="360">
                  <c:v>36700106</c:v>
                </c:pt>
                <c:pt idx="361">
                  <c:v>89123</c:v>
                </c:pt>
                <c:pt idx="362">
                  <c:v>350400</c:v>
                </c:pt>
                <c:pt idx="363">
                  <c:v>902500</c:v>
                </c:pt>
                <c:pt idx="364">
                  <c:v>412177</c:v>
                </c:pt>
                <c:pt idx="365">
                  <c:v>2629600</c:v>
                </c:pt>
                <c:pt idx="366">
                  <c:v>2200000</c:v>
                </c:pt>
                <c:pt idx="367">
                  <c:v>3800000</c:v>
                </c:pt>
                <c:pt idx="368">
                  <c:v>8</c:v>
                </c:pt>
                <c:pt idx="369">
                  <c:v>449200</c:v>
                </c:pt>
                <c:pt idx="370">
                  <c:v>123001</c:v>
                </c:pt>
                <c:pt idx="371">
                  <c:v>79000</c:v>
                </c:pt>
                <c:pt idx="372">
                  <c:v>8181700</c:v>
                </c:pt>
                <c:pt idx="373">
                  <c:v>1500032</c:v>
                </c:pt>
                <c:pt idx="374">
                  <c:v>109</c:v>
                </c:pt>
                <c:pt idx="375">
                  <c:v>1200000</c:v>
                </c:pt>
                <c:pt idx="376">
                  <c:v>293000</c:v>
                </c:pt>
                <c:pt idx="377">
                  <c:v>36</c:v>
                </c:pt>
                <c:pt idx="378">
                  <c:v>861700</c:v>
                </c:pt>
                <c:pt idx="379">
                  <c:v>58800</c:v>
                </c:pt>
                <c:pt idx="380">
                  <c:v>1761600</c:v>
                </c:pt>
                <c:pt idx="381">
                  <c:v>1000053</c:v>
                </c:pt>
                <c:pt idx="382">
                  <c:v>15</c:v>
                </c:pt>
                <c:pt idx="383">
                  <c:v>1900000</c:v>
                </c:pt>
                <c:pt idx="384">
                  <c:v>217600</c:v>
                </c:pt>
                <c:pt idx="385">
                  <c:v>654291</c:v>
                </c:pt>
                <c:pt idx="386">
                  <c:v>19500000</c:v>
                </c:pt>
                <c:pt idx="387">
                  <c:v>1500000</c:v>
                </c:pt>
                <c:pt idx="388">
                  <c:v>778100</c:v>
                </c:pt>
                <c:pt idx="389">
                  <c:v>1700000</c:v>
                </c:pt>
                <c:pt idx="390">
                  <c:v>2200000</c:v>
                </c:pt>
                <c:pt idx="391">
                  <c:v>265400</c:v>
                </c:pt>
                <c:pt idx="392">
                  <c:v>2129600</c:v>
                </c:pt>
                <c:pt idx="393">
                  <c:v>120400</c:v>
                </c:pt>
                <c:pt idx="394">
                  <c:v>300</c:v>
                </c:pt>
                <c:pt idx="395">
                  <c:v>3401000</c:v>
                </c:pt>
                <c:pt idx="396">
                  <c:v>143400</c:v>
                </c:pt>
                <c:pt idx="397">
                  <c:v>31</c:v>
                </c:pt>
                <c:pt idx="398">
                  <c:v>0</c:v>
                </c:pt>
                <c:pt idx="399">
                  <c:v>271823</c:v>
                </c:pt>
                <c:pt idx="400">
                  <c:v>5014</c:v>
                </c:pt>
                <c:pt idx="401">
                  <c:v>65900</c:v>
                </c:pt>
                <c:pt idx="402">
                  <c:v>1042</c:v>
                </c:pt>
                <c:pt idx="403">
                  <c:v>1487</c:v>
                </c:pt>
                <c:pt idx="404">
                  <c:v>1</c:v>
                </c:pt>
                <c:pt idx="405">
                  <c:v>790500</c:v>
                </c:pt>
                <c:pt idx="406">
                  <c:v>20</c:v>
                </c:pt>
                <c:pt idx="407">
                  <c:v>682400</c:v>
                </c:pt>
                <c:pt idx="408">
                  <c:v>173600</c:v>
                </c:pt>
                <c:pt idx="409">
                  <c:v>43101</c:v>
                </c:pt>
                <c:pt idx="410">
                  <c:v>1200000</c:v>
                </c:pt>
                <c:pt idx="411">
                  <c:v>77300</c:v>
                </c:pt>
                <c:pt idx="412">
                  <c:v>0</c:v>
                </c:pt>
                <c:pt idx="413">
                  <c:v>260471</c:v>
                </c:pt>
                <c:pt idx="414">
                  <c:v>1420</c:v>
                </c:pt>
                <c:pt idx="415">
                  <c:v>101400</c:v>
                </c:pt>
                <c:pt idx="416">
                  <c:v>110500</c:v>
                </c:pt>
                <c:pt idx="417">
                  <c:v>11300090</c:v>
                </c:pt>
                <c:pt idx="418">
                  <c:v>351500</c:v>
                </c:pt>
                <c:pt idx="419">
                  <c:v>0</c:v>
                </c:pt>
                <c:pt idx="420">
                  <c:v>231200</c:v>
                </c:pt>
                <c:pt idx="421">
                  <c:v>0</c:v>
                </c:pt>
                <c:pt idx="422">
                  <c:v>0</c:v>
                </c:pt>
                <c:pt idx="423">
                  <c:v>1</c:v>
                </c:pt>
                <c:pt idx="424">
                  <c:v>3500000</c:v>
                </c:pt>
                <c:pt idx="425">
                  <c:v>378900</c:v>
                </c:pt>
                <c:pt idx="426">
                  <c:v>87500</c:v>
                </c:pt>
                <c:pt idx="427">
                  <c:v>163800</c:v>
                </c:pt>
                <c:pt idx="428">
                  <c:v>1200000</c:v>
                </c:pt>
                <c:pt idx="429">
                  <c:v>147700</c:v>
                </c:pt>
                <c:pt idx="430">
                  <c:v>103</c:v>
                </c:pt>
                <c:pt idx="431">
                  <c:v>0</c:v>
                </c:pt>
                <c:pt idx="432">
                  <c:v>4653</c:v>
                </c:pt>
                <c:pt idx="433">
                  <c:v>137400</c:v>
                </c:pt>
                <c:pt idx="434">
                  <c:v>167</c:v>
                </c:pt>
                <c:pt idx="435">
                  <c:v>1500000</c:v>
                </c:pt>
                <c:pt idx="436">
                  <c:v>0</c:v>
                </c:pt>
                <c:pt idx="437">
                  <c:v>1</c:v>
                </c:pt>
                <c:pt idx="438">
                  <c:v>7</c:v>
                </c:pt>
                <c:pt idx="439">
                  <c:v>80</c:v>
                </c:pt>
                <c:pt idx="440">
                  <c:v>547200</c:v>
                </c:pt>
                <c:pt idx="441">
                  <c:v>2200000</c:v>
                </c:pt>
                <c:pt idx="442">
                  <c:v>42100</c:v>
                </c:pt>
                <c:pt idx="443">
                  <c:v>0</c:v>
                </c:pt>
                <c:pt idx="444">
                  <c:v>211600</c:v>
                </c:pt>
                <c:pt idx="445">
                  <c:v>0</c:v>
                </c:pt>
                <c:pt idx="446">
                  <c:v>0</c:v>
                </c:pt>
                <c:pt idx="447">
                  <c:v>3000000</c:v>
                </c:pt>
                <c:pt idx="448">
                  <c:v>3</c:v>
                </c:pt>
                <c:pt idx="449">
                  <c:v>430200</c:v>
                </c:pt>
                <c:pt idx="450">
                  <c:v>873</c:v>
                </c:pt>
                <c:pt idx="451">
                  <c:v>1420</c:v>
                </c:pt>
                <c:pt idx="452">
                  <c:v>0</c:v>
                </c:pt>
                <c:pt idx="453">
                  <c:v>6</c:v>
                </c:pt>
                <c:pt idx="454">
                  <c:v>240900</c:v>
                </c:pt>
                <c:pt idx="455">
                  <c:v>2033</c:v>
                </c:pt>
                <c:pt idx="456">
                  <c:v>198900</c:v>
                </c:pt>
                <c:pt idx="457">
                  <c:v>2300000</c:v>
                </c:pt>
                <c:pt idx="458">
                  <c:v>8200000</c:v>
                </c:pt>
                <c:pt idx="459">
                  <c:v>126</c:v>
                </c:pt>
                <c:pt idx="460">
                  <c:v>2600000</c:v>
                </c:pt>
                <c:pt idx="461">
                  <c:v>131000</c:v>
                </c:pt>
                <c:pt idx="462">
                  <c:v>0</c:v>
                </c:pt>
                <c:pt idx="463">
                  <c:v>211600</c:v>
                </c:pt>
                <c:pt idx="464">
                  <c:v>32000</c:v>
                </c:pt>
              </c:numCache>
            </c:numRef>
          </c:val>
          <c:extLst>
            <c:ext xmlns:c16="http://schemas.microsoft.com/office/drawing/2014/chart" uri="{C3380CC4-5D6E-409C-BE32-E72D297353CC}">
              <c16:uniqueId val="{00000000-6DBB-475D-8397-DD44385459EB}"/>
            </c:ext>
          </c:extLst>
        </c:ser>
        <c:dLbls>
          <c:showLegendKey val="0"/>
          <c:showVal val="0"/>
          <c:showCatName val="0"/>
          <c:showSerName val="0"/>
          <c:showPercent val="0"/>
          <c:showBubbleSize val="0"/>
        </c:dLbls>
        <c:gapWidth val="219"/>
        <c:overlap val="-27"/>
        <c:axId val="993947791"/>
        <c:axId val="1762455503"/>
      </c:barChart>
      <c:catAx>
        <c:axId val="993947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2455503"/>
        <c:crosses val="autoZero"/>
        <c:auto val="1"/>
        <c:lblAlgn val="ctr"/>
        <c:lblOffset val="100"/>
        <c:noMultiLvlLbl val="0"/>
      </c:catAx>
      <c:valAx>
        <c:axId val="1762455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947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(4).xlsm]Graphs!PivotTable11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Graphs!$B$20</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738-4866-8D07-F40D05B56F99}"/>
              </c:ext>
            </c:extLst>
          </c:dPt>
          <c:dPt>
            <c:idx val="1"/>
            <c:bubble3D val="0"/>
            <c:spPr>
              <a:solidFill>
                <a:schemeClr val="accent2"/>
              </a:solidFill>
              <a:ln>
                <a:noFill/>
              </a:ln>
              <a:effectLst/>
            </c:spPr>
            <c:extLst>
              <c:ext xmlns:c16="http://schemas.microsoft.com/office/drawing/2014/chart" uri="{C3380CC4-5D6E-409C-BE32-E72D297353CC}">
                <c16:uniqueId val="{00000003-5738-4866-8D07-F40D05B56F99}"/>
              </c:ext>
            </c:extLst>
          </c:dPt>
          <c:cat>
            <c:strRef>
              <c:f>Graphs!$A$21:$A$23</c:f>
              <c:strCache>
                <c:ptCount val="2"/>
                <c:pt idx="0">
                  <c:v>No</c:v>
                </c:pt>
                <c:pt idx="1">
                  <c:v>Yes</c:v>
                </c:pt>
              </c:strCache>
            </c:strRef>
          </c:cat>
          <c:val>
            <c:numRef>
              <c:f>Graphs!$B$21:$B$23</c:f>
              <c:numCache>
                <c:formatCode>General</c:formatCode>
                <c:ptCount val="2"/>
                <c:pt idx="0">
                  <c:v>743</c:v>
                </c:pt>
                <c:pt idx="1">
                  <c:v>221</c:v>
                </c:pt>
              </c:numCache>
            </c:numRef>
          </c:val>
          <c:extLst>
            <c:ext xmlns:c16="http://schemas.microsoft.com/office/drawing/2014/chart" uri="{C3380CC4-5D6E-409C-BE32-E72D297353CC}">
              <c16:uniqueId val="{00000000-03C1-44D6-AD06-23DF09B1D5B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(4).xlsm]Graphs!PivotTable12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Graphs!$E$20</c:f>
              <c:strCache>
                <c:ptCount val="1"/>
                <c:pt idx="0">
                  <c:v>Total</c:v>
                </c:pt>
              </c:strCache>
            </c:strRef>
          </c:tx>
          <c:spPr>
            <a:solidFill>
              <a:schemeClr val="accent1"/>
            </a:solidFill>
            <a:ln>
              <a:noFill/>
            </a:ln>
            <a:effectLst/>
          </c:spPr>
          <c:invertIfNegative val="0"/>
          <c:cat>
            <c:strRef>
              <c:f>Graphs!$D$21:$D$438</c:f>
              <c:strCache>
                <c:ptCount val="417"/>
                <c:pt idx="0">
                  <c:v>0.174</c:v>
                </c:pt>
                <c:pt idx="1">
                  <c:v>0.247</c:v>
                </c:pt>
                <c:pt idx="2">
                  <c:v>0.252</c:v>
                </c:pt>
                <c:pt idx="3">
                  <c:v>0.308</c:v>
                </c:pt>
                <c:pt idx="4">
                  <c:v>0.316</c:v>
                </c:pt>
                <c:pt idx="5">
                  <c:v>0.336</c:v>
                </c:pt>
                <c:pt idx="6">
                  <c:v>0.345</c:v>
                </c:pt>
                <c:pt idx="7">
                  <c:v>0.357</c:v>
                </c:pt>
                <c:pt idx="8">
                  <c:v>0.367</c:v>
                </c:pt>
                <c:pt idx="9">
                  <c:v>0.375</c:v>
                </c:pt>
                <c:pt idx="10">
                  <c:v>0.376</c:v>
                </c:pt>
                <c:pt idx="11">
                  <c:v>0.377</c:v>
                </c:pt>
                <c:pt idx="12">
                  <c:v>0.386</c:v>
                </c:pt>
                <c:pt idx="13">
                  <c:v>0.387</c:v>
                </c:pt>
                <c:pt idx="14">
                  <c:v>0.388</c:v>
                </c:pt>
                <c:pt idx="15">
                  <c:v>0.395</c:v>
                </c:pt>
                <c:pt idx="16">
                  <c:v>0.399</c:v>
                </c:pt>
                <c:pt idx="17">
                  <c:v>0.407</c:v>
                </c:pt>
                <c:pt idx="18">
                  <c:v>0.41</c:v>
                </c:pt>
                <c:pt idx="19">
                  <c:v>0.413</c:v>
                </c:pt>
                <c:pt idx="20">
                  <c:v>0.418</c:v>
                </c:pt>
                <c:pt idx="21">
                  <c:v>0.42</c:v>
                </c:pt>
                <c:pt idx="22">
                  <c:v>0.421</c:v>
                </c:pt>
                <c:pt idx="23">
                  <c:v>0.429</c:v>
                </c:pt>
                <c:pt idx="24">
                  <c:v>0.432</c:v>
                </c:pt>
                <c:pt idx="25">
                  <c:v>0.435</c:v>
                </c:pt>
                <c:pt idx="26">
                  <c:v>0.436</c:v>
                </c:pt>
                <c:pt idx="27">
                  <c:v>0.437</c:v>
                </c:pt>
                <c:pt idx="28">
                  <c:v>0.438</c:v>
                </c:pt>
                <c:pt idx="29">
                  <c:v>0.44</c:v>
                </c:pt>
                <c:pt idx="30">
                  <c:v>0.442</c:v>
                </c:pt>
                <c:pt idx="31">
                  <c:v>0.445</c:v>
                </c:pt>
                <c:pt idx="32">
                  <c:v>0.447</c:v>
                </c:pt>
                <c:pt idx="33">
                  <c:v>0.448</c:v>
                </c:pt>
                <c:pt idx="34">
                  <c:v>0.449</c:v>
                </c:pt>
                <c:pt idx="35">
                  <c:v>0.453</c:v>
                </c:pt>
                <c:pt idx="36">
                  <c:v>0.457</c:v>
                </c:pt>
                <c:pt idx="37">
                  <c:v>0.464</c:v>
                </c:pt>
                <c:pt idx="38">
                  <c:v>0.465</c:v>
                </c:pt>
                <c:pt idx="39">
                  <c:v>0.466</c:v>
                </c:pt>
                <c:pt idx="40">
                  <c:v>0.47</c:v>
                </c:pt>
                <c:pt idx="41">
                  <c:v>0.471</c:v>
                </c:pt>
                <c:pt idx="42">
                  <c:v>0.474</c:v>
                </c:pt>
                <c:pt idx="43">
                  <c:v>0.48</c:v>
                </c:pt>
                <c:pt idx="44">
                  <c:v>0.482</c:v>
                </c:pt>
                <c:pt idx="45">
                  <c:v>0.483</c:v>
                </c:pt>
                <c:pt idx="46">
                  <c:v>0.484</c:v>
                </c:pt>
                <c:pt idx="47">
                  <c:v>0.487</c:v>
                </c:pt>
                <c:pt idx="48">
                  <c:v>0.497</c:v>
                </c:pt>
                <c:pt idx="49">
                  <c:v>0.498</c:v>
                </c:pt>
                <c:pt idx="50">
                  <c:v>0.501</c:v>
                </c:pt>
                <c:pt idx="51">
                  <c:v>0.504</c:v>
                </c:pt>
                <c:pt idx="52">
                  <c:v>0.506</c:v>
                </c:pt>
                <c:pt idx="53">
                  <c:v>0.507</c:v>
                </c:pt>
                <c:pt idx="54">
                  <c:v>0.511</c:v>
                </c:pt>
                <c:pt idx="55">
                  <c:v>0.512</c:v>
                </c:pt>
                <c:pt idx="56">
                  <c:v>0.513</c:v>
                </c:pt>
                <c:pt idx="57">
                  <c:v>0.514</c:v>
                </c:pt>
                <c:pt idx="58">
                  <c:v>0.515</c:v>
                </c:pt>
                <c:pt idx="59">
                  <c:v>0.516</c:v>
                </c:pt>
                <c:pt idx="60">
                  <c:v>0.517</c:v>
                </c:pt>
                <c:pt idx="61">
                  <c:v>0.52</c:v>
                </c:pt>
                <c:pt idx="62">
                  <c:v>0.525</c:v>
                </c:pt>
                <c:pt idx="63">
                  <c:v>0.526</c:v>
                </c:pt>
                <c:pt idx="64">
                  <c:v>0.527</c:v>
                </c:pt>
                <c:pt idx="65">
                  <c:v>0.528</c:v>
                </c:pt>
                <c:pt idx="66">
                  <c:v>0.529</c:v>
                </c:pt>
                <c:pt idx="67">
                  <c:v>0.535</c:v>
                </c:pt>
                <c:pt idx="68">
                  <c:v>0.539</c:v>
                </c:pt>
                <c:pt idx="69">
                  <c:v>0.541</c:v>
                </c:pt>
                <c:pt idx="70">
                  <c:v>0.544</c:v>
                </c:pt>
                <c:pt idx="71">
                  <c:v>0.546</c:v>
                </c:pt>
                <c:pt idx="72">
                  <c:v>0.547</c:v>
                </c:pt>
                <c:pt idx="73">
                  <c:v>0.548</c:v>
                </c:pt>
                <c:pt idx="74">
                  <c:v>0.549</c:v>
                </c:pt>
                <c:pt idx="75">
                  <c:v>0.551</c:v>
                </c:pt>
                <c:pt idx="76">
                  <c:v>0.552</c:v>
                </c:pt>
                <c:pt idx="77">
                  <c:v>0.553</c:v>
                </c:pt>
                <c:pt idx="78">
                  <c:v>0.556</c:v>
                </c:pt>
                <c:pt idx="79">
                  <c:v>0.557</c:v>
                </c:pt>
                <c:pt idx="80">
                  <c:v>0.558</c:v>
                </c:pt>
                <c:pt idx="81">
                  <c:v>0.56</c:v>
                </c:pt>
                <c:pt idx="82">
                  <c:v>0.561</c:v>
                </c:pt>
                <c:pt idx="83">
                  <c:v>0.563</c:v>
                </c:pt>
                <c:pt idx="84">
                  <c:v>0.565</c:v>
                </c:pt>
                <c:pt idx="85">
                  <c:v>0.566</c:v>
                </c:pt>
                <c:pt idx="86">
                  <c:v>0.567</c:v>
                </c:pt>
                <c:pt idx="87">
                  <c:v>0.57</c:v>
                </c:pt>
                <c:pt idx="88">
                  <c:v>0.572</c:v>
                </c:pt>
                <c:pt idx="89">
                  <c:v>0.574</c:v>
                </c:pt>
                <c:pt idx="90">
                  <c:v>0.575</c:v>
                </c:pt>
                <c:pt idx="91">
                  <c:v>0.577</c:v>
                </c:pt>
                <c:pt idx="92">
                  <c:v>0.578</c:v>
                </c:pt>
                <c:pt idx="93">
                  <c:v>0.579</c:v>
                </c:pt>
                <c:pt idx="94">
                  <c:v>0.58</c:v>
                </c:pt>
                <c:pt idx="95">
                  <c:v>0.581</c:v>
                </c:pt>
                <c:pt idx="96">
                  <c:v>0.583</c:v>
                </c:pt>
                <c:pt idx="97">
                  <c:v>0.585</c:v>
                </c:pt>
                <c:pt idx="98">
                  <c:v>0.586</c:v>
                </c:pt>
                <c:pt idx="99">
                  <c:v>0.588</c:v>
                </c:pt>
                <c:pt idx="100">
                  <c:v>0.591</c:v>
                </c:pt>
                <c:pt idx="101">
                  <c:v>0.592</c:v>
                </c:pt>
                <c:pt idx="102">
                  <c:v>0.594</c:v>
                </c:pt>
                <c:pt idx="103">
                  <c:v>0.595</c:v>
                </c:pt>
                <c:pt idx="104">
                  <c:v>0.597</c:v>
                </c:pt>
                <c:pt idx="105">
                  <c:v>0.598</c:v>
                </c:pt>
                <c:pt idx="106">
                  <c:v>0.599</c:v>
                </c:pt>
                <c:pt idx="107">
                  <c:v>0.6</c:v>
                </c:pt>
                <c:pt idx="108">
                  <c:v>0.601</c:v>
                </c:pt>
                <c:pt idx="109">
                  <c:v>0.602</c:v>
                </c:pt>
                <c:pt idx="110">
                  <c:v>0.603</c:v>
                </c:pt>
                <c:pt idx="111">
                  <c:v>0.604</c:v>
                </c:pt>
                <c:pt idx="112">
                  <c:v>0.606</c:v>
                </c:pt>
                <c:pt idx="113">
                  <c:v>0.607</c:v>
                </c:pt>
                <c:pt idx="114">
                  <c:v>0.608</c:v>
                </c:pt>
                <c:pt idx="115">
                  <c:v>0.609</c:v>
                </c:pt>
                <c:pt idx="116">
                  <c:v>0.61</c:v>
                </c:pt>
                <c:pt idx="117">
                  <c:v>0.611</c:v>
                </c:pt>
                <c:pt idx="118">
                  <c:v>0.612</c:v>
                </c:pt>
                <c:pt idx="119">
                  <c:v>0.613</c:v>
                </c:pt>
                <c:pt idx="120">
                  <c:v>0.615</c:v>
                </c:pt>
                <c:pt idx="121">
                  <c:v>0.616</c:v>
                </c:pt>
                <c:pt idx="122">
                  <c:v>0.617</c:v>
                </c:pt>
                <c:pt idx="123">
                  <c:v>0.618</c:v>
                </c:pt>
                <c:pt idx="124">
                  <c:v>0.619</c:v>
                </c:pt>
                <c:pt idx="125">
                  <c:v>0.62</c:v>
                </c:pt>
                <c:pt idx="126">
                  <c:v>0.621</c:v>
                </c:pt>
                <c:pt idx="127">
                  <c:v>0.622</c:v>
                </c:pt>
                <c:pt idx="128">
                  <c:v>0.624</c:v>
                </c:pt>
                <c:pt idx="129">
                  <c:v>0.625</c:v>
                </c:pt>
                <c:pt idx="130">
                  <c:v>0.626</c:v>
                </c:pt>
                <c:pt idx="131">
                  <c:v>0.628</c:v>
                </c:pt>
                <c:pt idx="132">
                  <c:v>0.629</c:v>
                </c:pt>
                <c:pt idx="133">
                  <c:v>0.63</c:v>
                </c:pt>
                <c:pt idx="134">
                  <c:v>0.631</c:v>
                </c:pt>
                <c:pt idx="135">
                  <c:v>0.632</c:v>
                </c:pt>
                <c:pt idx="136">
                  <c:v>0.634</c:v>
                </c:pt>
                <c:pt idx="137">
                  <c:v>0.636</c:v>
                </c:pt>
                <c:pt idx="138">
                  <c:v>0.638</c:v>
                </c:pt>
                <c:pt idx="139">
                  <c:v>0.639</c:v>
                </c:pt>
                <c:pt idx="140">
                  <c:v>0.64</c:v>
                </c:pt>
                <c:pt idx="141">
                  <c:v>0.641</c:v>
                </c:pt>
                <c:pt idx="142">
                  <c:v>0.642</c:v>
                </c:pt>
                <c:pt idx="143">
                  <c:v>0.643</c:v>
                </c:pt>
                <c:pt idx="144">
                  <c:v>0.645</c:v>
                </c:pt>
                <c:pt idx="145">
                  <c:v>0.646</c:v>
                </c:pt>
                <c:pt idx="146">
                  <c:v>0.647</c:v>
                </c:pt>
                <c:pt idx="147">
                  <c:v>0.648</c:v>
                </c:pt>
                <c:pt idx="148">
                  <c:v>0.649</c:v>
                </c:pt>
                <c:pt idx="149">
                  <c:v>0.65</c:v>
                </c:pt>
                <c:pt idx="150">
                  <c:v>0.651</c:v>
                </c:pt>
                <c:pt idx="151">
                  <c:v>0.652</c:v>
                </c:pt>
                <c:pt idx="152">
                  <c:v>0.653</c:v>
                </c:pt>
                <c:pt idx="153">
                  <c:v>0.654</c:v>
                </c:pt>
                <c:pt idx="154">
                  <c:v>0.655</c:v>
                </c:pt>
                <c:pt idx="155">
                  <c:v>0.656</c:v>
                </c:pt>
                <c:pt idx="156">
                  <c:v>0.657</c:v>
                </c:pt>
                <c:pt idx="157">
                  <c:v>0.658</c:v>
                </c:pt>
                <c:pt idx="158">
                  <c:v>0.659</c:v>
                </c:pt>
                <c:pt idx="159">
                  <c:v>0.66</c:v>
                </c:pt>
                <c:pt idx="160">
                  <c:v>0.662</c:v>
                </c:pt>
                <c:pt idx="161">
                  <c:v>0.664</c:v>
                </c:pt>
                <c:pt idx="162">
                  <c:v>0.665</c:v>
                </c:pt>
                <c:pt idx="163">
                  <c:v>0.666</c:v>
                </c:pt>
                <c:pt idx="164">
                  <c:v>0.667</c:v>
                </c:pt>
                <c:pt idx="165">
                  <c:v>0.668</c:v>
                </c:pt>
                <c:pt idx="166">
                  <c:v>0.669</c:v>
                </c:pt>
                <c:pt idx="167">
                  <c:v>0.67</c:v>
                </c:pt>
                <c:pt idx="168">
                  <c:v>0.671</c:v>
                </c:pt>
                <c:pt idx="169">
                  <c:v>0.672</c:v>
                </c:pt>
                <c:pt idx="170">
                  <c:v>0.673</c:v>
                </c:pt>
                <c:pt idx="171">
                  <c:v>0.674</c:v>
                </c:pt>
                <c:pt idx="172">
                  <c:v>0.675</c:v>
                </c:pt>
                <c:pt idx="173">
                  <c:v>0.676</c:v>
                </c:pt>
                <c:pt idx="174">
                  <c:v>0.677</c:v>
                </c:pt>
                <c:pt idx="175">
                  <c:v>0.679</c:v>
                </c:pt>
                <c:pt idx="176">
                  <c:v>0.68</c:v>
                </c:pt>
                <c:pt idx="177">
                  <c:v>0.681</c:v>
                </c:pt>
                <c:pt idx="178">
                  <c:v>0.682</c:v>
                </c:pt>
                <c:pt idx="179">
                  <c:v>0.683</c:v>
                </c:pt>
                <c:pt idx="180">
                  <c:v>0.684</c:v>
                </c:pt>
                <c:pt idx="181">
                  <c:v>0.685</c:v>
                </c:pt>
                <c:pt idx="182">
                  <c:v>0.686</c:v>
                </c:pt>
                <c:pt idx="183">
                  <c:v>0.687</c:v>
                </c:pt>
                <c:pt idx="184">
                  <c:v>0.688</c:v>
                </c:pt>
                <c:pt idx="185">
                  <c:v>0.689</c:v>
                </c:pt>
                <c:pt idx="186">
                  <c:v>0.69</c:v>
                </c:pt>
                <c:pt idx="187">
                  <c:v>0.691</c:v>
                </c:pt>
                <c:pt idx="188">
                  <c:v>0.692</c:v>
                </c:pt>
                <c:pt idx="189">
                  <c:v>0.694</c:v>
                </c:pt>
                <c:pt idx="190">
                  <c:v>0.695</c:v>
                </c:pt>
                <c:pt idx="191">
                  <c:v>0.696</c:v>
                </c:pt>
                <c:pt idx="192">
                  <c:v>0.697</c:v>
                </c:pt>
                <c:pt idx="193">
                  <c:v>0.698</c:v>
                </c:pt>
                <c:pt idx="194">
                  <c:v>0.699</c:v>
                </c:pt>
                <c:pt idx="195">
                  <c:v>0.7</c:v>
                </c:pt>
                <c:pt idx="196">
                  <c:v>0.701</c:v>
                </c:pt>
                <c:pt idx="197">
                  <c:v>0.702</c:v>
                </c:pt>
                <c:pt idx="198">
                  <c:v>0.703</c:v>
                </c:pt>
                <c:pt idx="199">
                  <c:v>0.704</c:v>
                </c:pt>
                <c:pt idx="200">
                  <c:v>0.705</c:v>
                </c:pt>
                <c:pt idx="201">
                  <c:v>0.706</c:v>
                </c:pt>
                <c:pt idx="202">
                  <c:v>0.707</c:v>
                </c:pt>
                <c:pt idx="203">
                  <c:v>0.708</c:v>
                </c:pt>
                <c:pt idx="204">
                  <c:v>0.709</c:v>
                </c:pt>
                <c:pt idx="205">
                  <c:v>0.71</c:v>
                </c:pt>
                <c:pt idx="206">
                  <c:v>0.711</c:v>
                </c:pt>
                <c:pt idx="207">
                  <c:v>0.712</c:v>
                </c:pt>
                <c:pt idx="208">
                  <c:v>0.713</c:v>
                </c:pt>
                <c:pt idx="209">
                  <c:v>0.714</c:v>
                </c:pt>
                <c:pt idx="210">
                  <c:v>0.715</c:v>
                </c:pt>
                <c:pt idx="211">
                  <c:v>0.716</c:v>
                </c:pt>
                <c:pt idx="212">
                  <c:v>0.717</c:v>
                </c:pt>
                <c:pt idx="213">
                  <c:v>0.718</c:v>
                </c:pt>
                <c:pt idx="214">
                  <c:v>0.719</c:v>
                </c:pt>
                <c:pt idx="215">
                  <c:v>0.72</c:v>
                </c:pt>
                <c:pt idx="216">
                  <c:v>0.721</c:v>
                </c:pt>
                <c:pt idx="217">
                  <c:v>0.722</c:v>
                </c:pt>
                <c:pt idx="218">
                  <c:v>0.723</c:v>
                </c:pt>
                <c:pt idx="219">
                  <c:v>0.724</c:v>
                </c:pt>
                <c:pt idx="220">
                  <c:v>0.725</c:v>
                </c:pt>
                <c:pt idx="221">
                  <c:v>0.726</c:v>
                </c:pt>
                <c:pt idx="222">
                  <c:v>0.727</c:v>
                </c:pt>
                <c:pt idx="223">
                  <c:v>0.728</c:v>
                </c:pt>
                <c:pt idx="224">
                  <c:v>0.729</c:v>
                </c:pt>
                <c:pt idx="225">
                  <c:v>0.73</c:v>
                </c:pt>
                <c:pt idx="226">
                  <c:v>0.731</c:v>
                </c:pt>
                <c:pt idx="227">
                  <c:v>0.732</c:v>
                </c:pt>
                <c:pt idx="228">
                  <c:v>0.733</c:v>
                </c:pt>
                <c:pt idx="229">
                  <c:v>0.734</c:v>
                </c:pt>
                <c:pt idx="230">
                  <c:v>0.735</c:v>
                </c:pt>
                <c:pt idx="231">
                  <c:v>0.736</c:v>
                </c:pt>
                <c:pt idx="232">
                  <c:v>0.737</c:v>
                </c:pt>
                <c:pt idx="233">
                  <c:v>0.738</c:v>
                </c:pt>
                <c:pt idx="234">
                  <c:v>0.739</c:v>
                </c:pt>
                <c:pt idx="235">
                  <c:v>0.74</c:v>
                </c:pt>
                <c:pt idx="236">
                  <c:v>0.741</c:v>
                </c:pt>
                <c:pt idx="237">
                  <c:v>0.742</c:v>
                </c:pt>
                <c:pt idx="238">
                  <c:v>0.744</c:v>
                </c:pt>
                <c:pt idx="239">
                  <c:v>0.745</c:v>
                </c:pt>
                <c:pt idx="240">
                  <c:v>0.746</c:v>
                </c:pt>
                <c:pt idx="241">
                  <c:v>0.747</c:v>
                </c:pt>
                <c:pt idx="242">
                  <c:v>0.748</c:v>
                </c:pt>
                <c:pt idx="243">
                  <c:v>0.749</c:v>
                </c:pt>
                <c:pt idx="244">
                  <c:v>0.75</c:v>
                </c:pt>
                <c:pt idx="245">
                  <c:v>0.751</c:v>
                </c:pt>
                <c:pt idx="246">
                  <c:v>0.752</c:v>
                </c:pt>
                <c:pt idx="247">
                  <c:v>0.753</c:v>
                </c:pt>
                <c:pt idx="248">
                  <c:v>0.754</c:v>
                </c:pt>
                <c:pt idx="249">
                  <c:v>0.755</c:v>
                </c:pt>
                <c:pt idx="250">
                  <c:v>0.756</c:v>
                </c:pt>
                <c:pt idx="251">
                  <c:v>0.757</c:v>
                </c:pt>
                <c:pt idx="252">
                  <c:v>0.758</c:v>
                </c:pt>
                <c:pt idx="253">
                  <c:v>0.759</c:v>
                </c:pt>
                <c:pt idx="254">
                  <c:v>0.76</c:v>
                </c:pt>
                <c:pt idx="255">
                  <c:v>0.761</c:v>
                </c:pt>
                <c:pt idx="256">
                  <c:v>0.762</c:v>
                </c:pt>
                <c:pt idx="257">
                  <c:v>0.763</c:v>
                </c:pt>
                <c:pt idx="258">
                  <c:v>0.764</c:v>
                </c:pt>
                <c:pt idx="259">
                  <c:v>0.765</c:v>
                </c:pt>
                <c:pt idx="260">
                  <c:v>0.766</c:v>
                </c:pt>
                <c:pt idx="261">
                  <c:v>0.767</c:v>
                </c:pt>
                <c:pt idx="262">
                  <c:v>0.768</c:v>
                </c:pt>
                <c:pt idx="263">
                  <c:v>0.769</c:v>
                </c:pt>
                <c:pt idx="264">
                  <c:v>0.77</c:v>
                </c:pt>
                <c:pt idx="265">
                  <c:v>0.771</c:v>
                </c:pt>
                <c:pt idx="266">
                  <c:v>0.772</c:v>
                </c:pt>
                <c:pt idx="267">
                  <c:v>0.773</c:v>
                </c:pt>
                <c:pt idx="268">
                  <c:v>0.774</c:v>
                </c:pt>
                <c:pt idx="269">
                  <c:v>0.775</c:v>
                </c:pt>
                <c:pt idx="270">
                  <c:v>0.776</c:v>
                </c:pt>
                <c:pt idx="271">
                  <c:v>0.777</c:v>
                </c:pt>
                <c:pt idx="272">
                  <c:v>0.778</c:v>
                </c:pt>
                <c:pt idx="273">
                  <c:v>0.779</c:v>
                </c:pt>
                <c:pt idx="274">
                  <c:v>0.78</c:v>
                </c:pt>
                <c:pt idx="275">
                  <c:v>0.781</c:v>
                </c:pt>
                <c:pt idx="276">
                  <c:v>0.782</c:v>
                </c:pt>
                <c:pt idx="277">
                  <c:v>0.783</c:v>
                </c:pt>
                <c:pt idx="278">
                  <c:v>0.784</c:v>
                </c:pt>
                <c:pt idx="279">
                  <c:v>0.785</c:v>
                </c:pt>
                <c:pt idx="280">
                  <c:v>0.786</c:v>
                </c:pt>
                <c:pt idx="281">
                  <c:v>0.787</c:v>
                </c:pt>
                <c:pt idx="282">
                  <c:v>0.788</c:v>
                </c:pt>
                <c:pt idx="283">
                  <c:v>0.789</c:v>
                </c:pt>
                <c:pt idx="284">
                  <c:v>0.791</c:v>
                </c:pt>
                <c:pt idx="285">
                  <c:v>0.792</c:v>
                </c:pt>
                <c:pt idx="286">
                  <c:v>0.793</c:v>
                </c:pt>
                <c:pt idx="287">
                  <c:v>0.794</c:v>
                </c:pt>
                <c:pt idx="288">
                  <c:v>0.795</c:v>
                </c:pt>
                <c:pt idx="289">
                  <c:v>0.796</c:v>
                </c:pt>
                <c:pt idx="290">
                  <c:v>0.797</c:v>
                </c:pt>
                <c:pt idx="291">
                  <c:v>0.798</c:v>
                </c:pt>
                <c:pt idx="292">
                  <c:v>0.799</c:v>
                </c:pt>
                <c:pt idx="293">
                  <c:v>0.8</c:v>
                </c:pt>
                <c:pt idx="294">
                  <c:v>0.801</c:v>
                </c:pt>
                <c:pt idx="295">
                  <c:v>0.802</c:v>
                </c:pt>
                <c:pt idx="296">
                  <c:v>0.803</c:v>
                </c:pt>
                <c:pt idx="297">
                  <c:v>0.804</c:v>
                </c:pt>
                <c:pt idx="298">
                  <c:v>0.805</c:v>
                </c:pt>
                <c:pt idx="299">
                  <c:v>0.806</c:v>
                </c:pt>
                <c:pt idx="300">
                  <c:v>0.807</c:v>
                </c:pt>
                <c:pt idx="301">
                  <c:v>0.808</c:v>
                </c:pt>
                <c:pt idx="302">
                  <c:v>0.81</c:v>
                </c:pt>
                <c:pt idx="303">
                  <c:v>0.811</c:v>
                </c:pt>
                <c:pt idx="304">
                  <c:v>0.812</c:v>
                </c:pt>
                <c:pt idx="305">
                  <c:v>0.813</c:v>
                </c:pt>
                <c:pt idx="306">
                  <c:v>0.814</c:v>
                </c:pt>
                <c:pt idx="307">
                  <c:v>0.815</c:v>
                </c:pt>
                <c:pt idx="308">
                  <c:v>0.816</c:v>
                </c:pt>
                <c:pt idx="309">
                  <c:v>0.817</c:v>
                </c:pt>
                <c:pt idx="310">
                  <c:v>0.818</c:v>
                </c:pt>
                <c:pt idx="311">
                  <c:v>0.819</c:v>
                </c:pt>
                <c:pt idx="312">
                  <c:v>0.82</c:v>
                </c:pt>
                <c:pt idx="313">
                  <c:v>0.822</c:v>
                </c:pt>
                <c:pt idx="314">
                  <c:v>0.823</c:v>
                </c:pt>
                <c:pt idx="315">
                  <c:v>0.824</c:v>
                </c:pt>
                <c:pt idx="316">
                  <c:v>0.826</c:v>
                </c:pt>
                <c:pt idx="317">
                  <c:v>0.827</c:v>
                </c:pt>
                <c:pt idx="318">
                  <c:v>0.828</c:v>
                </c:pt>
                <c:pt idx="319">
                  <c:v>0.829</c:v>
                </c:pt>
                <c:pt idx="320">
                  <c:v>0.83</c:v>
                </c:pt>
                <c:pt idx="321">
                  <c:v>0.831</c:v>
                </c:pt>
                <c:pt idx="322">
                  <c:v>0.834</c:v>
                </c:pt>
                <c:pt idx="323">
                  <c:v>0.836</c:v>
                </c:pt>
                <c:pt idx="324">
                  <c:v>0.839</c:v>
                </c:pt>
                <c:pt idx="325">
                  <c:v>0.84</c:v>
                </c:pt>
                <c:pt idx="326">
                  <c:v>0.842</c:v>
                </c:pt>
                <c:pt idx="327">
                  <c:v>0.843</c:v>
                </c:pt>
                <c:pt idx="328">
                  <c:v>0.844</c:v>
                </c:pt>
                <c:pt idx="329">
                  <c:v>0.845</c:v>
                </c:pt>
                <c:pt idx="330">
                  <c:v>0.847</c:v>
                </c:pt>
                <c:pt idx="331">
                  <c:v>0.848</c:v>
                </c:pt>
                <c:pt idx="332">
                  <c:v>0.849</c:v>
                </c:pt>
                <c:pt idx="333">
                  <c:v>0.85</c:v>
                </c:pt>
                <c:pt idx="334">
                  <c:v>0.851</c:v>
                </c:pt>
                <c:pt idx="335">
                  <c:v>0.853</c:v>
                </c:pt>
                <c:pt idx="336">
                  <c:v>0.855</c:v>
                </c:pt>
                <c:pt idx="337">
                  <c:v>0.856</c:v>
                </c:pt>
                <c:pt idx="338">
                  <c:v>0.857</c:v>
                </c:pt>
                <c:pt idx="339">
                  <c:v>0.859</c:v>
                </c:pt>
                <c:pt idx="340">
                  <c:v>0.861</c:v>
                </c:pt>
                <c:pt idx="341">
                  <c:v>0.862</c:v>
                </c:pt>
                <c:pt idx="342">
                  <c:v>0.863</c:v>
                </c:pt>
                <c:pt idx="343">
                  <c:v>0.864</c:v>
                </c:pt>
                <c:pt idx="344">
                  <c:v>0.865</c:v>
                </c:pt>
                <c:pt idx="345">
                  <c:v>0.866</c:v>
                </c:pt>
                <c:pt idx="346">
                  <c:v>0.868</c:v>
                </c:pt>
                <c:pt idx="347">
                  <c:v>0.87</c:v>
                </c:pt>
                <c:pt idx="348">
                  <c:v>0.871</c:v>
                </c:pt>
                <c:pt idx="349">
                  <c:v>0.872</c:v>
                </c:pt>
                <c:pt idx="350">
                  <c:v>0.873</c:v>
                </c:pt>
                <c:pt idx="351">
                  <c:v>0.874</c:v>
                </c:pt>
                <c:pt idx="352">
                  <c:v>0.875</c:v>
                </c:pt>
                <c:pt idx="353">
                  <c:v>0.876</c:v>
                </c:pt>
                <c:pt idx="354">
                  <c:v>0.877</c:v>
                </c:pt>
                <c:pt idx="355">
                  <c:v>0.878</c:v>
                </c:pt>
                <c:pt idx="356">
                  <c:v>0.879</c:v>
                </c:pt>
                <c:pt idx="357">
                  <c:v>0.88</c:v>
                </c:pt>
                <c:pt idx="358">
                  <c:v>0.883</c:v>
                </c:pt>
                <c:pt idx="359">
                  <c:v>0.884</c:v>
                </c:pt>
                <c:pt idx="360">
                  <c:v>0.885</c:v>
                </c:pt>
                <c:pt idx="361">
                  <c:v>0.886</c:v>
                </c:pt>
                <c:pt idx="362">
                  <c:v>0.887</c:v>
                </c:pt>
                <c:pt idx="363">
                  <c:v>0.888</c:v>
                </c:pt>
                <c:pt idx="364">
                  <c:v>0.889</c:v>
                </c:pt>
                <c:pt idx="365">
                  <c:v>0.89</c:v>
                </c:pt>
                <c:pt idx="366">
                  <c:v>0.891</c:v>
                </c:pt>
                <c:pt idx="367">
                  <c:v>0.892</c:v>
                </c:pt>
                <c:pt idx="368">
                  <c:v>0.893</c:v>
                </c:pt>
                <c:pt idx="369">
                  <c:v>0.894</c:v>
                </c:pt>
                <c:pt idx="370">
                  <c:v>0.895</c:v>
                </c:pt>
                <c:pt idx="371">
                  <c:v>0.896</c:v>
                </c:pt>
                <c:pt idx="372">
                  <c:v>0.897</c:v>
                </c:pt>
                <c:pt idx="373">
                  <c:v>0.898</c:v>
                </c:pt>
                <c:pt idx="374">
                  <c:v>0.899</c:v>
                </c:pt>
                <c:pt idx="375">
                  <c:v>0.9</c:v>
                </c:pt>
                <c:pt idx="376">
                  <c:v>0.901</c:v>
                </c:pt>
                <c:pt idx="377">
                  <c:v>0.905</c:v>
                </c:pt>
                <c:pt idx="378">
                  <c:v>0.906</c:v>
                </c:pt>
                <c:pt idx="379">
                  <c:v>0.907</c:v>
                </c:pt>
                <c:pt idx="380">
                  <c:v>0.91</c:v>
                </c:pt>
                <c:pt idx="381">
                  <c:v>0.911</c:v>
                </c:pt>
                <c:pt idx="382">
                  <c:v>0.912</c:v>
                </c:pt>
                <c:pt idx="383">
                  <c:v>0.913</c:v>
                </c:pt>
                <c:pt idx="384">
                  <c:v>0.915</c:v>
                </c:pt>
                <c:pt idx="385">
                  <c:v>0.917</c:v>
                </c:pt>
                <c:pt idx="386">
                  <c:v>0.918</c:v>
                </c:pt>
                <c:pt idx="387">
                  <c:v>0.92</c:v>
                </c:pt>
                <c:pt idx="388">
                  <c:v>0.921</c:v>
                </c:pt>
                <c:pt idx="389">
                  <c:v>0.922</c:v>
                </c:pt>
                <c:pt idx="390">
                  <c:v>0.923</c:v>
                </c:pt>
                <c:pt idx="391">
                  <c:v>0.924</c:v>
                </c:pt>
                <c:pt idx="392">
                  <c:v>0.925</c:v>
                </c:pt>
                <c:pt idx="393">
                  <c:v>0.928</c:v>
                </c:pt>
                <c:pt idx="394">
                  <c:v>0.932</c:v>
                </c:pt>
                <c:pt idx="395">
                  <c:v>0.934</c:v>
                </c:pt>
                <c:pt idx="396">
                  <c:v>0.935</c:v>
                </c:pt>
                <c:pt idx="397">
                  <c:v>0.937</c:v>
                </c:pt>
                <c:pt idx="398">
                  <c:v>0.938</c:v>
                </c:pt>
                <c:pt idx="399">
                  <c:v>0.939</c:v>
                </c:pt>
                <c:pt idx="400">
                  <c:v>0.94</c:v>
                </c:pt>
                <c:pt idx="401">
                  <c:v>0.941</c:v>
                </c:pt>
                <c:pt idx="402">
                  <c:v>0.944</c:v>
                </c:pt>
                <c:pt idx="403">
                  <c:v>0.945</c:v>
                </c:pt>
                <c:pt idx="404">
                  <c:v>0.946</c:v>
                </c:pt>
                <c:pt idx="405">
                  <c:v>0.949</c:v>
                </c:pt>
                <c:pt idx="406">
                  <c:v>0.95</c:v>
                </c:pt>
                <c:pt idx="407">
                  <c:v>0.954</c:v>
                </c:pt>
                <c:pt idx="408">
                  <c:v>0.96</c:v>
                </c:pt>
                <c:pt idx="409">
                  <c:v>0.961</c:v>
                </c:pt>
                <c:pt idx="410">
                  <c:v>0.964</c:v>
                </c:pt>
                <c:pt idx="411">
                  <c:v>0.965</c:v>
                </c:pt>
                <c:pt idx="412">
                  <c:v>0.971</c:v>
                </c:pt>
                <c:pt idx="413">
                  <c:v>0.974</c:v>
                </c:pt>
                <c:pt idx="414">
                  <c:v>0.977</c:v>
                </c:pt>
                <c:pt idx="415">
                  <c:v>0.978</c:v>
                </c:pt>
                <c:pt idx="416">
                  <c:v>0.98</c:v>
                </c:pt>
              </c:strCache>
            </c:strRef>
          </c:cat>
          <c:val>
            <c:numRef>
              <c:f>Graphs!$E$21:$E$438</c:f>
              <c:numCache>
                <c:formatCode>General</c:formatCode>
                <c:ptCount val="417"/>
                <c:pt idx="0">
                  <c:v>104400</c:v>
                </c:pt>
                <c:pt idx="1">
                  <c:v>105800</c:v>
                </c:pt>
                <c:pt idx="2">
                  <c:v>112</c:v>
                </c:pt>
                <c:pt idx="3">
                  <c:v>148200</c:v>
                </c:pt>
                <c:pt idx="4">
                  <c:v>1500000</c:v>
                </c:pt>
                <c:pt idx="5">
                  <c:v>13300000</c:v>
                </c:pt>
                <c:pt idx="6">
                  <c:v>202500</c:v>
                </c:pt>
                <c:pt idx="7">
                  <c:v>303400</c:v>
                </c:pt>
                <c:pt idx="8">
                  <c:v>97300</c:v>
                </c:pt>
                <c:pt idx="9">
                  <c:v>65900</c:v>
                </c:pt>
                <c:pt idx="10">
                  <c:v>456700</c:v>
                </c:pt>
                <c:pt idx="11">
                  <c:v>6068</c:v>
                </c:pt>
                <c:pt idx="12">
                  <c:v>45100</c:v>
                </c:pt>
                <c:pt idx="13">
                  <c:v>49</c:v>
                </c:pt>
                <c:pt idx="14">
                  <c:v>531900</c:v>
                </c:pt>
                <c:pt idx="15">
                  <c:v>742300</c:v>
                </c:pt>
                <c:pt idx="16">
                  <c:v>2800000</c:v>
                </c:pt>
                <c:pt idx="17">
                  <c:v>12100</c:v>
                </c:pt>
                <c:pt idx="18">
                  <c:v>722400</c:v>
                </c:pt>
                <c:pt idx="19">
                  <c:v>411300</c:v>
                </c:pt>
                <c:pt idx="20">
                  <c:v>177900</c:v>
                </c:pt>
                <c:pt idx="21">
                  <c:v>1500000</c:v>
                </c:pt>
                <c:pt idx="22">
                  <c:v>1302194</c:v>
                </c:pt>
                <c:pt idx="23">
                  <c:v>302</c:v>
                </c:pt>
                <c:pt idx="24">
                  <c:v>766300</c:v>
                </c:pt>
                <c:pt idx="25">
                  <c:v>16300</c:v>
                </c:pt>
                <c:pt idx="26">
                  <c:v>198900</c:v>
                </c:pt>
                <c:pt idx="27">
                  <c:v>1200000</c:v>
                </c:pt>
                <c:pt idx="28">
                  <c:v>231200</c:v>
                </c:pt>
                <c:pt idx="29">
                  <c:v>1000000</c:v>
                </c:pt>
                <c:pt idx="30">
                  <c:v>300</c:v>
                </c:pt>
                <c:pt idx="31">
                  <c:v>638000</c:v>
                </c:pt>
                <c:pt idx="32">
                  <c:v>240900</c:v>
                </c:pt>
                <c:pt idx="33">
                  <c:v>2600000</c:v>
                </c:pt>
                <c:pt idx="34">
                  <c:v>702700</c:v>
                </c:pt>
                <c:pt idx="35">
                  <c:v>1100000</c:v>
                </c:pt>
                <c:pt idx="36">
                  <c:v>17800</c:v>
                </c:pt>
                <c:pt idx="37">
                  <c:v>130200</c:v>
                </c:pt>
                <c:pt idx="38">
                  <c:v>0</c:v>
                </c:pt>
                <c:pt idx="39">
                  <c:v>153500</c:v>
                </c:pt>
                <c:pt idx="40">
                  <c:v>52600</c:v>
                </c:pt>
                <c:pt idx="41">
                  <c:v>2933</c:v>
                </c:pt>
                <c:pt idx="42">
                  <c:v>717600</c:v>
                </c:pt>
                <c:pt idx="43">
                  <c:v>2</c:v>
                </c:pt>
                <c:pt idx="44">
                  <c:v>331</c:v>
                </c:pt>
                <c:pt idx="45">
                  <c:v>103000</c:v>
                </c:pt>
                <c:pt idx="46">
                  <c:v>329100</c:v>
                </c:pt>
                <c:pt idx="47">
                  <c:v>1191</c:v>
                </c:pt>
                <c:pt idx="48">
                  <c:v>296700</c:v>
                </c:pt>
                <c:pt idx="49">
                  <c:v>471400</c:v>
                </c:pt>
                <c:pt idx="50">
                  <c:v>29624</c:v>
                </c:pt>
                <c:pt idx="51">
                  <c:v>1700181</c:v>
                </c:pt>
                <c:pt idx="52">
                  <c:v>502900</c:v>
                </c:pt>
                <c:pt idx="53">
                  <c:v>0</c:v>
                </c:pt>
                <c:pt idx="54">
                  <c:v>472400</c:v>
                </c:pt>
                <c:pt idx="55">
                  <c:v>225900</c:v>
                </c:pt>
                <c:pt idx="56">
                  <c:v>1742200</c:v>
                </c:pt>
                <c:pt idx="57">
                  <c:v>3400000</c:v>
                </c:pt>
                <c:pt idx="58">
                  <c:v>747300</c:v>
                </c:pt>
                <c:pt idx="59">
                  <c:v>3516</c:v>
                </c:pt>
                <c:pt idx="60">
                  <c:v>153</c:v>
                </c:pt>
                <c:pt idx="61">
                  <c:v>577800</c:v>
                </c:pt>
                <c:pt idx="62">
                  <c:v>1200000</c:v>
                </c:pt>
                <c:pt idx="63">
                  <c:v>201</c:v>
                </c:pt>
                <c:pt idx="64">
                  <c:v>23900</c:v>
                </c:pt>
                <c:pt idx="65">
                  <c:v>154600</c:v>
                </c:pt>
                <c:pt idx="66">
                  <c:v>8491</c:v>
                </c:pt>
                <c:pt idx="67">
                  <c:v>863100</c:v>
                </c:pt>
                <c:pt idx="68">
                  <c:v>954800</c:v>
                </c:pt>
                <c:pt idx="69">
                  <c:v>1100000</c:v>
                </c:pt>
                <c:pt idx="70">
                  <c:v>0</c:v>
                </c:pt>
                <c:pt idx="71">
                  <c:v>207100</c:v>
                </c:pt>
                <c:pt idx="72">
                  <c:v>6</c:v>
                </c:pt>
                <c:pt idx="73">
                  <c:v>1400000</c:v>
                </c:pt>
                <c:pt idx="74">
                  <c:v>15000</c:v>
                </c:pt>
                <c:pt idx="75">
                  <c:v>318700</c:v>
                </c:pt>
                <c:pt idx="76">
                  <c:v>0</c:v>
                </c:pt>
                <c:pt idx="77">
                  <c:v>138900</c:v>
                </c:pt>
                <c:pt idx="78">
                  <c:v>0</c:v>
                </c:pt>
                <c:pt idx="79">
                  <c:v>0</c:v>
                </c:pt>
                <c:pt idx="80">
                  <c:v>1215791</c:v>
                </c:pt>
                <c:pt idx="81">
                  <c:v>867877</c:v>
                </c:pt>
                <c:pt idx="82">
                  <c:v>1100000</c:v>
                </c:pt>
                <c:pt idx="83">
                  <c:v>13301</c:v>
                </c:pt>
                <c:pt idx="84">
                  <c:v>167</c:v>
                </c:pt>
                <c:pt idx="85">
                  <c:v>321800</c:v>
                </c:pt>
                <c:pt idx="86">
                  <c:v>1200000</c:v>
                </c:pt>
                <c:pt idx="87">
                  <c:v>0</c:v>
                </c:pt>
                <c:pt idx="88">
                  <c:v>426100</c:v>
                </c:pt>
                <c:pt idx="89">
                  <c:v>0</c:v>
                </c:pt>
                <c:pt idx="90">
                  <c:v>45500</c:v>
                </c:pt>
                <c:pt idx="91">
                  <c:v>0</c:v>
                </c:pt>
                <c:pt idx="92">
                  <c:v>250200</c:v>
                </c:pt>
                <c:pt idx="93">
                  <c:v>126</c:v>
                </c:pt>
                <c:pt idx="94">
                  <c:v>644600</c:v>
                </c:pt>
                <c:pt idx="95">
                  <c:v>170</c:v>
                </c:pt>
                <c:pt idx="96">
                  <c:v>825200</c:v>
                </c:pt>
                <c:pt idx="97">
                  <c:v>1100000</c:v>
                </c:pt>
                <c:pt idx="98">
                  <c:v>3190100</c:v>
                </c:pt>
                <c:pt idx="99">
                  <c:v>637562</c:v>
                </c:pt>
                <c:pt idx="100">
                  <c:v>10998</c:v>
                </c:pt>
                <c:pt idx="101">
                  <c:v>403920</c:v>
                </c:pt>
                <c:pt idx="102">
                  <c:v>378900</c:v>
                </c:pt>
                <c:pt idx="103">
                  <c:v>972201</c:v>
                </c:pt>
                <c:pt idx="104">
                  <c:v>271700</c:v>
                </c:pt>
                <c:pt idx="105">
                  <c:v>5500000</c:v>
                </c:pt>
                <c:pt idx="106">
                  <c:v>134817</c:v>
                </c:pt>
                <c:pt idx="107">
                  <c:v>18600</c:v>
                </c:pt>
                <c:pt idx="108">
                  <c:v>289006</c:v>
                </c:pt>
                <c:pt idx="109">
                  <c:v>849900</c:v>
                </c:pt>
                <c:pt idx="110">
                  <c:v>4653</c:v>
                </c:pt>
                <c:pt idx="111">
                  <c:v>1246700</c:v>
                </c:pt>
                <c:pt idx="112">
                  <c:v>3200010</c:v>
                </c:pt>
                <c:pt idx="113">
                  <c:v>143300</c:v>
                </c:pt>
                <c:pt idx="114">
                  <c:v>5281</c:v>
                </c:pt>
                <c:pt idx="115">
                  <c:v>1361200</c:v>
                </c:pt>
                <c:pt idx="116">
                  <c:v>5028</c:v>
                </c:pt>
                <c:pt idx="117">
                  <c:v>1157530</c:v>
                </c:pt>
                <c:pt idx="118">
                  <c:v>1046100</c:v>
                </c:pt>
                <c:pt idx="119">
                  <c:v>1153621</c:v>
                </c:pt>
                <c:pt idx="120">
                  <c:v>220</c:v>
                </c:pt>
                <c:pt idx="121">
                  <c:v>3396</c:v>
                </c:pt>
                <c:pt idx="122">
                  <c:v>43100</c:v>
                </c:pt>
                <c:pt idx="123">
                  <c:v>137400</c:v>
                </c:pt>
                <c:pt idx="124">
                  <c:v>1501889</c:v>
                </c:pt>
                <c:pt idx="125">
                  <c:v>672200</c:v>
                </c:pt>
                <c:pt idx="126">
                  <c:v>3743880</c:v>
                </c:pt>
                <c:pt idx="127">
                  <c:v>24000</c:v>
                </c:pt>
                <c:pt idx="128">
                  <c:v>11500</c:v>
                </c:pt>
                <c:pt idx="129">
                  <c:v>3</c:v>
                </c:pt>
                <c:pt idx="130">
                  <c:v>542296</c:v>
                </c:pt>
                <c:pt idx="131">
                  <c:v>1093100</c:v>
                </c:pt>
                <c:pt idx="132">
                  <c:v>2830200</c:v>
                </c:pt>
                <c:pt idx="133">
                  <c:v>338015</c:v>
                </c:pt>
                <c:pt idx="134">
                  <c:v>3600000</c:v>
                </c:pt>
                <c:pt idx="135">
                  <c:v>415000</c:v>
                </c:pt>
                <c:pt idx="136">
                  <c:v>15400</c:v>
                </c:pt>
                <c:pt idx="137">
                  <c:v>185700</c:v>
                </c:pt>
                <c:pt idx="138">
                  <c:v>4682</c:v>
                </c:pt>
                <c:pt idx="139">
                  <c:v>0</c:v>
                </c:pt>
                <c:pt idx="140">
                  <c:v>3766500</c:v>
                </c:pt>
                <c:pt idx="141">
                  <c:v>0</c:v>
                </c:pt>
                <c:pt idx="142">
                  <c:v>4</c:v>
                </c:pt>
                <c:pt idx="143">
                  <c:v>0</c:v>
                </c:pt>
                <c:pt idx="144">
                  <c:v>915658</c:v>
                </c:pt>
                <c:pt idx="145">
                  <c:v>522389</c:v>
                </c:pt>
                <c:pt idx="146">
                  <c:v>146900</c:v>
                </c:pt>
                <c:pt idx="147">
                  <c:v>415600</c:v>
                </c:pt>
                <c:pt idx="148">
                  <c:v>21194</c:v>
                </c:pt>
                <c:pt idx="149">
                  <c:v>82700</c:v>
                </c:pt>
                <c:pt idx="150">
                  <c:v>7658368</c:v>
                </c:pt>
                <c:pt idx="151">
                  <c:v>3800000</c:v>
                </c:pt>
                <c:pt idx="152">
                  <c:v>1735000</c:v>
                </c:pt>
                <c:pt idx="153">
                  <c:v>2749100</c:v>
                </c:pt>
                <c:pt idx="154">
                  <c:v>166549</c:v>
                </c:pt>
                <c:pt idx="155">
                  <c:v>1700007</c:v>
                </c:pt>
                <c:pt idx="156">
                  <c:v>170096</c:v>
                </c:pt>
                <c:pt idx="157">
                  <c:v>33128</c:v>
                </c:pt>
                <c:pt idx="158">
                  <c:v>529528</c:v>
                </c:pt>
                <c:pt idx="159">
                  <c:v>19553</c:v>
                </c:pt>
                <c:pt idx="160">
                  <c:v>2621400</c:v>
                </c:pt>
                <c:pt idx="161">
                  <c:v>1617861</c:v>
                </c:pt>
                <c:pt idx="162">
                  <c:v>384723</c:v>
                </c:pt>
                <c:pt idx="163">
                  <c:v>1435</c:v>
                </c:pt>
                <c:pt idx="164">
                  <c:v>355500</c:v>
                </c:pt>
                <c:pt idx="165">
                  <c:v>1056</c:v>
                </c:pt>
                <c:pt idx="166">
                  <c:v>28286</c:v>
                </c:pt>
                <c:pt idx="167">
                  <c:v>51</c:v>
                </c:pt>
                <c:pt idx="168">
                  <c:v>4700000</c:v>
                </c:pt>
                <c:pt idx="169">
                  <c:v>877</c:v>
                </c:pt>
                <c:pt idx="170">
                  <c:v>1</c:v>
                </c:pt>
                <c:pt idx="171">
                  <c:v>729587</c:v>
                </c:pt>
                <c:pt idx="172">
                  <c:v>572</c:v>
                </c:pt>
                <c:pt idx="173">
                  <c:v>1408616</c:v>
                </c:pt>
                <c:pt idx="174">
                  <c:v>32</c:v>
                </c:pt>
                <c:pt idx="175">
                  <c:v>47400</c:v>
                </c:pt>
                <c:pt idx="176">
                  <c:v>8944079</c:v>
                </c:pt>
                <c:pt idx="177">
                  <c:v>8</c:v>
                </c:pt>
                <c:pt idx="178">
                  <c:v>423400</c:v>
                </c:pt>
                <c:pt idx="179">
                  <c:v>1</c:v>
                </c:pt>
                <c:pt idx="180">
                  <c:v>105300</c:v>
                </c:pt>
                <c:pt idx="181">
                  <c:v>120432</c:v>
                </c:pt>
                <c:pt idx="182">
                  <c:v>1937149</c:v>
                </c:pt>
                <c:pt idx="183">
                  <c:v>8935</c:v>
                </c:pt>
                <c:pt idx="184">
                  <c:v>1853912</c:v>
                </c:pt>
                <c:pt idx="185">
                  <c:v>6981664</c:v>
                </c:pt>
                <c:pt idx="186">
                  <c:v>3326262</c:v>
                </c:pt>
                <c:pt idx="187">
                  <c:v>3553500</c:v>
                </c:pt>
                <c:pt idx="188">
                  <c:v>5</c:v>
                </c:pt>
                <c:pt idx="189">
                  <c:v>103</c:v>
                </c:pt>
                <c:pt idx="190">
                  <c:v>5744300</c:v>
                </c:pt>
                <c:pt idx="191">
                  <c:v>984502</c:v>
                </c:pt>
                <c:pt idx="192">
                  <c:v>1</c:v>
                </c:pt>
                <c:pt idx="193">
                  <c:v>149512</c:v>
                </c:pt>
                <c:pt idx="194">
                  <c:v>7509600</c:v>
                </c:pt>
                <c:pt idx="195">
                  <c:v>16019100</c:v>
                </c:pt>
                <c:pt idx="196">
                  <c:v>4200002</c:v>
                </c:pt>
                <c:pt idx="197">
                  <c:v>2338300</c:v>
                </c:pt>
                <c:pt idx="198">
                  <c:v>720300</c:v>
                </c:pt>
                <c:pt idx="199">
                  <c:v>0</c:v>
                </c:pt>
                <c:pt idx="200">
                  <c:v>2600000</c:v>
                </c:pt>
                <c:pt idx="201">
                  <c:v>1498700</c:v>
                </c:pt>
                <c:pt idx="202">
                  <c:v>1158512</c:v>
                </c:pt>
                <c:pt idx="203">
                  <c:v>3400541</c:v>
                </c:pt>
                <c:pt idx="204">
                  <c:v>12200000</c:v>
                </c:pt>
                <c:pt idx="205">
                  <c:v>4125600</c:v>
                </c:pt>
                <c:pt idx="206">
                  <c:v>2316500</c:v>
                </c:pt>
                <c:pt idx="207">
                  <c:v>297551</c:v>
                </c:pt>
                <c:pt idx="208">
                  <c:v>158300</c:v>
                </c:pt>
                <c:pt idx="209">
                  <c:v>20229659</c:v>
                </c:pt>
                <c:pt idx="210">
                  <c:v>525087</c:v>
                </c:pt>
                <c:pt idx="211">
                  <c:v>1000000</c:v>
                </c:pt>
                <c:pt idx="212">
                  <c:v>134201</c:v>
                </c:pt>
                <c:pt idx="213">
                  <c:v>4543400</c:v>
                </c:pt>
                <c:pt idx="214">
                  <c:v>1741900</c:v>
                </c:pt>
                <c:pt idx="215">
                  <c:v>806636</c:v>
                </c:pt>
                <c:pt idx="216">
                  <c:v>97909</c:v>
                </c:pt>
                <c:pt idx="217">
                  <c:v>3</c:v>
                </c:pt>
                <c:pt idx="218">
                  <c:v>115500</c:v>
                </c:pt>
                <c:pt idx="219">
                  <c:v>1100012</c:v>
                </c:pt>
                <c:pt idx="220">
                  <c:v>2587200</c:v>
                </c:pt>
                <c:pt idx="221">
                  <c:v>8200000</c:v>
                </c:pt>
                <c:pt idx="222">
                  <c:v>8288342</c:v>
                </c:pt>
                <c:pt idx="223">
                  <c:v>13703400</c:v>
                </c:pt>
                <c:pt idx="224">
                  <c:v>302500</c:v>
                </c:pt>
                <c:pt idx="225">
                  <c:v>1772900</c:v>
                </c:pt>
                <c:pt idx="226">
                  <c:v>658300</c:v>
                </c:pt>
                <c:pt idx="227">
                  <c:v>1542142</c:v>
                </c:pt>
                <c:pt idx="228">
                  <c:v>937</c:v>
                </c:pt>
                <c:pt idx="229">
                  <c:v>2255635</c:v>
                </c:pt>
                <c:pt idx="230">
                  <c:v>1152</c:v>
                </c:pt>
                <c:pt idx="231">
                  <c:v>41197142</c:v>
                </c:pt>
                <c:pt idx="232">
                  <c:v>1206900</c:v>
                </c:pt>
                <c:pt idx="233">
                  <c:v>3157227</c:v>
                </c:pt>
                <c:pt idx="234">
                  <c:v>2</c:v>
                </c:pt>
                <c:pt idx="235">
                  <c:v>793700</c:v>
                </c:pt>
                <c:pt idx="236">
                  <c:v>15</c:v>
                </c:pt>
                <c:pt idx="237">
                  <c:v>2743400</c:v>
                </c:pt>
                <c:pt idx="238">
                  <c:v>2400138</c:v>
                </c:pt>
                <c:pt idx="239">
                  <c:v>19587601</c:v>
                </c:pt>
                <c:pt idx="240">
                  <c:v>4844276</c:v>
                </c:pt>
                <c:pt idx="241">
                  <c:v>276000</c:v>
                </c:pt>
                <c:pt idx="242">
                  <c:v>163203</c:v>
                </c:pt>
                <c:pt idx="243">
                  <c:v>214400</c:v>
                </c:pt>
                <c:pt idx="244">
                  <c:v>30</c:v>
                </c:pt>
                <c:pt idx="245">
                  <c:v>18100</c:v>
                </c:pt>
                <c:pt idx="246">
                  <c:v>175671</c:v>
                </c:pt>
                <c:pt idx="247">
                  <c:v>615667</c:v>
                </c:pt>
                <c:pt idx="248">
                  <c:v>3087830</c:v>
                </c:pt>
                <c:pt idx="249">
                  <c:v>141600</c:v>
                </c:pt>
                <c:pt idx="250">
                  <c:v>97700</c:v>
                </c:pt>
                <c:pt idx="251">
                  <c:v>27557</c:v>
                </c:pt>
                <c:pt idx="252">
                  <c:v>1288000</c:v>
                </c:pt>
                <c:pt idx="253">
                  <c:v>1709931</c:v>
                </c:pt>
                <c:pt idx="254">
                  <c:v>726900</c:v>
                </c:pt>
                <c:pt idx="255">
                  <c:v>1717400</c:v>
                </c:pt>
                <c:pt idx="256">
                  <c:v>5383700</c:v>
                </c:pt>
                <c:pt idx="257">
                  <c:v>58800</c:v>
                </c:pt>
                <c:pt idx="258">
                  <c:v>2031600</c:v>
                </c:pt>
                <c:pt idx="259">
                  <c:v>132400</c:v>
                </c:pt>
                <c:pt idx="260">
                  <c:v>1762</c:v>
                </c:pt>
                <c:pt idx="261">
                  <c:v>607349</c:v>
                </c:pt>
                <c:pt idx="262">
                  <c:v>9895500</c:v>
                </c:pt>
                <c:pt idx="263">
                  <c:v>1382509</c:v>
                </c:pt>
                <c:pt idx="264">
                  <c:v>2011400</c:v>
                </c:pt>
                <c:pt idx="265">
                  <c:v>1861911</c:v>
                </c:pt>
                <c:pt idx="266">
                  <c:v>1300574</c:v>
                </c:pt>
                <c:pt idx="267">
                  <c:v>28635</c:v>
                </c:pt>
                <c:pt idx="268">
                  <c:v>1200000</c:v>
                </c:pt>
                <c:pt idx="269">
                  <c:v>5420000</c:v>
                </c:pt>
                <c:pt idx="270">
                  <c:v>3613156</c:v>
                </c:pt>
                <c:pt idx="271">
                  <c:v>3523</c:v>
                </c:pt>
                <c:pt idx="272">
                  <c:v>13464100</c:v>
                </c:pt>
                <c:pt idx="273">
                  <c:v>2500000</c:v>
                </c:pt>
                <c:pt idx="274">
                  <c:v>2600000</c:v>
                </c:pt>
                <c:pt idx="275">
                  <c:v>51600</c:v>
                </c:pt>
                <c:pt idx="276">
                  <c:v>2133</c:v>
                </c:pt>
                <c:pt idx="277">
                  <c:v>413</c:v>
                </c:pt>
                <c:pt idx="278">
                  <c:v>2215800</c:v>
                </c:pt>
                <c:pt idx="279">
                  <c:v>6642562</c:v>
                </c:pt>
                <c:pt idx="280">
                  <c:v>2254</c:v>
                </c:pt>
                <c:pt idx="281">
                  <c:v>19600000</c:v>
                </c:pt>
                <c:pt idx="282">
                  <c:v>1000122</c:v>
                </c:pt>
                <c:pt idx="283">
                  <c:v>761400</c:v>
                </c:pt>
                <c:pt idx="284">
                  <c:v>59900</c:v>
                </c:pt>
                <c:pt idx="285">
                  <c:v>7014481</c:v>
                </c:pt>
                <c:pt idx="286">
                  <c:v>266100</c:v>
                </c:pt>
                <c:pt idx="287">
                  <c:v>1838136</c:v>
                </c:pt>
                <c:pt idx="288">
                  <c:v>29</c:v>
                </c:pt>
                <c:pt idx="289">
                  <c:v>23</c:v>
                </c:pt>
                <c:pt idx="290">
                  <c:v>66</c:v>
                </c:pt>
                <c:pt idx="291">
                  <c:v>1670790</c:v>
                </c:pt>
                <c:pt idx="292">
                  <c:v>1790089</c:v>
                </c:pt>
                <c:pt idx="293">
                  <c:v>96800</c:v>
                </c:pt>
                <c:pt idx="294">
                  <c:v>287982</c:v>
                </c:pt>
                <c:pt idx="295">
                  <c:v>16600006</c:v>
                </c:pt>
                <c:pt idx="296">
                  <c:v>1086</c:v>
                </c:pt>
                <c:pt idx="297">
                  <c:v>923100</c:v>
                </c:pt>
                <c:pt idx="298">
                  <c:v>884</c:v>
                </c:pt>
                <c:pt idx="299">
                  <c:v>4902555</c:v>
                </c:pt>
                <c:pt idx="300">
                  <c:v>3300321</c:v>
                </c:pt>
                <c:pt idx="301">
                  <c:v>2200946</c:v>
                </c:pt>
                <c:pt idx="302">
                  <c:v>2788500</c:v>
                </c:pt>
                <c:pt idx="303">
                  <c:v>371100</c:v>
                </c:pt>
                <c:pt idx="304">
                  <c:v>4400088</c:v>
                </c:pt>
                <c:pt idx="305">
                  <c:v>3460200</c:v>
                </c:pt>
                <c:pt idx="306">
                  <c:v>2400120</c:v>
                </c:pt>
                <c:pt idx="307">
                  <c:v>62200</c:v>
                </c:pt>
                <c:pt idx="308">
                  <c:v>1287993</c:v>
                </c:pt>
                <c:pt idx="309">
                  <c:v>11230</c:v>
                </c:pt>
                <c:pt idx="310">
                  <c:v>50</c:v>
                </c:pt>
                <c:pt idx="311">
                  <c:v>1922900</c:v>
                </c:pt>
                <c:pt idx="312">
                  <c:v>2000000</c:v>
                </c:pt>
                <c:pt idx="313">
                  <c:v>385486</c:v>
                </c:pt>
                <c:pt idx="314">
                  <c:v>207200</c:v>
                </c:pt>
                <c:pt idx="315">
                  <c:v>50908600</c:v>
                </c:pt>
                <c:pt idx="316">
                  <c:v>4535600</c:v>
                </c:pt>
                <c:pt idx="317">
                  <c:v>125800</c:v>
                </c:pt>
                <c:pt idx="318">
                  <c:v>122200</c:v>
                </c:pt>
                <c:pt idx="319">
                  <c:v>1774</c:v>
                </c:pt>
                <c:pt idx="320">
                  <c:v>2960900</c:v>
                </c:pt>
                <c:pt idx="321">
                  <c:v>4335427</c:v>
                </c:pt>
                <c:pt idx="322">
                  <c:v>3001000</c:v>
                </c:pt>
                <c:pt idx="323">
                  <c:v>1800000</c:v>
                </c:pt>
                <c:pt idx="324">
                  <c:v>1000319</c:v>
                </c:pt>
                <c:pt idx="325">
                  <c:v>1800000</c:v>
                </c:pt>
                <c:pt idx="326">
                  <c:v>1500003</c:v>
                </c:pt>
                <c:pt idx="327">
                  <c:v>31800151</c:v>
                </c:pt>
                <c:pt idx="328">
                  <c:v>4230200</c:v>
                </c:pt>
                <c:pt idx="329">
                  <c:v>788112</c:v>
                </c:pt>
                <c:pt idx="330">
                  <c:v>18900042</c:v>
                </c:pt>
                <c:pt idx="331">
                  <c:v>220</c:v>
                </c:pt>
                <c:pt idx="332">
                  <c:v>1024200</c:v>
                </c:pt>
                <c:pt idx="333">
                  <c:v>192900</c:v>
                </c:pt>
                <c:pt idx="334">
                  <c:v>142</c:v>
                </c:pt>
                <c:pt idx="335">
                  <c:v>0</c:v>
                </c:pt>
                <c:pt idx="336">
                  <c:v>861700</c:v>
                </c:pt>
                <c:pt idx="337">
                  <c:v>1420</c:v>
                </c:pt>
                <c:pt idx="338">
                  <c:v>18700</c:v>
                </c:pt>
                <c:pt idx="339">
                  <c:v>6686180</c:v>
                </c:pt>
                <c:pt idx="340">
                  <c:v>561707</c:v>
                </c:pt>
                <c:pt idx="341">
                  <c:v>5200000</c:v>
                </c:pt>
                <c:pt idx="342">
                  <c:v>5422135</c:v>
                </c:pt>
                <c:pt idx="343">
                  <c:v>8300000</c:v>
                </c:pt>
                <c:pt idx="344">
                  <c:v>2030</c:v>
                </c:pt>
                <c:pt idx="345">
                  <c:v>846000</c:v>
                </c:pt>
                <c:pt idx="346">
                  <c:v>1885800</c:v>
                </c:pt>
                <c:pt idx="347">
                  <c:v>5933629</c:v>
                </c:pt>
                <c:pt idx="348">
                  <c:v>7</c:v>
                </c:pt>
                <c:pt idx="349">
                  <c:v>154700</c:v>
                </c:pt>
                <c:pt idx="350">
                  <c:v>169000</c:v>
                </c:pt>
                <c:pt idx="351">
                  <c:v>619</c:v>
                </c:pt>
                <c:pt idx="352">
                  <c:v>19700</c:v>
                </c:pt>
                <c:pt idx="353">
                  <c:v>887935</c:v>
                </c:pt>
                <c:pt idx="354">
                  <c:v>4107096</c:v>
                </c:pt>
                <c:pt idx="355">
                  <c:v>1712000</c:v>
                </c:pt>
                <c:pt idx="356">
                  <c:v>18710</c:v>
                </c:pt>
                <c:pt idx="357">
                  <c:v>16100830</c:v>
                </c:pt>
                <c:pt idx="358">
                  <c:v>1169864</c:v>
                </c:pt>
                <c:pt idx="359">
                  <c:v>16800</c:v>
                </c:pt>
                <c:pt idx="360">
                  <c:v>1800000</c:v>
                </c:pt>
                <c:pt idx="361">
                  <c:v>14804284</c:v>
                </c:pt>
                <c:pt idx="362">
                  <c:v>129900</c:v>
                </c:pt>
                <c:pt idx="363">
                  <c:v>10600000</c:v>
                </c:pt>
                <c:pt idx="364">
                  <c:v>1900000</c:v>
                </c:pt>
                <c:pt idx="365">
                  <c:v>919</c:v>
                </c:pt>
                <c:pt idx="366">
                  <c:v>747400</c:v>
                </c:pt>
                <c:pt idx="367">
                  <c:v>75500</c:v>
                </c:pt>
                <c:pt idx="368">
                  <c:v>1024600</c:v>
                </c:pt>
                <c:pt idx="369">
                  <c:v>335</c:v>
                </c:pt>
                <c:pt idx="370">
                  <c:v>391800</c:v>
                </c:pt>
                <c:pt idx="371">
                  <c:v>5681500</c:v>
                </c:pt>
                <c:pt idx="372">
                  <c:v>3600000</c:v>
                </c:pt>
                <c:pt idx="373">
                  <c:v>406617</c:v>
                </c:pt>
                <c:pt idx="374">
                  <c:v>1100000</c:v>
                </c:pt>
                <c:pt idx="375">
                  <c:v>12700</c:v>
                </c:pt>
                <c:pt idx="376">
                  <c:v>83097</c:v>
                </c:pt>
                <c:pt idx="377">
                  <c:v>524600</c:v>
                </c:pt>
                <c:pt idx="378">
                  <c:v>841900</c:v>
                </c:pt>
                <c:pt idx="379">
                  <c:v>3587600</c:v>
                </c:pt>
                <c:pt idx="380">
                  <c:v>812000</c:v>
                </c:pt>
                <c:pt idx="381">
                  <c:v>246000</c:v>
                </c:pt>
                <c:pt idx="382">
                  <c:v>1253100</c:v>
                </c:pt>
                <c:pt idx="383">
                  <c:v>350895</c:v>
                </c:pt>
                <c:pt idx="384">
                  <c:v>16400554</c:v>
                </c:pt>
                <c:pt idx="385">
                  <c:v>29700</c:v>
                </c:pt>
                <c:pt idx="386">
                  <c:v>3619200</c:v>
                </c:pt>
                <c:pt idx="387">
                  <c:v>377</c:v>
                </c:pt>
                <c:pt idx="388">
                  <c:v>616300</c:v>
                </c:pt>
                <c:pt idx="389">
                  <c:v>1700000</c:v>
                </c:pt>
                <c:pt idx="390">
                  <c:v>506700</c:v>
                </c:pt>
                <c:pt idx="391">
                  <c:v>1765400</c:v>
                </c:pt>
                <c:pt idx="392">
                  <c:v>382440</c:v>
                </c:pt>
                <c:pt idx="393">
                  <c:v>297000</c:v>
                </c:pt>
                <c:pt idx="394">
                  <c:v>36000</c:v>
                </c:pt>
                <c:pt idx="395">
                  <c:v>2363600</c:v>
                </c:pt>
                <c:pt idx="396">
                  <c:v>4963455</c:v>
                </c:pt>
                <c:pt idx="397">
                  <c:v>9213</c:v>
                </c:pt>
                <c:pt idx="398">
                  <c:v>129200</c:v>
                </c:pt>
                <c:pt idx="399">
                  <c:v>2400000</c:v>
                </c:pt>
                <c:pt idx="400">
                  <c:v>13800</c:v>
                </c:pt>
                <c:pt idx="401">
                  <c:v>1400000</c:v>
                </c:pt>
                <c:pt idx="402">
                  <c:v>16300</c:v>
                </c:pt>
                <c:pt idx="403">
                  <c:v>7930</c:v>
                </c:pt>
                <c:pt idx="404">
                  <c:v>665900</c:v>
                </c:pt>
                <c:pt idx="405">
                  <c:v>2059</c:v>
                </c:pt>
                <c:pt idx="406">
                  <c:v>2680300</c:v>
                </c:pt>
                <c:pt idx="407">
                  <c:v>5600000</c:v>
                </c:pt>
                <c:pt idx="408">
                  <c:v>1800000</c:v>
                </c:pt>
                <c:pt idx="409">
                  <c:v>289000</c:v>
                </c:pt>
                <c:pt idx="410">
                  <c:v>1400000</c:v>
                </c:pt>
                <c:pt idx="411">
                  <c:v>1646000</c:v>
                </c:pt>
                <c:pt idx="412">
                  <c:v>404000</c:v>
                </c:pt>
                <c:pt idx="413">
                  <c:v>2000000</c:v>
                </c:pt>
                <c:pt idx="414">
                  <c:v>9924</c:v>
                </c:pt>
                <c:pt idx="415">
                  <c:v>10600</c:v>
                </c:pt>
                <c:pt idx="416">
                  <c:v>1300000</c:v>
                </c:pt>
              </c:numCache>
            </c:numRef>
          </c:val>
          <c:extLst>
            <c:ext xmlns:c16="http://schemas.microsoft.com/office/drawing/2014/chart" uri="{C3380CC4-5D6E-409C-BE32-E72D297353CC}">
              <c16:uniqueId val="{00000000-1D82-4603-A887-80413ECB15D1}"/>
            </c:ext>
          </c:extLst>
        </c:ser>
        <c:dLbls>
          <c:showLegendKey val="0"/>
          <c:showVal val="0"/>
          <c:showCatName val="0"/>
          <c:showSerName val="0"/>
          <c:showPercent val="0"/>
          <c:showBubbleSize val="0"/>
        </c:dLbls>
        <c:gapWidth val="219"/>
        <c:axId val="1490487888"/>
        <c:axId val="388127872"/>
      </c:barChart>
      <c:catAx>
        <c:axId val="1490487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127872"/>
        <c:crosses val="autoZero"/>
        <c:auto val="1"/>
        <c:lblAlgn val="ctr"/>
        <c:lblOffset val="100"/>
        <c:noMultiLvlLbl val="0"/>
      </c:catAx>
      <c:valAx>
        <c:axId val="388127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48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(4).xlsm]Graphs!PivotTable13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Graphs!$H$20</c:f>
              <c:strCache>
                <c:ptCount val="1"/>
                <c:pt idx="0">
                  <c:v>Total</c:v>
                </c:pt>
              </c:strCache>
            </c:strRef>
          </c:tx>
          <c:spPr>
            <a:solidFill>
              <a:schemeClr val="accent1"/>
            </a:solidFill>
            <a:ln>
              <a:noFill/>
            </a:ln>
            <a:effectLst/>
          </c:spPr>
          <c:invertIfNegative val="0"/>
          <c:cat>
            <c:strRef>
              <c:f>Graphs!$G$21:$G$471</c:f>
              <c:strCache>
                <c:ptCount val="450"/>
                <c:pt idx="0">
                  <c:v>0.0458</c:v>
                </c:pt>
                <c:pt idx="1">
                  <c:v>0.127</c:v>
                </c:pt>
                <c:pt idx="2">
                  <c:v>0.132</c:v>
                </c:pt>
                <c:pt idx="3">
                  <c:v>0.151</c:v>
                </c:pt>
                <c:pt idx="4">
                  <c:v>0.168</c:v>
                </c:pt>
                <c:pt idx="5">
                  <c:v>0.184</c:v>
                </c:pt>
                <c:pt idx="6">
                  <c:v>0.211</c:v>
                </c:pt>
                <c:pt idx="7">
                  <c:v>0.214</c:v>
                </c:pt>
                <c:pt idx="8">
                  <c:v>0.225</c:v>
                </c:pt>
                <c:pt idx="9">
                  <c:v>0.234</c:v>
                </c:pt>
                <c:pt idx="10">
                  <c:v>0.26</c:v>
                </c:pt>
                <c:pt idx="11">
                  <c:v>0.269</c:v>
                </c:pt>
                <c:pt idx="12">
                  <c:v>0.273</c:v>
                </c:pt>
                <c:pt idx="13">
                  <c:v>0.276</c:v>
                </c:pt>
                <c:pt idx="14">
                  <c:v>0.279</c:v>
                </c:pt>
                <c:pt idx="15">
                  <c:v>0.283</c:v>
                </c:pt>
                <c:pt idx="16">
                  <c:v>0.291</c:v>
                </c:pt>
                <c:pt idx="17">
                  <c:v>0.296</c:v>
                </c:pt>
                <c:pt idx="18">
                  <c:v>0.298</c:v>
                </c:pt>
                <c:pt idx="19">
                  <c:v>0.301</c:v>
                </c:pt>
                <c:pt idx="20">
                  <c:v>0.305</c:v>
                </c:pt>
                <c:pt idx="21">
                  <c:v>0.312</c:v>
                </c:pt>
                <c:pt idx="22">
                  <c:v>0.316</c:v>
                </c:pt>
                <c:pt idx="23">
                  <c:v>0.317</c:v>
                </c:pt>
                <c:pt idx="24">
                  <c:v>0.32</c:v>
                </c:pt>
                <c:pt idx="25">
                  <c:v>0.321</c:v>
                </c:pt>
                <c:pt idx="26">
                  <c:v>0.325</c:v>
                </c:pt>
                <c:pt idx="27">
                  <c:v>0.332</c:v>
                </c:pt>
                <c:pt idx="28">
                  <c:v>0.335</c:v>
                </c:pt>
                <c:pt idx="29">
                  <c:v>0.337</c:v>
                </c:pt>
                <c:pt idx="30">
                  <c:v>0.338</c:v>
                </c:pt>
                <c:pt idx="31">
                  <c:v>0.34</c:v>
                </c:pt>
                <c:pt idx="32">
                  <c:v>0.349</c:v>
                </c:pt>
                <c:pt idx="33">
                  <c:v>0.353</c:v>
                </c:pt>
                <c:pt idx="34">
                  <c:v>0.354</c:v>
                </c:pt>
                <c:pt idx="35">
                  <c:v>0.355</c:v>
                </c:pt>
                <c:pt idx="36">
                  <c:v>0.358</c:v>
                </c:pt>
                <c:pt idx="37">
                  <c:v>0.363</c:v>
                </c:pt>
                <c:pt idx="38">
                  <c:v>0.365</c:v>
                </c:pt>
                <c:pt idx="39">
                  <c:v>0.366</c:v>
                </c:pt>
                <c:pt idx="40">
                  <c:v>0.371</c:v>
                </c:pt>
                <c:pt idx="41">
                  <c:v>0.372</c:v>
                </c:pt>
                <c:pt idx="42">
                  <c:v>0.373</c:v>
                </c:pt>
                <c:pt idx="43">
                  <c:v>0.375</c:v>
                </c:pt>
                <c:pt idx="44">
                  <c:v>0.385</c:v>
                </c:pt>
                <c:pt idx="45">
                  <c:v>0.386</c:v>
                </c:pt>
                <c:pt idx="46">
                  <c:v>0.388</c:v>
                </c:pt>
                <c:pt idx="47">
                  <c:v>0.39</c:v>
                </c:pt>
                <c:pt idx="48">
                  <c:v>0.391</c:v>
                </c:pt>
                <c:pt idx="49">
                  <c:v>0.392</c:v>
                </c:pt>
                <c:pt idx="50">
                  <c:v>0.393</c:v>
                </c:pt>
                <c:pt idx="51">
                  <c:v>0.394</c:v>
                </c:pt>
                <c:pt idx="52">
                  <c:v>0.397</c:v>
                </c:pt>
                <c:pt idx="53">
                  <c:v>0.399</c:v>
                </c:pt>
                <c:pt idx="54">
                  <c:v>0.401</c:v>
                </c:pt>
                <c:pt idx="55">
                  <c:v>0.402</c:v>
                </c:pt>
                <c:pt idx="56">
                  <c:v>0.403</c:v>
                </c:pt>
                <c:pt idx="57">
                  <c:v>0.404</c:v>
                </c:pt>
                <c:pt idx="58">
                  <c:v>0.405</c:v>
                </c:pt>
                <c:pt idx="59">
                  <c:v>0.406</c:v>
                </c:pt>
                <c:pt idx="60">
                  <c:v>0.407</c:v>
                </c:pt>
                <c:pt idx="61">
                  <c:v>0.408</c:v>
                </c:pt>
                <c:pt idx="62">
                  <c:v>0.412</c:v>
                </c:pt>
                <c:pt idx="63">
                  <c:v>0.413</c:v>
                </c:pt>
                <c:pt idx="64">
                  <c:v>0.414</c:v>
                </c:pt>
                <c:pt idx="65">
                  <c:v>0.415</c:v>
                </c:pt>
                <c:pt idx="66">
                  <c:v>0.416</c:v>
                </c:pt>
                <c:pt idx="67">
                  <c:v>0.417</c:v>
                </c:pt>
                <c:pt idx="68">
                  <c:v>0.419</c:v>
                </c:pt>
                <c:pt idx="69">
                  <c:v>0.422</c:v>
                </c:pt>
                <c:pt idx="70">
                  <c:v>0.423</c:v>
                </c:pt>
                <c:pt idx="71">
                  <c:v>0.424</c:v>
                </c:pt>
                <c:pt idx="72">
                  <c:v>0.425</c:v>
                </c:pt>
                <c:pt idx="73">
                  <c:v>0.426</c:v>
                </c:pt>
                <c:pt idx="74">
                  <c:v>0.427</c:v>
                </c:pt>
                <c:pt idx="75">
                  <c:v>0.429</c:v>
                </c:pt>
                <c:pt idx="76">
                  <c:v>0.43</c:v>
                </c:pt>
                <c:pt idx="77">
                  <c:v>0.431</c:v>
                </c:pt>
                <c:pt idx="78">
                  <c:v>0.432</c:v>
                </c:pt>
                <c:pt idx="79">
                  <c:v>0.433</c:v>
                </c:pt>
                <c:pt idx="80">
                  <c:v>0.434</c:v>
                </c:pt>
                <c:pt idx="81">
                  <c:v>0.436</c:v>
                </c:pt>
                <c:pt idx="82">
                  <c:v>0.438</c:v>
                </c:pt>
                <c:pt idx="83">
                  <c:v>0.439</c:v>
                </c:pt>
                <c:pt idx="84">
                  <c:v>0.441</c:v>
                </c:pt>
                <c:pt idx="85">
                  <c:v>0.443</c:v>
                </c:pt>
                <c:pt idx="86">
                  <c:v>0.444</c:v>
                </c:pt>
                <c:pt idx="87">
                  <c:v>0.445</c:v>
                </c:pt>
                <c:pt idx="88">
                  <c:v>0.446</c:v>
                </c:pt>
                <c:pt idx="89">
                  <c:v>0.447</c:v>
                </c:pt>
                <c:pt idx="90">
                  <c:v>0.45</c:v>
                </c:pt>
                <c:pt idx="91">
                  <c:v>0.451</c:v>
                </c:pt>
                <c:pt idx="92">
                  <c:v>0.454</c:v>
                </c:pt>
                <c:pt idx="93">
                  <c:v>0.456</c:v>
                </c:pt>
                <c:pt idx="94">
                  <c:v>0.457</c:v>
                </c:pt>
                <c:pt idx="95">
                  <c:v>0.459</c:v>
                </c:pt>
                <c:pt idx="96">
                  <c:v>0.461</c:v>
                </c:pt>
                <c:pt idx="97">
                  <c:v>0.463</c:v>
                </c:pt>
                <c:pt idx="98">
                  <c:v>0.464</c:v>
                </c:pt>
                <c:pt idx="99">
                  <c:v>0.465</c:v>
                </c:pt>
                <c:pt idx="100">
                  <c:v>0.468</c:v>
                </c:pt>
                <c:pt idx="101">
                  <c:v>0.469</c:v>
                </c:pt>
                <c:pt idx="102">
                  <c:v>0.47</c:v>
                </c:pt>
                <c:pt idx="103">
                  <c:v>0.471</c:v>
                </c:pt>
                <c:pt idx="104">
                  <c:v>0.472</c:v>
                </c:pt>
                <c:pt idx="105">
                  <c:v>0.473</c:v>
                </c:pt>
                <c:pt idx="106">
                  <c:v>0.475</c:v>
                </c:pt>
                <c:pt idx="107">
                  <c:v>0.477</c:v>
                </c:pt>
                <c:pt idx="108">
                  <c:v>0.479</c:v>
                </c:pt>
                <c:pt idx="109">
                  <c:v>0.481</c:v>
                </c:pt>
                <c:pt idx="110">
                  <c:v>0.484</c:v>
                </c:pt>
                <c:pt idx="111">
                  <c:v>0.486</c:v>
                </c:pt>
                <c:pt idx="112">
                  <c:v>0.487</c:v>
                </c:pt>
                <c:pt idx="113">
                  <c:v>0.488</c:v>
                </c:pt>
                <c:pt idx="114">
                  <c:v>0.489</c:v>
                </c:pt>
                <c:pt idx="115">
                  <c:v>0.49</c:v>
                </c:pt>
                <c:pt idx="116">
                  <c:v>0.491</c:v>
                </c:pt>
                <c:pt idx="117">
                  <c:v>0.492</c:v>
                </c:pt>
                <c:pt idx="118">
                  <c:v>0.493</c:v>
                </c:pt>
                <c:pt idx="119">
                  <c:v>0.494</c:v>
                </c:pt>
                <c:pt idx="120">
                  <c:v>0.495</c:v>
                </c:pt>
                <c:pt idx="121">
                  <c:v>0.496</c:v>
                </c:pt>
                <c:pt idx="122">
                  <c:v>0.498</c:v>
                </c:pt>
                <c:pt idx="123">
                  <c:v>0.499</c:v>
                </c:pt>
                <c:pt idx="124">
                  <c:v>0.5</c:v>
                </c:pt>
                <c:pt idx="125">
                  <c:v>0.501</c:v>
                </c:pt>
                <c:pt idx="126">
                  <c:v>0.503</c:v>
                </c:pt>
                <c:pt idx="127">
                  <c:v>0.505</c:v>
                </c:pt>
                <c:pt idx="128">
                  <c:v>0.508</c:v>
                </c:pt>
                <c:pt idx="129">
                  <c:v>0.509</c:v>
                </c:pt>
                <c:pt idx="130">
                  <c:v>0.511</c:v>
                </c:pt>
                <c:pt idx="131">
                  <c:v>0.512</c:v>
                </c:pt>
                <c:pt idx="132">
                  <c:v>0.513</c:v>
                </c:pt>
                <c:pt idx="133">
                  <c:v>0.516</c:v>
                </c:pt>
                <c:pt idx="134">
                  <c:v>0.518</c:v>
                </c:pt>
                <c:pt idx="135">
                  <c:v>0.519</c:v>
                </c:pt>
                <c:pt idx="136">
                  <c:v>0.521</c:v>
                </c:pt>
                <c:pt idx="137">
                  <c:v>0.522</c:v>
                </c:pt>
                <c:pt idx="138">
                  <c:v>0.523</c:v>
                </c:pt>
                <c:pt idx="139">
                  <c:v>0.524</c:v>
                </c:pt>
                <c:pt idx="140">
                  <c:v>0.525</c:v>
                </c:pt>
                <c:pt idx="141">
                  <c:v>0.526</c:v>
                </c:pt>
                <c:pt idx="142">
                  <c:v>0.527</c:v>
                </c:pt>
                <c:pt idx="143">
                  <c:v>0.528</c:v>
                </c:pt>
                <c:pt idx="144">
                  <c:v>0.529</c:v>
                </c:pt>
                <c:pt idx="145">
                  <c:v>0.53</c:v>
                </c:pt>
                <c:pt idx="146">
                  <c:v>0.531</c:v>
                </c:pt>
                <c:pt idx="147">
                  <c:v>0.532</c:v>
                </c:pt>
                <c:pt idx="148">
                  <c:v>0.535</c:v>
                </c:pt>
                <c:pt idx="149">
                  <c:v>0.536</c:v>
                </c:pt>
                <c:pt idx="150">
                  <c:v>0.537</c:v>
                </c:pt>
                <c:pt idx="151">
                  <c:v>0.538</c:v>
                </c:pt>
                <c:pt idx="152">
                  <c:v>0.539</c:v>
                </c:pt>
                <c:pt idx="153">
                  <c:v>0.54</c:v>
                </c:pt>
                <c:pt idx="154">
                  <c:v>0.541</c:v>
                </c:pt>
                <c:pt idx="155">
                  <c:v>0.542</c:v>
                </c:pt>
                <c:pt idx="156">
                  <c:v>0.543</c:v>
                </c:pt>
                <c:pt idx="157">
                  <c:v>0.544</c:v>
                </c:pt>
                <c:pt idx="158">
                  <c:v>0.546</c:v>
                </c:pt>
                <c:pt idx="159">
                  <c:v>0.547</c:v>
                </c:pt>
                <c:pt idx="160">
                  <c:v>0.548</c:v>
                </c:pt>
                <c:pt idx="161">
                  <c:v>0.552</c:v>
                </c:pt>
                <c:pt idx="162">
                  <c:v>0.553</c:v>
                </c:pt>
                <c:pt idx="163">
                  <c:v>0.554</c:v>
                </c:pt>
                <c:pt idx="164">
                  <c:v>0.555</c:v>
                </c:pt>
                <c:pt idx="165">
                  <c:v>0.556</c:v>
                </c:pt>
                <c:pt idx="166">
                  <c:v>0.558</c:v>
                </c:pt>
                <c:pt idx="167">
                  <c:v>0.559</c:v>
                </c:pt>
                <c:pt idx="168">
                  <c:v>0.561</c:v>
                </c:pt>
                <c:pt idx="169">
                  <c:v>0.563</c:v>
                </c:pt>
                <c:pt idx="170">
                  <c:v>0.564</c:v>
                </c:pt>
                <c:pt idx="171">
                  <c:v>0.568</c:v>
                </c:pt>
                <c:pt idx="172">
                  <c:v>0.573</c:v>
                </c:pt>
                <c:pt idx="173">
                  <c:v>0.574</c:v>
                </c:pt>
                <c:pt idx="174">
                  <c:v>0.575</c:v>
                </c:pt>
                <c:pt idx="175">
                  <c:v>0.576</c:v>
                </c:pt>
                <c:pt idx="176">
                  <c:v>0.577</c:v>
                </c:pt>
                <c:pt idx="177">
                  <c:v>0.578</c:v>
                </c:pt>
                <c:pt idx="178">
                  <c:v>0.579</c:v>
                </c:pt>
                <c:pt idx="179">
                  <c:v>0.58</c:v>
                </c:pt>
                <c:pt idx="180">
                  <c:v>0.581</c:v>
                </c:pt>
                <c:pt idx="181">
                  <c:v>0.582</c:v>
                </c:pt>
                <c:pt idx="182">
                  <c:v>0.583</c:v>
                </c:pt>
                <c:pt idx="183">
                  <c:v>0.585</c:v>
                </c:pt>
                <c:pt idx="184">
                  <c:v>0.586</c:v>
                </c:pt>
                <c:pt idx="185">
                  <c:v>0.588</c:v>
                </c:pt>
                <c:pt idx="186">
                  <c:v>0.589</c:v>
                </c:pt>
                <c:pt idx="187">
                  <c:v>0.59</c:v>
                </c:pt>
                <c:pt idx="188">
                  <c:v>0.591</c:v>
                </c:pt>
                <c:pt idx="189">
                  <c:v>0.592</c:v>
                </c:pt>
                <c:pt idx="190">
                  <c:v>0.594</c:v>
                </c:pt>
                <c:pt idx="191">
                  <c:v>0.595</c:v>
                </c:pt>
                <c:pt idx="192">
                  <c:v>0.597</c:v>
                </c:pt>
                <c:pt idx="193">
                  <c:v>0.599</c:v>
                </c:pt>
                <c:pt idx="194">
                  <c:v>0.601</c:v>
                </c:pt>
                <c:pt idx="195">
                  <c:v>0.602</c:v>
                </c:pt>
                <c:pt idx="196">
                  <c:v>0.603</c:v>
                </c:pt>
                <c:pt idx="197">
                  <c:v>0.604</c:v>
                </c:pt>
                <c:pt idx="198">
                  <c:v>0.605</c:v>
                </c:pt>
                <c:pt idx="199">
                  <c:v>0.607</c:v>
                </c:pt>
                <c:pt idx="200">
                  <c:v>0.609</c:v>
                </c:pt>
                <c:pt idx="201">
                  <c:v>0.61</c:v>
                </c:pt>
                <c:pt idx="202">
                  <c:v>0.611</c:v>
                </c:pt>
                <c:pt idx="203">
                  <c:v>0.612</c:v>
                </c:pt>
                <c:pt idx="204">
                  <c:v>0.613</c:v>
                </c:pt>
                <c:pt idx="205">
                  <c:v>0.614</c:v>
                </c:pt>
                <c:pt idx="206">
                  <c:v>0.615</c:v>
                </c:pt>
                <c:pt idx="207">
                  <c:v>0.616</c:v>
                </c:pt>
                <c:pt idx="208">
                  <c:v>0.617</c:v>
                </c:pt>
                <c:pt idx="209">
                  <c:v>0.618</c:v>
                </c:pt>
                <c:pt idx="210">
                  <c:v>0.62</c:v>
                </c:pt>
                <c:pt idx="211">
                  <c:v>0.621</c:v>
                </c:pt>
                <c:pt idx="212">
                  <c:v>0.624</c:v>
                </c:pt>
                <c:pt idx="213">
                  <c:v>0.626</c:v>
                </c:pt>
                <c:pt idx="214">
                  <c:v>0.627</c:v>
                </c:pt>
                <c:pt idx="215">
                  <c:v>0.628</c:v>
                </c:pt>
                <c:pt idx="216">
                  <c:v>0.63</c:v>
                </c:pt>
                <c:pt idx="217">
                  <c:v>0.631</c:v>
                </c:pt>
                <c:pt idx="218">
                  <c:v>0.632</c:v>
                </c:pt>
                <c:pt idx="219">
                  <c:v>0.633</c:v>
                </c:pt>
                <c:pt idx="220">
                  <c:v>0.634</c:v>
                </c:pt>
                <c:pt idx="221">
                  <c:v>0.635</c:v>
                </c:pt>
                <c:pt idx="222">
                  <c:v>0.636</c:v>
                </c:pt>
                <c:pt idx="223">
                  <c:v>0.637</c:v>
                </c:pt>
                <c:pt idx="224">
                  <c:v>0.638</c:v>
                </c:pt>
                <c:pt idx="225">
                  <c:v>0.639</c:v>
                </c:pt>
                <c:pt idx="226">
                  <c:v>0.64</c:v>
                </c:pt>
                <c:pt idx="227">
                  <c:v>0.641</c:v>
                </c:pt>
                <c:pt idx="228">
                  <c:v>0.642</c:v>
                </c:pt>
                <c:pt idx="229">
                  <c:v>0.643</c:v>
                </c:pt>
                <c:pt idx="230">
                  <c:v>0.644</c:v>
                </c:pt>
                <c:pt idx="231">
                  <c:v>0.648</c:v>
                </c:pt>
                <c:pt idx="232">
                  <c:v>0.649</c:v>
                </c:pt>
                <c:pt idx="233">
                  <c:v>0.65</c:v>
                </c:pt>
                <c:pt idx="234">
                  <c:v>0.652</c:v>
                </c:pt>
                <c:pt idx="235">
                  <c:v>0.653</c:v>
                </c:pt>
                <c:pt idx="236">
                  <c:v>0.654</c:v>
                </c:pt>
                <c:pt idx="237">
                  <c:v>0.655</c:v>
                </c:pt>
                <c:pt idx="238">
                  <c:v>0.656</c:v>
                </c:pt>
                <c:pt idx="239">
                  <c:v>0.657</c:v>
                </c:pt>
                <c:pt idx="240">
                  <c:v>0.658</c:v>
                </c:pt>
                <c:pt idx="241">
                  <c:v>0.659</c:v>
                </c:pt>
                <c:pt idx="242">
                  <c:v>0.66</c:v>
                </c:pt>
                <c:pt idx="243">
                  <c:v>0.661</c:v>
                </c:pt>
                <c:pt idx="244">
                  <c:v>0.663</c:v>
                </c:pt>
                <c:pt idx="245">
                  <c:v>0.664</c:v>
                </c:pt>
                <c:pt idx="246">
                  <c:v>0.665</c:v>
                </c:pt>
                <c:pt idx="247">
                  <c:v>0.666</c:v>
                </c:pt>
                <c:pt idx="248">
                  <c:v>0.667</c:v>
                </c:pt>
                <c:pt idx="249">
                  <c:v>0.668</c:v>
                </c:pt>
                <c:pt idx="250">
                  <c:v>0.669</c:v>
                </c:pt>
                <c:pt idx="251">
                  <c:v>0.67</c:v>
                </c:pt>
                <c:pt idx="252">
                  <c:v>0.671</c:v>
                </c:pt>
                <c:pt idx="253">
                  <c:v>0.673</c:v>
                </c:pt>
                <c:pt idx="254">
                  <c:v>0.674</c:v>
                </c:pt>
                <c:pt idx="255">
                  <c:v>0.675</c:v>
                </c:pt>
                <c:pt idx="256">
                  <c:v>0.676</c:v>
                </c:pt>
                <c:pt idx="257">
                  <c:v>0.677</c:v>
                </c:pt>
                <c:pt idx="258">
                  <c:v>0.678</c:v>
                </c:pt>
                <c:pt idx="259">
                  <c:v>0.679</c:v>
                </c:pt>
                <c:pt idx="260">
                  <c:v>0.68</c:v>
                </c:pt>
                <c:pt idx="261">
                  <c:v>0.681</c:v>
                </c:pt>
                <c:pt idx="262">
                  <c:v>0.682</c:v>
                </c:pt>
                <c:pt idx="263">
                  <c:v>0.683</c:v>
                </c:pt>
                <c:pt idx="264">
                  <c:v>0.685</c:v>
                </c:pt>
                <c:pt idx="265">
                  <c:v>0.687</c:v>
                </c:pt>
                <c:pt idx="266">
                  <c:v>0.688</c:v>
                </c:pt>
                <c:pt idx="267">
                  <c:v>0.689</c:v>
                </c:pt>
                <c:pt idx="268">
                  <c:v>0.69</c:v>
                </c:pt>
                <c:pt idx="269">
                  <c:v>0.691</c:v>
                </c:pt>
                <c:pt idx="270">
                  <c:v>0.692</c:v>
                </c:pt>
                <c:pt idx="271">
                  <c:v>0.693</c:v>
                </c:pt>
                <c:pt idx="272">
                  <c:v>0.694</c:v>
                </c:pt>
                <c:pt idx="273">
                  <c:v>0.695</c:v>
                </c:pt>
                <c:pt idx="274">
                  <c:v>0.696</c:v>
                </c:pt>
                <c:pt idx="275">
                  <c:v>0.697</c:v>
                </c:pt>
                <c:pt idx="276">
                  <c:v>0.698</c:v>
                </c:pt>
                <c:pt idx="277">
                  <c:v>0.7</c:v>
                </c:pt>
                <c:pt idx="278">
                  <c:v>0.701</c:v>
                </c:pt>
                <c:pt idx="279">
                  <c:v>0.703</c:v>
                </c:pt>
                <c:pt idx="280">
                  <c:v>0.704</c:v>
                </c:pt>
                <c:pt idx="281">
                  <c:v>0.705</c:v>
                </c:pt>
                <c:pt idx="282">
                  <c:v>0.706</c:v>
                </c:pt>
                <c:pt idx="283">
                  <c:v>0.707</c:v>
                </c:pt>
                <c:pt idx="284">
                  <c:v>0.71</c:v>
                </c:pt>
                <c:pt idx="285">
                  <c:v>0.711</c:v>
                </c:pt>
                <c:pt idx="286">
                  <c:v>0.712</c:v>
                </c:pt>
                <c:pt idx="287">
                  <c:v>0.713</c:v>
                </c:pt>
                <c:pt idx="288">
                  <c:v>0.714</c:v>
                </c:pt>
                <c:pt idx="289">
                  <c:v>0.715</c:v>
                </c:pt>
                <c:pt idx="290">
                  <c:v>0.716</c:v>
                </c:pt>
                <c:pt idx="291">
                  <c:v>0.717</c:v>
                </c:pt>
                <c:pt idx="292">
                  <c:v>0.718</c:v>
                </c:pt>
                <c:pt idx="293">
                  <c:v>0.719</c:v>
                </c:pt>
                <c:pt idx="294">
                  <c:v>0.72</c:v>
                </c:pt>
                <c:pt idx="295">
                  <c:v>0.721</c:v>
                </c:pt>
                <c:pt idx="296">
                  <c:v>0.722</c:v>
                </c:pt>
                <c:pt idx="297">
                  <c:v>0.724</c:v>
                </c:pt>
                <c:pt idx="298">
                  <c:v>0.725</c:v>
                </c:pt>
                <c:pt idx="299">
                  <c:v>0.727</c:v>
                </c:pt>
                <c:pt idx="300">
                  <c:v>0.728</c:v>
                </c:pt>
                <c:pt idx="301">
                  <c:v>0.729</c:v>
                </c:pt>
                <c:pt idx="302">
                  <c:v>0.73</c:v>
                </c:pt>
                <c:pt idx="303">
                  <c:v>0.731</c:v>
                </c:pt>
                <c:pt idx="304">
                  <c:v>0.732</c:v>
                </c:pt>
                <c:pt idx="305">
                  <c:v>0.733</c:v>
                </c:pt>
                <c:pt idx="306">
                  <c:v>0.734</c:v>
                </c:pt>
                <c:pt idx="307">
                  <c:v>0.735</c:v>
                </c:pt>
                <c:pt idx="308">
                  <c:v>0.736</c:v>
                </c:pt>
                <c:pt idx="309">
                  <c:v>0.737</c:v>
                </c:pt>
                <c:pt idx="310">
                  <c:v>0.738</c:v>
                </c:pt>
                <c:pt idx="311">
                  <c:v>0.739</c:v>
                </c:pt>
                <c:pt idx="312">
                  <c:v>0.74</c:v>
                </c:pt>
                <c:pt idx="313">
                  <c:v>0.741</c:v>
                </c:pt>
                <c:pt idx="314">
                  <c:v>0.742</c:v>
                </c:pt>
                <c:pt idx="315">
                  <c:v>0.743</c:v>
                </c:pt>
                <c:pt idx="316">
                  <c:v>0.744</c:v>
                </c:pt>
                <c:pt idx="317">
                  <c:v>0.745</c:v>
                </c:pt>
                <c:pt idx="318">
                  <c:v>0.747</c:v>
                </c:pt>
                <c:pt idx="319">
                  <c:v>0.748</c:v>
                </c:pt>
                <c:pt idx="320">
                  <c:v>0.75</c:v>
                </c:pt>
                <c:pt idx="321">
                  <c:v>0.751</c:v>
                </c:pt>
                <c:pt idx="322">
                  <c:v>0.752</c:v>
                </c:pt>
                <c:pt idx="323">
                  <c:v>0.753</c:v>
                </c:pt>
                <c:pt idx="324">
                  <c:v>0.754</c:v>
                </c:pt>
                <c:pt idx="325">
                  <c:v>0.756</c:v>
                </c:pt>
                <c:pt idx="326">
                  <c:v>0.758</c:v>
                </c:pt>
                <c:pt idx="327">
                  <c:v>0.761</c:v>
                </c:pt>
                <c:pt idx="328">
                  <c:v>0.763</c:v>
                </c:pt>
                <c:pt idx="329">
                  <c:v>0.764</c:v>
                </c:pt>
                <c:pt idx="330">
                  <c:v>0.765</c:v>
                </c:pt>
                <c:pt idx="331">
                  <c:v>0.766</c:v>
                </c:pt>
                <c:pt idx="332">
                  <c:v>0.771</c:v>
                </c:pt>
                <c:pt idx="333">
                  <c:v>0.772</c:v>
                </c:pt>
                <c:pt idx="334">
                  <c:v>0.773</c:v>
                </c:pt>
                <c:pt idx="335">
                  <c:v>0.774</c:v>
                </c:pt>
                <c:pt idx="336">
                  <c:v>0.776</c:v>
                </c:pt>
                <c:pt idx="337">
                  <c:v>0.777</c:v>
                </c:pt>
                <c:pt idx="338">
                  <c:v>0.778</c:v>
                </c:pt>
                <c:pt idx="339">
                  <c:v>0.78</c:v>
                </c:pt>
                <c:pt idx="340">
                  <c:v>0.781</c:v>
                </c:pt>
                <c:pt idx="341">
                  <c:v>0.782</c:v>
                </c:pt>
                <c:pt idx="342">
                  <c:v>0.783</c:v>
                </c:pt>
                <c:pt idx="343">
                  <c:v>0.785</c:v>
                </c:pt>
                <c:pt idx="344">
                  <c:v>0.786</c:v>
                </c:pt>
                <c:pt idx="345">
                  <c:v>0.787</c:v>
                </c:pt>
                <c:pt idx="346">
                  <c:v>0.788</c:v>
                </c:pt>
                <c:pt idx="347">
                  <c:v>0.789</c:v>
                </c:pt>
                <c:pt idx="348">
                  <c:v>0.79</c:v>
                </c:pt>
                <c:pt idx="349">
                  <c:v>0.791</c:v>
                </c:pt>
                <c:pt idx="350">
                  <c:v>0.792</c:v>
                </c:pt>
                <c:pt idx="351">
                  <c:v>0.793</c:v>
                </c:pt>
                <c:pt idx="352">
                  <c:v>0.794</c:v>
                </c:pt>
                <c:pt idx="353">
                  <c:v>0.795</c:v>
                </c:pt>
                <c:pt idx="354">
                  <c:v>0.796</c:v>
                </c:pt>
                <c:pt idx="355">
                  <c:v>0.797</c:v>
                </c:pt>
                <c:pt idx="356">
                  <c:v>0.798</c:v>
                </c:pt>
                <c:pt idx="357">
                  <c:v>0.799</c:v>
                </c:pt>
                <c:pt idx="358">
                  <c:v>0.8</c:v>
                </c:pt>
                <c:pt idx="359">
                  <c:v>0.801</c:v>
                </c:pt>
                <c:pt idx="360">
                  <c:v>0.802</c:v>
                </c:pt>
                <c:pt idx="361">
                  <c:v>0.803</c:v>
                </c:pt>
                <c:pt idx="362">
                  <c:v>0.805</c:v>
                </c:pt>
                <c:pt idx="363">
                  <c:v>0.806</c:v>
                </c:pt>
                <c:pt idx="364">
                  <c:v>0.807</c:v>
                </c:pt>
                <c:pt idx="365">
                  <c:v>0.81</c:v>
                </c:pt>
                <c:pt idx="366">
                  <c:v>0.811</c:v>
                </c:pt>
                <c:pt idx="367">
                  <c:v>0.812</c:v>
                </c:pt>
                <c:pt idx="368">
                  <c:v>0.813</c:v>
                </c:pt>
                <c:pt idx="369">
                  <c:v>0.814</c:v>
                </c:pt>
                <c:pt idx="370">
                  <c:v>0.815</c:v>
                </c:pt>
                <c:pt idx="371">
                  <c:v>0.816</c:v>
                </c:pt>
                <c:pt idx="372">
                  <c:v>0.817</c:v>
                </c:pt>
                <c:pt idx="373">
                  <c:v>0.818</c:v>
                </c:pt>
                <c:pt idx="374">
                  <c:v>0.819</c:v>
                </c:pt>
                <c:pt idx="375">
                  <c:v>0.82</c:v>
                </c:pt>
                <c:pt idx="376">
                  <c:v>0.821</c:v>
                </c:pt>
                <c:pt idx="377">
                  <c:v>0.823</c:v>
                </c:pt>
                <c:pt idx="378">
                  <c:v>0.824</c:v>
                </c:pt>
                <c:pt idx="379">
                  <c:v>0.825</c:v>
                </c:pt>
                <c:pt idx="380">
                  <c:v>0.826</c:v>
                </c:pt>
                <c:pt idx="381">
                  <c:v>0.827</c:v>
                </c:pt>
                <c:pt idx="382">
                  <c:v>0.829</c:v>
                </c:pt>
                <c:pt idx="383">
                  <c:v>0.831</c:v>
                </c:pt>
                <c:pt idx="384">
                  <c:v>0.832</c:v>
                </c:pt>
                <c:pt idx="385">
                  <c:v>0.833</c:v>
                </c:pt>
                <c:pt idx="386">
                  <c:v>0.835</c:v>
                </c:pt>
                <c:pt idx="387">
                  <c:v>0.836</c:v>
                </c:pt>
                <c:pt idx="388">
                  <c:v>0.837</c:v>
                </c:pt>
                <c:pt idx="389">
                  <c:v>0.838</c:v>
                </c:pt>
                <c:pt idx="390">
                  <c:v>0.84</c:v>
                </c:pt>
                <c:pt idx="391">
                  <c:v>0.841</c:v>
                </c:pt>
                <c:pt idx="392">
                  <c:v>0.842</c:v>
                </c:pt>
                <c:pt idx="393">
                  <c:v>0.843</c:v>
                </c:pt>
                <c:pt idx="394">
                  <c:v>0.844</c:v>
                </c:pt>
                <c:pt idx="395">
                  <c:v>0.845</c:v>
                </c:pt>
                <c:pt idx="396">
                  <c:v>0.846</c:v>
                </c:pt>
                <c:pt idx="397">
                  <c:v>0.847</c:v>
                </c:pt>
                <c:pt idx="398">
                  <c:v>0.848</c:v>
                </c:pt>
                <c:pt idx="399">
                  <c:v>0.852</c:v>
                </c:pt>
                <c:pt idx="400">
                  <c:v>0.853</c:v>
                </c:pt>
                <c:pt idx="401">
                  <c:v>0.854</c:v>
                </c:pt>
                <c:pt idx="402">
                  <c:v>0.855</c:v>
                </c:pt>
                <c:pt idx="403">
                  <c:v>0.858</c:v>
                </c:pt>
                <c:pt idx="404">
                  <c:v>0.859</c:v>
                </c:pt>
                <c:pt idx="405">
                  <c:v>0.861</c:v>
                </c:pt>
                <c:pt idx="406">
                  <c:v>0.862</c:v>
                </c:pt>
                <c:pt idx="407">
                  <c:v>0.865</c:v>
                </c:pt>
                <c:pt idx="408">
                  <c:v>0.866</c:v>
                </c:pt>
                <c:pt idx="409">
                  <c:v>0.867</c:v>
                </c:pt>
                <c:pt idx="410">
                  <c:v>0.868</c:v>
                </c:pt>
                <c:pt idx="411">
                  <c:v>0.869</c:v>
                </c:pt>
                <c:pt idx="412">
                  <c:v>0.871</c:v>
                </c:pt>
                <c:pt idx="413">
                  <c:v>0.872</c:v>
                </c:pt>
                <c:pt idx="414">
                  <c:v>0.873</c:v>
                </c:pt>
                <c:pt idx="415">
                  <c:v>0.876</c:v>
                </c:pt>
                <c:pt idx="416">
                  <c:v>0.878</c:v>
                </c:pt>
                <c:pt idx="417">
                  <c:v>0.879</c:v>
                </c:pt>
                <c:pt idx="418">
                  <c:v>0.88</c:v>
                </c:pt>
                <c:pt idx="419">
                  <c:v>0.881</c:v>
                </c:pt>
                <c:pt idx="420">
                  <c:v>0.882</c:v>
                </c:pt>
                <c:pt idx="421">
                  <c:v>0.883</c:v>
                </c:pt>
                <c:pt idx="422">
                  <c:v>0.884</c:v>
                </c:pt>
                <c:pt idx="423">
                  <c:v>0.893</c:v>
                </c:pt>
                <c:pt idx="424">
                  <c:v>0.894</c:v>
                </c:pt>
                <c:pt idx="425">
                  <c:v>0.895</c:v>
                </c:pt>
                <c:pt idx="426">
                  <c:v>0.896</c:v>
                </c:pt>
                <c:pt idx="427">
                  <c:v>0.897</c:v>
                </c:pt>
                <c:pt idx="428">
                  <c:v>0.898</c:v>
                </c:pt>
                <c:pt idx="429">
                  <c:v>0.899</c:v>
                </c:pt>
                <c:pt idx="430">
                  <c:v>0.902</c:v>
                </c:pt>
                <c:pt idx="431">
                  <c:v>0.904</c:v>
                </c:pt>
                <c:pt idx="432">
                  <c:v>0.907</c:v>
                </c:pt>
                <c:pt idx="433">
                  <c:v>0.912</c:v>
                </c:pt>
                <c:pt idx="434">
                  <c:v>0.919</c:v>
                </c:pt>
                <c:pt idx="435">
                  <c:v>0.923</c:v>
                </c:pt>
                <c:pt idx="436">
                  <c:v>0.924</c:v>
                </c:pt>
                <c:pt idx="437">
                  <c:v>0.925</c:v>
                </c:pt>
                <c:pt idx="438">
                  <c:v>0.927</c:v>
                </c:pt>
                <c:pt idx="439">
                  <c:v>0.928</c:v>
                </c:pt>
                <c:pt idx="440">
                  <c:v>0.93</c:v>
                </c:pt>
                <c:pt idx="441">
                  <c:v>0.932</c:v>
                </c:pt>
                <c:pt idx="442">
                  <c:v>0.936</c:v>
                </c:pt>
                <c:pt idx="443">
                  <c:v>0.941</c:v>
                </c:pt>
                <c:pt idx="444">
                  <c:v>0.945</c:v>
                </c:pt>
                <c:pt idx="445">
                  <c:v>0.948</c:v>
                </c:pt>
                <c:pt idx="446">
                  <c:v>0.955</c:v>
                </c:pt>
                <c:pt idx="447">
                  <c:v>0.977</c:v>
                </c:pt>
                <c:pt idx="448">
                  <c:v>0.983</c:v>
                </c:pt>
                <c:pt idx="449">
                  <c:v>0.989</c:v>
                </c:pt>
              </c:strCache>
            </c:strRef>
          </c:cat>
          <c:val>
            <c:numRef>
              <c:f>Graphs!$H$21:$H$471</c:f>
              <c:numCache>
                <c:formatCode>General</c:formatCode>
                <c:ptCount val="450"/>
                <c:pt idx="0">
                  <c:v>329800</c:v>
                </c:pt>
                <c:pt idx="1">
                  <c:v>8452</c:v>
                </c:pt>
                <c:pt idx="2">
                  <c:v>49</c:v>
                </c:pt>
                <c:pt idx="3">
                  <c:v>916900</c:v>
                </c:pt>
                <c:pt idx="4">
                  <c:v>26000</c:v>
                </c:pt>
                <c:pt idx="5">
                  <c:v>1200000</c:v>
                </c:pt>
                <c:pt idx="6">
                  <c:v>57200</c:v>
                </c:pt>
                <c:pt idx="7">
                  <c:v>403900</c:v>
                </c:pt>
                <c:pt idx="8">
                  <c:v>4284</c:v>
                </c:pt>
                <c:pt idx="9">
                  <c:v>6802</c:v>
                </c:pt>
                <c:pt idx="10">
                  <c:v>50</c:v>
                </c:pt>
                <c:pt idx="11">
                  <c:v>488000</c:v>
                </c:pt>
                <c:pt idx="12">
                  <c:v>331</c:v>
                </c:pt>
                <c:pt idx="13">
                  <c:v>4653</c:v>
                </c:pt>
                <c:pt idx="14">
                  <c:v>35</c:v>
                </c:pt>
                <c:pt idx="15">
                  <c:v>0</c:v>
                </c:pt>
                <c:pt idx="16">
                  <c:v>17400</c:v>
                </c:pt>
                <c:pt idx="17">
                  <c:v>83400</c:v>
                </c:pt>
                <c:pt idx="18">
                  <c:v>661400</c:v>
                </c:pt>
                <c:pt idx="19">
                  <c:v>234200</c:v>
                </c:pt>
                <c:pt idx="20">
                  <c:v>5281</c:v>
                </c:pt>
                <c:pt idx="21">
                  <c:v>587000</c:v>
                </c:pt>
                <c:pt idx="22">
                  <c:v>1042</c:v>
                </c:pt>
                <c:pt idx="23">
                  <c:v>1000000</c:v>
                </c:pt>
                <c:pt idx="24">
                  <c:v>2343</c:v>
                </c:pt>
                <c:pt idx="25">
                  <c:v>286400</c:v>
                </c:pt>
                <c:pt idx="26">
                  <c:v>1</c:v>
                </c:pt>
                <c:pt idx="27">
                  <c:v>1600000</c:v>
                </c:pt>
                <c:pt idx="28">
                  <c:v>13800</c:v>
                </c:pt>
                <c:pt idx="29">
                  <c:v>382100</c:v>
                </c:pt>
                <c:pt idx="30">
                  <c:v>531900</c:v>
                </c:pt>
                <c:pt idx="31">
                  <c:v>1900000</c:v>
                </c:pt>
                <c:pt idx="32">
                  <c:v>143200</c:v>
                </c:pt>
                <c:pt idx="33">
                  <c:v>1800000</c:v>
                </c:pt>
                <c:pt idx="34">
                  <c:v>219100</c:v>
                </c:pt>
                <c:pt idx="35">
                  <c:v>3500000</c:v>
                </c:pt>
                <c:pt idx="36">
                  <c:v>3516</c:v>
                </c:pt>
                <c:pt idx="37">
                  <c:v>195600</c:v>
                </c:pt>
                <c:pt idx="38">
                  <c:v>585800</c:v>
                </c:pt>
                <c:pt idx="39">
                  <c:v>321800</c:v>
                </c:pt>
                <c:pt idx="40">
                  <c:v>231600</c:v>
                </c:pt>
                <c:pt idx="41">
                  <c:v>40100</c:v>
                </c:pt>
                <c:pt idx="42">
                  <c:v>2979457</c:v>
                </c:pt>
                <c:pt idx="43">
                  <c:v>1</c:v>
                </c:pt>
                <c:pt idx="44">
                  <c:v>5249</c:v>
                </c:pt>
                <c:pt idx="45">
                  <c:v>1765400</c:v>
                </c:pt>
                <c:pt idx="46">
                  <c:v>863100</c:v>
                </c:pt>
                <c:pt idx="47">
                  <c:v>3609924</c:v>
                </c:pt>
                <c:pt idx="48">
                  <c:v>2880</c:v>
                </c:pt>
                <c:pt idx="49">
                  <c:v>117300</c:v>
                </c:pt>
                <c:pt idx="50">
                  <c:v>720800</c:v>
                </c:pt>
                <c:pt idx="51">
                  <c:v>391800</c:v>
                </c:pt>
                <c:pt idx="52">
                  <c:v>9213</c:v>
                </c:pt>
                <c:pt idx="53">
                  <c:v>394201</c:v>
                </c:pt>
                <c:pt idx="54">
                  <c:v>310293</c:v>
                </c:pt>
                <c:pt idx="55">
                  <c:v>310500</c:v>
                </c:pt>
                <c:pt idx="56">
                  <c:v>4400016</c:v>
                </c:pt>
                <c:pt idx="57">
                  <c:v>525600</c:v>
                </c:pt>
                <c:pt idx="58">
                  <c:v>64</c:v>
                </c:pt>
                <c:pt idx="59">
                  <c:v>829900</c:v>
                </c:pt>
                <c:pt idx="60">
                  <c:v>1300000</c:v>
                </c:pt>
                <c:pt idx="61">
                  <c:v>373500</c:v>
                </c:pt>
                <c:pt idx="62">
                  <c:v>9747147</c:v>
                </c:pt>
                <c:pt idx="63">
                  <c:v>4011500</c:v>
                </c:pt>
                <c:pt idx="64">
                  <c:v>42100</c:v>
                </c:pt>
                <c:pt idx="65">
                  <c:v>4191800</c:v>
                </c:pt>
                <c:pt idx="66">
                  <c:v>12100</c:v>
                </c:pt>
                <c:pt idx="67">
                  <c:v>5266</c:v>
                </c:pt>
                <c:pt idx="68">
                  <c:v>42100</c:v>
                </c:pt>
                <c:pt idx="69">
                  <c:v>130</c:v>
                </c:pt>
                <c:pt idx="70">
                  <c:v>18900</c:v>
                </c:pt>
                <c:pt idx="71">
                  <c:v>2000000</c:v>
                </c:pt>
                <c:pt idx="72">
                  <c:v>303563</c:v>
                </c:pt>
                <c:pt idx="73">
                  <c:v>48496</c:v>
                </c:pt>
                <c:pt idx="74">
                  <c:v>3027</c:v>
                </c:pt>
                <c:pt idx="75">
                  <c:v>3500000</c:v>
                </c:pt>
                <c:pt idx="76">
                  <c:v>2491500</c:v>
                </c:pt>
                <c:pt idx="77">
                  <c:v>29300000</c:v>
                </c:pt>
                <c:pt idx="78">
                  <c:v>134800</c:v>
                </c:pt>
                <c:pt idx="79">
                  <c:v>15000</c:v>
                </c:pt>
                <c:pt idx="80">
                  <c:v>5600000</c:v>
                </c:pt>
                <c:pt idx="81">
                  <c:v>1234300</c:v>
                </c:pt>
                <c:pt idx="82">
                  <c:v>500400</c:v>
                </c:pt>
                <c:pt idx="83">
                  <c:v>523200</c:v>
                </c:pt>
                <c:pt idx="84">
                  <c:v>177900</c:v>
                </c:pt>
                <c:pt idx="85">
                  <c:v>742909</c:v>
                </c:pt>
                <c:pt idx="86">
                  <c:v>186500</c:v>
                </c:pt>
                <c:pt idx="87">
                  <c:v>830</c:v>
                </c:pt>
                <c:pt idx="88">
                  <c:v>1801420</c:v>
                </c:pt>
                <c:pt idx="89">
                  <c:v>4900000</c:v>
                </c:pt>
                <c:pt idx="90">
                  <c:v>1773730</c:v>
                </c:pt>
                <c:pt idx="91">
                  <c:v>1700000</c:v>
                </c:pt>
                <c:pt idx="92">
                  <c:v>6598300</c:v>
                </c:pt>
                <c:pt idx="93">
                  <c:v>125815</c:v>
                </c:pt>
                <c:pt idx="94">
                  <c:v>0</c:v>
                </c:pt>
                <c:pt idx="95">
                  <c:v>1700000</c:v>
                </c:pt>
                <c:pt idx="96">
                  <c:v>354900</c:v>
                </c:pt>
                <c:pt idx="97">
                  <c:v>1760600</c:v>
                </c:pt>
                <c:pt idx="98">
                  <c:v>8529</c:v>
                </c:pt>
                <c:pt idx="99">
                  <c:v>709903</c:v>
                </c:pt>
                <c:pt idx="100">
                  <c:v>207100</c:v>
                </c:pt>
                <c:pt idx="101">
                  <c:v>112</c:v>
                </c:pt>
                <c:pt idx="102">
                  <c:v>9230</c:v>
                </c:pt>
                <c:pt idx="103">
                  <c:v>472100</c:v>
                </c:pt>
                <c:pt idx="104">
                  <c:v>2000000</c:v>
                </c:pt>
                <c:pt idx="105">
                  <c:v>130519</c:v>
                </c:pt>
                <c:pt idx="106">
                  <c:v>15</c:v>
                </c:pt>
                <c:pt idx="107">
                  <c:v>10600</c:v>
                </c:pt>
                <c:pt idx="108">
                  <c:v>1044600</c:v>
                </c:pt>
                <c:pt idx="109">
                  <c:v>606600</c:v>
                </c:pt>
                <c:pt idx="110">
                  <c:v>0</c:v>
                </c:pt>
                <c:pt idx="111">
                  <c:v>7</c:v>
                </c:pt>
                <c:pt idx="112">
                  <c:v>10</c:v>
                </c:pt>
                <c:pt idx="113">
                  <c:v>332500</c:v>
                </c:pt>
                <c:pt idx="114">
                  <c:v>231200</c:v>
                </c:pt>
                <c:pt idx="115">
                  <c:v>13578522</c:v>
                </c:pt>
                <c:pt idx="116">
                  <c:v>2500000</c:v>
                </c:pt>
                <c:pt idx="117">
                  <c:v>1617400</c:v>
                </c:pt>
                <c:pt idx="118">
                  <c:v>1636</c:v>
                </c:pt>
                <c:pt idx="119">
                  <c:v>682671</c:v>
                </c:pt>
                <c:pt idx="120">
                  <c:v>850</c:v>
                </c:pt>
                <c:pt idx="121">
                  <c:v>553400</c:v>
                </c:pt>
                <c:pt idx="122">
                  <c:v>10</c:v>
                </c:pt>
                <c:pt idx="123">
                  <c:v>103986</c:v>
                </c:pt>
                <c:pt idx="124">
                  <c:v>25600</c:v>
                </c:pt>
                <c:pt idx="125">
                  <c:v>11320134</c:v>
                </c:pt>
                <c:pt idx="126">
                  <c:v>3913145</c:v>
                </c:pt>
                <c:pt idx="127">
                  <c:v>1083</c:v>
                </c:pt>
                <c:pt idx="128">
                  <c:v>612814</c:v>
                </c:pt>
                <c:pt idx="129">
                  <c:v>3600006</c:v>
                </c:pt>
                <c:pt idx="130">
                  <c:v>788520</c:v>
                </c:pt>
                <c:pt idx="131">
                  <c:v>1097100</c:v>
                </c:pt>
                <c:pt idx="132">
                  <c:v>3606724</c:v>
                </c:pt>
                <c:pt idx="133">
                  <c:v>6400000</c:v>
                </c:pt>
                <c:pt idx="134">
                  <c:v>299295</c:v>
                </c:pt>
                <c:pt idx="135">
                  <c:v>3635</c:v>
                </c:pt>
                <c:pt idx="136">
                  <c:v>411312</c:v>
                </c:pt>
                <c:pt idx="137">
                  <c:v>10604697</c:v>
                </c:pt>
                <c:pt idx="138">
                  <c:v>5900000</c:v>
                </c:pt>
                <c:pt idx="139">
                  <c:v>1643300</c:v>
                </c:pt>
                <c:pt idx="140">
                  <c:v>11362400</c:v>
                </c:pt>
                <c:pt idx="141">
                  <c:v>5500589</c:v>
                </c:pt>
                <c:pt idx="142">
                  <c:v>1100000</c:v>
                </c:pt>
                <c:pt idx="143">
                  <c:v>30100</c:v>
                </c:pt>
                <c:pt idx="144">
                  <c:v>6800000</c:v>
                </c:pt>
                <c:pt idx="145">
                  <c:v>826000</c:v>
                </c:pt>
                <c:pt idx="146">
                  <c:v>0</c:v>
                </c:pt>
                <c:pt idx="147">
                  <c:v>233</c:v>
                </c:pt>
                <c:pt idx="148">
                  <c:v>749596</c:v>
                </c:pt>
                <c:pt idx="149">
                  <c:v>106300</c:v>
                </c:pt>
                <c:pt idx="150">
                  <c:v>1254200</c:v>
                </c:pt>
                <c:pt idx="151">
                  <c:v>3847400</c:v>
                </c:pt>
                <c:pt idx="152">
                  <c:v>540200</c:v>
                </c:pt>
                <c:pt idx="153">
                  <c:v>2014100</c:v>
                </c:pt>
                <c:pt idx="154">
                  <c:v>238737</c:v>
                </c:pt>
                <c:pt idx="155">
                  <c:v>146219</c:v>
                </c:pt>
                <c:pt idx="156">
                  <c:v>53702</c:v>
                </c:pt>
                <c:pt idx="157">
                  <c:v>61</c:v>
                </c:pt>
                <c:pt idx="158">
                  <c:v>2555</c:v>
                </c:pt>
                <c:pt idx="159">
                  <c:v>2536000</c:v>
                </c:pt>
                <c:pt idx="160">
                  <c:v>12200000</c:v>
                </c:pt>
                <c:pt idx="161">
                  <c:v>151200</c:v>
                </c:pt>
                <c:pt idx="162">
                  <c:v>4200000</c:v>
                </c:pt>
                <c:pt idx="163">
                  <c:v>5676000</c:v>
                </c:pt>
                <c:pt idx="164">
                  <c:v>2700000</c:v>
                </c:pt>
                <c:pt idx="165">
                  <c:v>16400554</c:v>
                </c:pt>
                <c:pt idx="166">
                  <c:v>6800</c:v>
                </c:pt>
                <c:pt idx="167">
                  <c:v>790500</c:v>
                </c:pt>
                <c:pt idx="168">
                  <c:v>5600000</c:v>
                </c:pt>
                <c:pt idx="169">
                  <c:v>668600</c:v>
                </c:pt>
                <c:pt idx="170">
                  <c:v>61000</c:v>
                </c:pt>
                <c:pt idx="171">
                  <c:v>1598400</c:v>
                </c:pt>
                <c:pt idx="172">
                  <c:v>17610261</c:v>
                </c:pt>
                <c:pt idx="173">
                  <c:v>6796</c:v>
                </c:pt>
                <c:pt idx="174">
                  <c:v>18700</c:v>
                </c:pt>
                <c:pt idx="175">
                  <c:v>0</c:v>
                </c:pt>
                <c:pt idx="176">
                  <c:v>149800</c:v>
                </c:pt>
                <c:pt idx="177">
                  <c:v>859500</c:v>
                </c:pt>
                <c:pt idx="178">
                  <c:v>108000</c:v>
                </c:pt>
                <c:pt idx="179">
                  <c:v>192900</c:v>
                </c:pt>
                <c:pt idx="180">
                  <c:v>669800</c:v>
                </c:pt>
                <c:pt idx="181">
                  <c:v>728100</c:v>
                </c:pt>
                <c:pt idx="182">
                  <c:v>312400</c:v>
                </c:pt>
                <c:pt idx="183">
                  <c:v>457700</c:v>
                </c:pt>
                <c:pt idx="184">
                  <c:v>2812222</c:v>
                </c:pt>
                <c:pt idx="185">
                  <c:v>75500</c:v>
                </c:pt>
                <c:pt idx="186">
                  <c:v>229100</c:v>
                </c:pt>
                <c:pt idx="187">
                  <c:v>1647500</c:v>
                </c:pt>
                <c:pt idx="188">
                  <c:v>16600000</c:v>
                </c:pt>
                <c:pt idx="189">
                  <c:v>2300051</c:v>
                </c:pt>
                <c:pt idx="190">
                  <c:v>779400</c:v>
                </c:pt>
                <c:pt idx="191">
                  <c:v>1431470</c:v>
                </c:pt>
                <c:pt idx="192">
                  <c:v>1819700</c:v>
                </c:pt>
                <c:pt idx="193">
                  <c:v>855500</c:v>
                </c:pt>
                <c:pt idx="194">
                  <c:v>3760200</c:v>
                </c:pt>
                <c:pt idx="195">
                  <c:v>111</c:v>
                </c:pt>
                <c:pt idx="196">
                  <c:v>344642</c:v>
                </c:pt>
                <c:pt idx="197">
                  <c:v>1280700</c:v>
                </c:pt>
                <c:pt idx="198">
                  <c:v>11783300</c:v>
                </c:pt>
                <c:pt idx="199">
                  <c:v>50100</c:v>
                </c:pt>
                <c:pt idx="200">
                  <c:v>2005672</c:v>
                </c:pt>
                <c:pt idx="201">
                  <c:v>941233</c:v>
                </c:pt>
                <c:pt idx="202">
                  <c:v>2893500</c:v>
                </c:pt>
                <c:pt idx="203">
                  <c:v>1145500</c:v>
                </c:pt>
                <c:pt idx="204">
                  <c:v>9931</c:v>
                </c:pt>
                <c:pt idx="205">
                  <c:v>0</c:v>
                </c:pt>
                <c:pt idx="206">
                  <c:v>426000</c:v>
                </c:pt>
                <c:pt idx="207">
                  <c:v>3000000</c:v>
                </c:pt>
                <c:pt idx="208">
                  <c:v>485191</c:v>
                </c:pt>
                <c:pt idx="209">
                  <c:v>167</c:v>
                </c:pt>
                <c:pt idx="210">
                  <c:v>37939400</c:v>
                </c:pt>
                <c:pt idx="211">
                  <c:v>2422200</c:v>
                </c:pt>
                <c:pt idx="212">
                  <c:v>1202300</c:v>
                </c:pt>
                <c:pt idx="213">
                  <c:v>323100</c:v>
                </c:pt>
                <c:pt idx="214">
                  <c:v>15000335</c:v>
                </c:pt>
                <c:pt idx="215">
                  <c:v>3744</c:v>
                </c:pt>
                <c:pt idx="216">
                  <c:v>1500000</c:v>
                </c:pt>
                <c:pt idx="217">
                  <c:v>23200007</c:v>
                </c:pt>
                <c:pt idx="218">
                  <c:v>329100</c:v>
                </c:pt>
                <c:pt idx="219">
                  <c:v>349800</c:v>
                </c:pt>
                <c:pt idx="220">
                  <c:v>12628</c:v>
                </c:pt>
                <c:pt idx="221">
                  <c:v>2780741</c:v>
                </c:pt>
                <c:pt idx="222">
                  <c:v>1</c:v>
                </c:pt>
                <c:pt idx="223">
                  <c:v>2300000</c:v>
                </c:pt>
                <c:pt idx="224">
                  <c:v>129200</c:v>
                </c:pt>
                <c:pt idx="225">
                  <c:v>425754</c:v>
                </c:pt>
                <c:pt idx="226">
                  <c:v>1762</c:v>
                </c:pt>
                <c:pt idx="227">
                  <c:v>1420</c:v>
                </c:pt>
                <c:pt idx="228">
                  <c:v>4785600</c:v>
                </c:pt>
                <c:pt idx="229">
                  <c:v>873</c:v>
                </c:pt>
                <c:pt idx="230">
                  <c:v>730200</c:v>
                </c:pt>
                <c:pt idx="231">
                  <c:v>725400</c:v>
                </c:pt>
                <c:pt idx="232">
                  <c:v>29601</c:v>
                </c:pt>
                <c:pt idx="233">
                  <c:v>4000937</c:v>
                </c:pt>
                <c:pt idx="234">
                  <c:v>2404600</c:v>
                </c:pt>
                <c:pt idx="235">
                  <c:v>2800088</c:v>
                </c:pt>
                <c:pt idx="236">
                  <c:v>353900</c:v>
                </c:pt>
                <c:pt idx="237">
                  <c:v>201712</c:v>
                </c:pt>
                <c:pt idx="238">
                  <c:v>5300011</c:v>
                </c:pt>
                <c:pt idx="239">
                  <c:v>716300</c:v>
                </c:pt>
                <c:pt idx="240">
                  <c:v>1710864</c:v>
                </c:pt>
                <c:pt idx="241">
                  <c:v>340</c:v>
                </c:pt>
                <c:pt idx="242">
                  <c:v>1659589</c:v>
                </c:pt>
                <c:pt idx="243">
                  <c:v>0</c:v>
                </c:pt>
                <c:pt idx="244">
                  <c:v>101000</c:v>
                </c:pt>
                <c:pt idx="245">
                  <c:v>211300</c:v>
                </c:pt>
                <c:pt idx="246">
                  <c:v>97300</c:v>
                </c:pt>
                <c:pt idx="247">
                  <c:v>207</c:v>
                </c:pt>
                <c:pt idx="248">
                  <c:v>123000</c:v>
                </c:pt>
                <c:pt idx="249">
                  <c:v>501729</c:v>
                </c:pt>
                <c:pt idx="250">
                  <c:v>12</c:v>
                </c:pt>
                <c:pt idx="251">
                  <c:v>624604</c:v>
                </c:pt>
                <c:pt idx="252">
                  <c:v>390500</c:v>
                </c:pt>
                <c:pt idx="253">
                  <c:v>24300039</c:v>
                </c:pt>
                <c:pt idx="254">
                  <c:v>1049950</c:v>
                </c:pt>
                <c:pt idx="255">
                  <c:v>530500</c:v>
                </c:pt>
                <c:pt idx="256">
                  <c:v>902800</c:v>
                </c:pt>
                <c:pt idx="257">
                  <c:v>19799</c:v>
                </c:pt>
                <c:pt idx="258">
                  <c:v>2926300</c:v>
                </c:pt>
                <c:pt idx="259">
                  <c:v>96435</c:v>
                </c:pt>
                <c:pt idx="260">
                  <c:v>3600000</c:v>
                </c:pt>
                <c:pt idx="261">
                  <c:v>2201128</c:v>
                </c:pt>
                <c:pt idx="262">
                  <c:v>2403624</c:v>
                </c:pt>
                <c:pt idx="263">
                  <c:v>1492300</c:v>
                </c:pt>
                <c:pt idx="264">
                  <c:v>20</c:v>
                </c:pt>
                <c:pt idx="265">
                  <c:v>1207529</c:v>
                </c:pt>
                <c:pt idx="266">
                  <c:v>601700</c:v>
                </c:pt>
                <c:pt idx="267">
                  <c:v>987000</c:v>
                </c:pt>
                <c:pt idx="268">
                  <c:v>1372500</c:v>
                </c:pt>
                <c:pt idx="269">
                  <c:v>163500</c:v>
                </c:pt>
                <c:pt idx="270">
                  <c:v>3775229</c:v>
                </c:pt>
                <c:pt idx="271">
                  <c:v>780300</c:v>
                </c:pt>
                <c:pt idx="272">
                  <c:v>147920</c:v>
                </c:pt>
                <c:pt idx="273">
                  <c:v>13234768</c:v>
                </c:pt>
                <c:pt idx="274">
                  <c:v>10008641</c:v>
                </c:pt>
                <c:pt idx="275">
                  <c:v>97700</c:v>
                </c:pt>
                <c:pt idx="276">
                  <c:v>58344</c:v>
                </c:pt>
                <c:pt idx="277">
                  <c:v>516351</c:v>
                </c:pt>
                <c:pt idx="278">
                  <c:v>3321400</c:v>
                </c:pt>
                <c:pt idx="279">
                  <c:v>211600</c:v>
                </c:pt>
                <c:pt idx="280">
                  <c:v>1700007</c:v>
                </c:pt>
                <c:pt idx="281">
                  <c:v>2914700</c:v>
                </c:pt>
                <c:pt idx="282">
                  <c:v>621401</c:v>
                </c:pt>
                <c:pt idx="283">
                  <c:v>150</c:v>
                </c:pt>
                <c:pt idx="284">
                  <c:v>1400032</c:v>
                </c:pt>
                <c:pt idx="285">
                  <c:v>357023</c:v>
                </c:pt>
                <c:pt idx="286">
                  <c:v>223554</c:v>
                </c:pt>
                <c:pt idx="287">
                  <c:v>54200</c:v>
                </c:pt>
                <c:pt idx="288">
                  <c:v>45500</c:v>
                </c:pt>
                <c:pt idx="289">
                  <c:v>47400</c:v>
                </c:pt>
                <c:pt idx="290">
                  <c:v>14238695</c:v>
                </c:pt>
                <c:pt idx="291">
                  <c:v>548000</c:v>
                </c:pt>
                <c:pt idx="292">
                  <c:v>2600000</c:v>
                </c:pt>
                <c:pt idx="293">
                  <c:v>355504</c:v>
                </c:pt>
                <c:pt idx="294">
                  <c:v>12700</c:v>
                </c:pt>
                <c:pt idx="295">
                  <c:v>51638</c:v>
                </c:pt>
                <c:pt idx="296">
                  <c:v>5200000</c:v>
                </c:pt>
                <c:pt idx="297">
                  <c:v>1953200</c:v>
                </c:pt>
                <c:pt idx="298">
                  <c:v>3</c:v>
                </c:pt>
                <c:pt idx="299">
                  <c:v>390379</c:v>
                </c:pt>
                <c:pt idx="300">
                  <c:v>3553</c:v>
                </c:pt>
                <c:pt idx="301">
                  <c:v>10161642</c:v>
                </c:pt>
                <c:pt idx="302">
                  <c:v>4800000</c:v>
                </c:pt>
                <c:pt idx="303">
                  <c:v>698200</c:v>
                </c:pt>
                <c:pt idx="304">
                  <c:v>119064</c:v>
                </c:pt>
                <c:pt idx="305">
                  <c:v>798817</c:v>
                </c:pt>
                <c:pt idx="306">
                  <c:v>566502</c:v>
                </c:pt>
                <c:pt idx="307">
                  <c:v>7199</c:v>
                </c:pt>
                <c:pt idx="308">
                  <c:v>2200000</c:v>
                </c:pt>
                <c:pt idx="309">
                  <c:v>129900</c:v>
                </c:pt>
                <c:pt idx="310">
                  <c:v>2163034</c:v>
                </c:pt>
                <c:pt idx="311">
                  <c:v>12863300</c:v>
                </c:pt>
                <c:pt idx="312">
                  <c:v>5377605</c:v>
                </c:pt>
                <c:pt idx="313">
                  <c:v>29778656</c:v>
                </c:pt>
                <c:pt idx="314">
                  <c:v>404633</c:v>
                </c:pt>
                <c:pt idx="315">
                  <c:v>1800803</c:v>
                </c:pt>
                <c:pt idx="316">
                  <c:v>261800</c:v>
                </c:pt>
                <c:pt idx="317">
                  <c:v>0</c:v>
                </c:pt>
                <c:pt idx="318">
                  <c:v>201753</c:v>
                </c:pt>
                <c:pt idx="319">
                  <c:v>0</c:v>
                </c:pt>
                <c:pt idx="320">
                  <c:v>19467</c:v>
                </c:pt>
                <c:pt idx="321">
                  <c:v>5900000</c:v>
                </c:pt>
                <c:pt idx="322">
                  <c:v>3000000</c:v>
                </c:pt>
                <c:pt idx="323">
                  <c:v>366</c:v>
                </c:pt>
                <c:pt idx="324">
                  <c:v>2560474</c:v>
                </c:pt>
                <c:pt idx="325">
                  <c:v>66700</c:v>
                </c:pt>
                <c:pt idx="326">
                  <c:v>749</c:v>
                </c:pt>
                <c:pt idx="327">
                  <c:v>746700</c:v>
                </c:pt>
                <c:pt idx="328">
                  <c:v>87200</c:v>
                </c:pt>
                <c:pt idx="329">
                  <c:v>3810998</c:v>
                </c:pt>
                <c:pt idx="330">
                  <c:v>269008</c:v>
                </c:pt>
                <c:pt idx="331">
                  <c:v>4701982</c:v>
                </c:pt>
                <c:pt idx="332">
                  <c:v>225900</c:v>
                </c:pt>
                <c:pt idx="333">
                  <c:v>115500</c:v>
                </c:pt>
                <c:pt idx="334">
                  <c:v>9257</c:v>
                </c:pt>
                <c:pt idx="335">
                  <c:v>651787</c:v>
                </c:pt>
                <c:pt idx="336">
                  <c:v>1200000</c:v>
                </c:pt>
                <c:pt idx="337">
                  <c:v>0</c:v>
                </c:pt>
                <c:pt idx="338">
                  <c:v>168868</c:v>
                </c:pt>
                <c:pt idx="339">
                  <c:v>385177</c:v>
                </c:pt>
                <c:pt idx="340">
                  <c:v>1291</c:v>
                </c:pt>
                <c:pt idx="341">
                  <c:v>6000895</c:v>
                </c:pt>
                <c:pt idx="342">
                  <c:v>156821</c:v>
                </c:pt>
                <c:pt idx="343">
                  <c:v>120</c:v>
                </c:pt>
                <c:pt idx="344">
                  <c:v>578</c:v>
                </c:pt>
                <c:pt idx="345">
                  <c:v>1689500</c:v>
                </c:pt>
                <c:pt idx="346">
                  <c:v>1700000</c:v>
                </c:pt>
                <c:pt idx="347">
                  <c:v>452</c:v>
                </c:pt>
                <c:pt idx="348">
                  <c:v>660158</c:v>
                </c:pt>
                <c:pt idx="349">
                  <c:v>204482</c:v>
                </c:pt>
                <c:pt idx="350">
                  <c:v>1774</c:v>
                </c:pt>
                <c:pt idx="351">
                  <c:v>1868100</c:v>
                </c:pt>
                <c:pt idx="352">
                  <c:v>495300</c:v>
                </c:pt>
                <c:pt idx="353">
                  <c:v>1401981</c:v>
                </c:pt>
                <c:pt idx="354">
                  <c:v>1840609</c:v>
                </c:pt>
                <c:pt idx="355">
                  <c:v>710200</c:v>
                </c:pt>
                <c:pt idx="356">
                  <c:v>0</c:v>
                </c:pt>
                <c:pt idx="357">
                  <c:v>3720065</c:v>
                </c:pt>
                <c:pt idx="358">
                  <c:v>16940429</c:v>
                </c:pt>
                <c:pt idx="359">
                  <c:v>131103</c:v>
                </c:pt>
                <c:pt idx="360">
                  <c:v>504600</c:v>
                </c:pt>
                <c:pt idx="361">
                  <c:v>1049700</c:v>
                </c:pt>
                <c:pt idx="362">
                  <c:v>1027755</c:v>
                </c:pt>
                <c:pt idx="363">
                  <c:v>5</c:v>
                </c:pt>
                <c:pt idx="364">
                  <c:v>1048616</c:v>
                </c:pt>
                <c:pt idx="365">
                  <c:v>519400</c:v>
                </c:pt>
                <c:pt idx="366">
                  <c:v>1100000</c:v>
                </c:pt>
                <c:pt idx="367">
                  <c:v>1</c:v>
                </c:pt>
                <c:pt idx="368">
                  <c:v>3547</c:v>
                </c:pt>
                <c:pt idx="369">
                  <c:v>265400</c:v>
                </c:pt>
                <c:pt idx="370">
                  <c:v>0</c:v>
                </c:pt>
                <c:pt idx="371">
                  <c:v>1401151</c:v>
                </c:pt>
                <c:pt idx="372">
                  <c:v>547900</c:v>
                </c:pt>
                <c:pt idx="373">
                  <c:v>12601</c:v>
                </c:pt>
                <c:pt idx="374">
                  <c:v>271407</c:v>
                </c:pt>
                <c:pt idx="375">
                  <c:v>561700</c:v>
                </c:pt>
                <c:pt idx="376">
                  <c:v>7930</c:v>
                </c:pt>
                <c:pt idx="377">
                  <c:v>3117000</c:v>
                </c:pt>
                <c:pt idx="378">
                  <c:v>174842</c:v>
                </c:pt>
                <c:pt idx="379">
                  <c:v>754800</c:v>
                </c:pt>
                <c:pt idx="380">
                  <c:v>1934500</c:v>
                </c:pt>
                <c:pt idx="381">
                  <c:v>415600</c:v>
                </c:pt>
                <c:pt idx="382">
                  <c:v>365220</c:v>
                </c:pt>
                <c:pt idx="383">
                  <c:v>5</c:v>
                </c:pt>
                <c:pt idx="384">
                  <c:v>659840</c:v>
                </c:pt>
                <c:pt idx="385">
                  <c:v>377</c:v>
                </c:pt>
                <c:pt idx="386">
                  <c:v>60100</c:v>
                </c:pt>
                <c:pt idx="387">
                  <c:v>253259</c:v>
                </c:pt>
                <c:pt idx="388">
                  <c:v>113100</c:v>
                </c:pt>
                <c:pt idx="389">
                  <c:v>28</c:v>
                </c:pt>
                <c:pt idx="390">
                  <c:v>3800000</c:v>
                </c:pt>
                <c:pt idx="391">
                  <c:v>1508300</c:v>
                </c:pt>
                <c:pt idx="392">
                  <c:v>256512</c:v>
                </c:pt>
                <c:pt idx="393">
                  <c:v>36</c:v>
                </c:pt>
                <c:pt idx="394">
                  <c:v>1146900</c:v>
                </c:pt>
                <c:pt idx="395">
                  <c:v>5700000</c:v>
                </c:pt>
                <c:pt idx="396">
                  <c:v>1036201</c:v>
                </c:pt>
                <c:pt idx="397">
                  <c:v>0</c:v>
                </c:pt>
                <c:pt idx="398">
                  <c:v>303108</c:v>
                </c:pt>
                <c:pt idx="399">
                  <c:v>0</c:v>
                </c:pt>
                <c:pt idx="400">
                  <c:v>23100</c:v>
                </c:pt>
                <c:pt idx="401">
                  <c:v>46900000</c:v>
                </c:pt>
                <c:pt idx="402">
                  <c:v>7889</c:v>
                </c:pt>
                <c:pt idx="403">
                  <c:v>1848</c:v>
                </c:pt>
                <c:pt idx="404">
                  <c:v>192900</c:v>
                </c:pt>
                <c:pt idx="405">
                  <c:v>148200</c:v>
                </c:pt>
                <c:pt idx="406">
                  <c:v>214067</c:v>
                </c:pt>
                <c:pt idx="407">
                  <c:v>14</c:v>
                </c:pt>
                <c:pt idx="408">
                  <c:v>3</c:v>
                </c:pt>
                <c:pt idx="409">
                  <c:v>63</c:v>
                </c:pt>
                <c:pt idx="410">
                  <c:v>385700</c:v>
                </c:pt>
                <c:pt idx="411">
                  <c:v>0</c:v>
                </c:pt>
                <c:pt idx="412">
                  <c:v>16</c:v>
                </c:pt>
                <c:pt idx="413">
                  <c:v>156652</c:v>
                </c:pt>
                <c:pt idx="414">
                  <c:v>242794</c:v>
                </c:pt>
                <c:pt idx="415">
                  <c:v>0</c:v>
                </c:pt>
                <c:pt idx="416">
                  <c:v>32000</c:v>
                </c:pt>
                <c:pt idx="417">
                  <c:v>2</c:v>
                </c:pt>
                <c:pt idx="418">
                  <c:v>97800</c:v>
                </c:pt>
                <c:pt idx="419">
                  <c:v>34874</c:v>
                </c:pt>
                <c:pt idx="420">
                  <c:v>2312474</c:v>
                </c:pt>
                <c:pt idx="421">
                  <c:v>1300000</c:v>
                </c:pt>
                <c:pt idx="422">
                  <c:v>899100</c:v>
                </c:pt>
                <c:pt idx="423">
                  <c:v>190103</c:v>
                </c:pt>
                <c:pt idx="424">
                  <c:v>3</c:v>
                </c:pt>
                <c:pt idx="425">
                  <c:v>6700000</c:v>
                </c:pt>
                <c:pt idx="426">
                  <c:v>0</c:v>
                </c:pt>
                <c:pt idx="427">
                  <c:v>2200000</c:v>
                </c:pt>
                <c:pt idx="428">
                  <c:v>3300000</c:v>
                </c:pt>
                <c:pt idx="429">
                  <c:v>0</c:v>
                </c:pt>
                <c:pt idx="430">
                  <c:v>14</c:v>
                </c:pt>
                <c:pt idx="431">
                  <c:v>20000</c:v>
                </c:pt>
                <c:pt idx="432">
                  <c:v>11300</c:v>
                </c:pt>
                <c:pt idx="433">
                  <c:v>228582</c:v>
                </c:pt>
                <c:pt idx="434">
                  <c:v>14</c:v>
                </c:pt>
                <c:pt idx="435">
                  <c:v>169600</c:v>
                </c:pt>
                <c:pt idx="436">
                  <c:v>2933</c:v>
                </c:pt>
                <c:pt idx="437">
                  <c:v>0</c:v>
                </c:pt>
                <c:pt idx="438">
                  <c:v>285700</c:v>
                </c:pt>
                <c:pt idx="439">
                  <c:v>15400</c:v>
                </c:pt>
                <c:pt idx="440">
                  <c:v>472400</c:v>
                </c:pt>
                <c:pt idx="441">
                  <c:v>11</c:v>
                </c:pt>
                <c:pt idx="442">
                  <c:v>7976</c:v>
                </c:pt>
                <c:pt idx="443">
                  <c:v>345800</c:v>
                </c:pt>
                <c:pt idx="444">
                  <c:v>335000</c:v>
                </c:pt>
                <c:pt idx="445">
                  <c:v>101400</c:v>
                </c:pt>
                <c:pt idx="446">
                  <c:v>1285500</c:v>
                </c:pt>
                <c:pt idx="447">
                  <c:v>143400</c:v>
                </c:pt>
                <c:pt idx="448">
                  <c:v>5121</c:v>
                </c:pt>
                <c:pt idx="449">
                  <c:v>1860</c:v>
                </c:pt>
              </c:numCache>
            </c:numRef>
          </c:val>
          <c:extLst>
            <c:ext xmlns:c16="http://schemas.microsoft.com/office/drawing/2014/chart" uri="{C3380CC4-5D6E-409C-BE32-E72D297353CC}">
              <c16:uniqueId val="{00000000-C302-4369-A4D4-E95592D88D28}"/>
            </c:ext>
          </c:extLst>
        </c:ser>
        <c:dLbls>
          <c:showLegendKey val="0"/>
          <c:showVal val="0"/>
          <c:showCatName val="0"/>
          <c:showSerName val="0"/>
          <c:showPercent val="0"/>
          <c:showBubbleSize val="0"/>
        </c:dLbls>
        <c:gapWidth val="219"/>
        <c:axId val="537103232"/>
        <c:axId val="678407152"/>
      </c:barChart>
      <c:catAx>
        <c:axId val="537103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407152"/>
        <c:crosses val="autoZero"/>
        <c:auto val="1"/>
        <c:lblAlgn val="ctr"/>
        <c:lblOffset val="100"/>
        <c:noMultiLvlLbl val="0"/>
      </c:catAx>
      <c:valAx>
        <c:axId val="678407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103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(4).xlsm]Graphs!PivotTable14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Graphs!$K$20</c:f>
              <c:strCache>
                <c:ptCount val="1"/>
                <c:pt idx="0">
                  <c:v>Total</c:v>
                </c:pt>
              </c:strCache>
            </c:strRef>
          </c:tx>
          <c:spPr>
            <a:solidFill>
              <a:schemeClr val="accent1"/>
            </a:solidFill>
            <a:ln>
              <a:noFill/>
            </a:ln>
            <a:effectLst/>
          </c:spPr>
          <c:cat>
            <c:strRef>
              <c:f>Graphs!$J$21:$J$101</c:f>
              <c:strCache>
                <c:ptCount val="80"/>
                <c:pt idx="0">
                  <c:v>0</c:v>
                </c:pt>
                <c:pt idx="1">
                  <c:v>1</c:v>
                </c:pt>
                <c:pt idx="2">
                  <c:v>3</c:v>
                </c:pt>
                <c:pt idx="3">
                  <c:v>4</c:v>
                </c:pt>
                <c:pt idx="4">
                  <c:v>11</c:v>
                </c:pt>
                <c:pt idx="5">
                  <c:v>12</c:v>
                </c:pt>
                <c:pt idx="6">
                  <c:v>16</c:v>
                </c:pt>
                <c:pt idx="7">
                  <c:v>18</c:v>
                </c:pt>
                <c:pt idx="8">
                  <c:v>20</c:v>
                </c:pt>
                <c:pt idx="9">
                  <c:v>21</c:v>
                </c:pt>
                <c:pt idx="10">
                  <c:v>24</c:v>
                </c:pt>
                <c:pt idx="11">
                  <c:v>25</c:v>
                </c:pt>
                <c:pt idx="12">
                  <c:v>26</c:v>
                </c:pt>
                <c:pt idx="13">
                  <c:v>27</c:v>
                </c:pt>
                <c:pt idx="14">
                  <c:v>28</c:v>
                </c:pt>
                <c:pt idx="15">
                  <c:v>29</c:v>
                </c:pt>
                <c:pt idx="16">
                  <c:v>30</c:v>
                </c:pt>
                <c:pt idx="17">
                  <c:v>31</c:v>
                </c:pt>
                <c:pt idx="18">
                  <c:v>32</c:v>
                </c:pt>
                <c:pt idx="19">
                  <c:v>33</c:v>
                </c:pt>
                <c:pt idx="20">
                  <c:v>34</c:v>
                </c:pt>
                <c:pt idx="21">
                  <c:v>35</c:v>
                </c:pt>
                <c:pt idx="22">
                  <c:v>36</c:v>
                </c:pt>
                <c:pt idx="23">
                  <c:v>37</c:v>
                </c:pt>
                <c:pt idx="24">
                  <c:v>38</c:v>
                </c:pt>
                <c:pt idx="25">
                  <c:v>39</c:v>
                </c:pt>
                <c:pt idx="26">
                  <c:v>40</c:v>
                </c:pt>
                <c:pt idx="27">
                  <c:v>41</c:v>
                </c:pt>
                <c:pt idx="28">
                  <c:v>42</c:v>
                </c:pt>
                <c:pt idx="29">
                  <c:v>43</c:v>
                </c:pt>
                <c:pt idx="30">
                  <c:v>44</c:v>
                </c:pt>
                <c:pt idx="31">
                  <c:v>45</c:v>
                </c:pt>
                <c:pt idx="32">
                  <c:v>46</c:v>
                </c:pt>
                <c:pt idx="33">
                  <c:v>47</c:v>
                </c:pt>
                <c:pt idx="34">
                  <c:v>48</c:v>
                </c:pt>
                <c:pt idx="35">
                  <c:v>49</c:v>
                </c:pt>
                <c:pt idx="36">
                  <c:v>50</c:v>
                </c:pt>
                <c:pt idx="37">
                  <c:v>51</c:v>
                </c:pt>
                <c:pt idx="38">
                  <c:v>52</c:v>
                </c:pt>
                <c:pt idx="39">
                  <c:v>53</c:v>
                </c:pt>
                <c:pt idx="40">
                  <c:v>54</c:v>
                </c:pt>
                <c:pt idx="41">
                  <c:v>55</c:v>
                </c:pt>
                <c:pt idx="42">
                  <c:v>56</c:v>
                </c:pt>
                <c:pt idx="43">
                  <c:v>57</c:v>
                </c:pt>
                <c:pt idx="44">
                  <c:v>58</c:v>
                </c:pt>
                <c:pt idx="45">
                  <c:v>59</c:v>
                </c:pt>
                <c:pt idx="46">
                  <c:v>60</c:v>
                </c:pt>
                <c:pt idx="47">
                  <c:v>61</c:v>
                </c:pt>
                <c:pt idx="48">
                  <c:v>62</c:v>
                </c:pt>
                <c:pt idx="49">
                  <c:v>63</c:v>
                </c:pt>
                <c:pt idx="50">
                  <c:v>64</c:v>
                </c:pt>
                <c:pt idx="51">
                  <c:v>65</c:v>
                </c:pt>
                <c:pt idx="52">
                  <c:v>66</c:v>
                </c:pt>
                <c:pt idx="53">
                  <c:v>67</c:v>
                </c:pt>
                <c:pt idx="54">
                  <c:v>68</c:v>
                </c:pt>
                <c:pt idx="55">
                  <c:v>69</c:v>
                </c:pt>
                <c:pt idx="56">
                  <c:v>70</c:v>
                </c:pt>
                <c:pt idx="57">
                  <c:v>71</c:v>
                </c:pt>
                <c:pt idx="58">
                  <c:v>72</c:v>
                </c:pt>
                <c:pt idx="59">
                  <c:v>73</c:v>
                </c:pt>
                <c:pt idx="60">
                  <c:v>74</c:v>
                </c:pt>
                <c:pt idx="61">
                  <c:v>75</c:v>
                </c:pt>
                <c:pt idx="62">
                  <c:v>76</c:v>
                </c:pt>
                <c:pt idx="63">
                  <c:v>77</c:v>
                </c:pt>
                <c:pt idx="64">
                  <c:v>78</c:v>
                </c:pt>
                <c:pt idx="65">
                  <c:v>79</c:v>
                </c:pt>
                <c:pt idx="66">
                  <c:v>80</c:v>
                </c:pt>
                <c:pt idx="67">
                  <c:v>81</c:v>
                </c:pt>
                <c:pt idx="68">
                  <c:v>82</c:v>
                </c:pt>
                <c:pt idx="69">
                  <c:v>83</c:v>
                </c:pt>
                <c:pt idx="70">
                  <c:v>84</c:v>
                </c:pt>
                <c:pt idx="71">
                  <c:v>85</c:v>
                </c:pt>
                <c:pt idx="72">
                  <c:v>86</c:v>
                </c:pt>
                <c:pt idx="73">
                  <c:v>87</c:v>
                </c:pt>
                <c:pt idx="74">
                  <c:v>88</c:v>
                </c:pt>
                <c:pt idx="75">
                  <c:v>89</c:v>
                </c:pt>
                <c:pt idx="76">
                  <c:v>90</c:v>
                </c:pt>
                <c:pt idx="77">
                  <c:v>91</c:v>
                </c:pt>
                <c:pt idx="78">
                  <c:v>93</c:v>
                </c:pt>
                <c:pt idx="79">
                  <c:v>95</c:v>
                </c:pt>
              </c:strCache>
            </c:strRef>
          </c:cat>
          <c:val>
            <c:numRef>
              <c:f>Graphs!$K$21:$K$101</c:f>
              <c:numCache>
                <c:formatCode>General</c:formatCode>
                <c:ptCount val="80"/>
                <c:pt idx="0">
                  <c:v>2</c:v>
                </c:pt>
                <c:pt idx="1">
                  <c:v>335</c:v>
                </c:pt>
                <c:pt idx="2">
                  <c:v>163800</c:v>
                </c:pt>
                <c:pt idx="3">
                  <c:v>195600</c:v>
                </c:pt>
                <c:pt idx="4">
                  <c:v>7199</c:v>
                </c:pt>
                <c:pt idx="5">
                  <c:v>1</c:v>
                </c:pt>
                <c:pt idx="6">
                  <c:v>64</c:v>
                </c:pt>
                <c:pt idx="7">
                  <c:v>1</c:v>
                </c:pt>
                <c:pt idx="8">
                  <c:v>9924</c:v>
                </c:pt>
                <c:pt idx="9">
                  <c:v>1900007</c:v>
                </c:pt>
                <c:pt idx="10">
                  <c:v>280600</c:v>
                </c:pt>
                <c:pt idx="11">
                  <c:v>1298330</c:v>
                </c:pt>
                <c:pt idx="12">
                  <c:v>1913601</c:v>
                </c:pt>
                <c:pt idx="13">
                  <c:v>521264</c:v>
                </c:pt>
                <c:pt idx="14">
                  <c:v>1500000</c:v>
                </c:pt>
                <c:pt idx="15">
                  <c:v>748409</c:v>
                </c:pt>
                <c:pt idx="16">
                  <c:v>106</c:v>
                </c:pt>
                <c:pt idx="17">
                  <c:v>390531</c:v>
                </c:pt>
                <c:pt idx="18">
                  <c:v>23521</c:v>
                </c:pt>
                <c:pt idx="19">
                  <c:v>42100</c:v>
                </c:pt>
                <c:pt idx="20">
                  <c:v>1723612</c:v>
                </c:pt>
                <c:pt idx="21">
                  <c:v>16800</c:v>
                </c:pt>
                <c:pt idx="22">
                  <c:v>2000011</c:v>
                </c:pt>
                <c:pt idx="23">
                  <c:v>1414370</c:v>
                </c:pt>
                <c:pt idx="24">
                  <c:v>1282603</c:v>
                </c:pt>
                <c:pt idx="25">
                  <c:v>11255031</c:v>
                </c:pt>
                <c:pt idx="26">
                  <c:v>4608515</c:v>
                </c:pt>
                <c:pt idx="27">
                  <c:v>1168267</c:v>
                </c:pt>
                <c:pt idx="28">
                  <c:v>2256479</c:v>
                </c:pt>
                <c:pt idx="29">
                  <c:v>3052498</c:v>
                </c:pt>
                <c:pt idx="30">
                  <c:v>4336932</c:v>
                </c:pt>
                <c:pt idx="31">
                  <c:v>477159</c:v>
                </c:pt>
                <c:pt idx="32">
                  <c:v>4682585</c:v>
                </c:pt>
                <c:pt idx="33">
                  <c:v>9536347</c:v>
                </c:pt>
                <c:pt idx="34">
                  <c:v>3668649</c:v>
                </c:pt>
                <c:pt idx="35">
                  <c:v>5980700</c:v>
                </c:pt>
                <c:pt idx="36">
                  <c:v>3478255</c:v>
                </c:pt>
                <c:pt idx="37">
                  <c:v>1180196</c:v>
                </c:pt>
                <c:pt idx="38">
                  <c:v>7716757</c:v>
                </c:pt>
                <c:pt idx="39">
                  <c:v>48959877</c:v>
                </c:pt>
                <c:pt idx="40">
                  <c:v>10344106</c:v>
                </c:pt>
                <c:pt idx="41">
                  <c:v>3168900</c:v>
                </c:pt>
                <c:pt idx="42">
                  <c:v>14923188</c:v>
                </c:pt>
                <c:pt idx="43">
                  <c:v>10217700</c:v>
                </c:pt>
                <c:pt idx="44">
                  <c:v>3990779</c:v>
                </c:pt>
                <c:pt idx="45">
                  <c:v>15188314</c:v>
                </c:pt>
                <c:pt idx="46">
                  <c:v>15134873</c:v>
                </c:pt>
                <c:pt idx="47">
                  <c:v>18549194</c:v>
                </c:pt>
                <c:pt idx="48">
                  <c:v>6964138</c:v>
                </c:pt>
                <c:pt idx="49">
                  <c:v>68521283</c:v>
                </c:pt>
                <c:pt idx="50">
                  <c:v>18490360</c:v>
                </c:pt>
                <c:pt idx="51">
                  <c:v>33722218</c:v>
                </c:pt>
                <c:pt idx="52">
                  <c:v>14275110</c:v>
                </c:pt>
                <c:pt idx="53">
                  <c:v>19757814</c:v>
                </c:pt>
                <c:pt idx="54">
                  <c:v>20695347</c:v>
                </c:pt>
                <c:pt idx="55">
                  <c:v>18394763</c:v>
                </c:pt>
                <c:pt idx="56">
                  <c:v>35663107</c:v>
                </c:pt>
                <c:pt idx="57">
                  <c:v>31358390</c:v>
                </c:pt>
                <c:pt idx="58">
                  <c:v>15741807</c:v>
                </c:pt>
                <c:pt idx="59">
                  <c:v>26699900</c:v>
                </c:pt>
                <c:pt idx="60">
                  <c:v>18223488</c:v>
                </c:pt>
                <c:pt idx="61">
                  <c:v>5569043</c:v>
                </c:pt>
                <c:pt idx="62">
                  <c:v>18191988</c:v>
                </c:pt>
                <c:pt idx="63">
                  <c:v>9692023</c:v>
                </c:pt>
                <c:pt idx="64">
                  <c:v>43547138</c:v>
                </c:pt>
                <c:pt idx="65">
                  <c:v>2576420</c:v>
                </c:pt>
                <c:pt idx="66">
                  <c:v>8997536</c:v>
                </c:pt>
                <c:pt idx="67">
                  <c:v>23063702</c:v>
                </c:pt>
                <c:pt idx="68">
                  <c:v>48770818</c:v>
                </c:pt>
                <c:pt idx="69">
                  <c:v>22701124</c:v>
                </c:pt>
                <c:pt idx="70">
                  <c:v>5401446</c:v>
                </c:pt>
                <c:pt idx="71">
                  <c:v>6134502</c:v>
                </c:pt>
                <c:pt idx="72">
                  <c:v>3782400</c:v>
                </c:pt>
                <c:pt idx="73">
                  <c:v>2369781</c:v>
                </c:pt>
                <c:pt idx="74">
                  <c:v>45201061</c:v>
                </c:pt>
                <c:pt idx="75">
                  <c:v>2787160</c:v>
                </c:pt>
                <c:pt idx="76">
                  <c:v>3608532</c:v>
                </c:pt>
                <c:pt idx="77">
                  <c:v>5261618</c:v>
                </c:pt>
                <c:pt idx="78">
                  <c:v>7488959</c:v>
                </c:pt>
                <c:pt idx="79">
                  <c:v>5856888</c:v>
                </c:pt>
              </c:numCache>
            </c:numRef>
          </c:val>
          <c:extLst>
            <c:ext xmlns:c16="http://schemas.microsoft.com/office/drawing/2014/chart" uri="{C3380CC4-5D6E-409C-BE32-E72D297353CC}">
              <c16:uniqueId val="{00000000-FA34-4CDA-A6EE-57296A648D84}"/>
            </c:ext>
          </c:extLst>
        </c:ser>
        <c:dLbls>
          <c:showLegendKey val="0"/>
          <c:showVal val="0"/>
          <c:showCatName val="0"/>
          <c:showSerName val="0"/>
          <c:showPercent val="0"/>
          <c:showBubbleSize val="0"/>
        </c:dLbls>
        <c:axId val="537161232"/>
        <c:axId val="1629301344"/>
      </c:areaChart>
      <c:catAx>
        <c:axId val="53716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9301344"/>
        <c:crosses val="autoZero"/>
        <c:auto val="1"/>
        <c:lblAlgn val="ctr"/>
        <c:lblOffset val="100"/>
        <c:noMultiLvlLbl val="0"/>
      </c:catAx>
      <c:valAx>
        <c:axId val="1629301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16123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(4).xlsm]Graphs!PivotTable15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Graphs!$N$20</c:f>
              <c:strCache>
                <c:ptCount val="1"/>
                <c:pt idx="0">
                  <c:v>Total</c:v>
                </c:pt>
              </c:strCache>
            </c:strRef>
          </c:tx>
          <c:spPr>
            <a:solidFill>
              <a:schemeClr val="accent1"/>
            </a:solidFill>
            <a:ln>
              <a:noFill/>
            </a:ln>
            <a:effectLst/>
          </c:spPr>
          <c:invertIfNegative val="0"/>
          <c:cat>
            <c:strRef>
              <c:f>Graphs!$M$21:$M$822</c:f>
              <c:strCache>
                <c:ptCount val="801"/>
                <c:pt idx="0">
                  <c:v>Banana (feat. Shaggy) - DJ FLe - Minisiren Remix</c:v>
                </c:pt>
                <c:pt idx="1">
                  <c:v>Laxed â€“ Siren Beat</c:v>
                </c:pt>
                <c:pt idx="2">
                  <c:v>Savage</c:v>
                </c:pt>
                <c:pt idx="3">
                  <c:v>Say So</c:v>
                </c:pt>
                <c:pt idx="4">
                  <c:v>Beggin'</c:v>
                </c:pt>
                <c:pt idx="5">
                  <c:v>OUT WEST (feat. Young Thug)</c:v>
                </c:pt>
                <c:pt idx="6">
                  <c:v>Lottery (Renegade)</c:v>
                </c:pt>
                <c:pt idx="7">
                  <c:v>Party Girl</c:v>
                </c:pt>
                <c:pt idx="8">
                  <c:v>All I Want for Christmas Is You</c:v>
                </c:pt>
                <c:pt idx="9">
                  <c:v>Astronaut In The Ocean</c:v>
                </c:pt>
                <c:pt idx="10">
                  <c:v>What You Know Bout Love</c:v>
                </c:pt>
                <c:pt idx="11">
                  <c:v>CoÃ±o</c:v>
                </c:pt>
                <c:pt idx="12">
                  <c:v>SAD GIRLZ LUV MONEY Remix (feat. Kali Uchis and Moliy)</c:v>
                </c:pt>
                <c:pt idx="13">
                  <c:v>No Idea</c:v>
                </c:pt>
                <c:pt idx="14">
                  <c:v>Upside Down</c:v>
                </c:pt>
                <c:pt idx="15">
                  <c:v>Se AcabÃ³ la Cuarentena</c:v>
                </c:pt>
                <c:pt idx="16">
                  <c:v>Woah (feat. D3Mstreet)</c:v>
                </c:pt>
                <c:pt idx="17">
                  <c:v>Life Goes On</c:v>
                </c:pt>
                <c:pt idx="18">
                  <c:v>Sunroof</c:v>
                </c:pt>
                <c:pt idx="19">
                  <c:v>Falling</c:v>
                </c:pt>
                <c:pt idx="20">
                  <c:v>Play Date</c:v>
                </c:pt>
                <c:pt idx="21">
                  <c:v>MONEY</c:v>
                </c:pt>
                <c:pt idx="22">
                  <c:v>love nwantiti (ah ah ah)</c:v>
                </c:pt>
                <c:pt idx="23">
                  <c:v>death bed (coffee for your head)</c:v>
                </c:pt>
                <c:pt idx="24">
                  <c:v>Mood (feat. iann dior)</c:v>
                </c:pt>
                <c:pt idx="25">
                  <c:v>Shower</c:v>
                </c:pt>
                <c:pt idx="26">
                  <c:v>1, 2, 3 (feat. Jason Derulo &amp; De La Ghetto)</c:v>
                </c:pt>
                <c:pt idx="27">
                  <c:v>Candy</c:v>
                </c:pt>
                <c:pt idx="28">
                  <c:v>Jiggle Jiggle</c:v>
                </c:pt>
                <c:pt idx="29">
                  <c:v>Toosie Slide</c:v>
                </c:pt>
                <c:pt idx="30">
                  <c:v>Pepas</c:v>
                </c:pt>
                <c:pt idx="31">
                  <c:v>Tap In</c:v>
                </c:pt>
                <c:pt idx="32">
                  <c:v>Myself</c:v>
                </c:pt>
                <c:pt idx="33">
                  <c:v>Lose Control</c:v>
                </c:pt>
                <c:pt idx="34">
                  <c:v>The Weekend - Funk Wav Remix</c:v>
                </c:pt>
                <c:pt idx="35">
                  <c:v>Supalonely</c:v>
                </c:pt>
                <c:pt idx="36">
                  <c:v>Supalonely (feat. Gus Dapperton)</c:v>
                </c:pt>
                <c:pt idx="37">
                  <c:v>SugarCrash!</c:v>
                </c:pt>
                <c:pt idx="38">
                  <c:v>Blinding Lights</c:v>
                </c:pt>
                <c:pt idx="39">
                  <c:v>Spooky, Scary Skeletons</c:v>
                </c:pt>
                <c:pt idx="40">
                  <c:v>Infinity</c:v>
                </c:pt>
                <c:pt idx="41">
                  <c:v>Way Back Home</c:v>
                </c:pt>
                <c:pt idx="42">
                  <c:v>Kolors</c:v>
                </c:pt>
                <c:pt idx="43">
                  <c:v>TO THE MOON</c:v>
                </c:pt>
                <c:pt idx="44">
                  <c:v>Kiss Me More (feat. SZA)</c:v>
                </c:pt>
                <c:pt idx="45">
                  <c:v>fast</c:v>
                </c:pt>
                <c:pt idx="46">
                  <c:v>Wasabi</c:v>
                </c:pt>
                <c:pt idx="47">
                  <c:v>Woman</c:v>
                </c:pt>
                <c:pt idx="48">
                  <c:v>BOOM</c:v>
                </c:pt>
                <c:pt idx="49">
                  <c:v>TKN (feat. Travis Scott)</c:v>
                </c:pt>
                <c:pt idx="50">
                  <c:v>M to the B</c:v>
                </c:pt>
                <c:pt idx="51">
                  <c:v>Let's Do It Again</c:v>
                </c:pt>
                <c:pt idx="52">
                  <c:v>Lalala</c:v>
                </c:pt>
                <c:pt idx="53">
                  <c:v>Cannibal</c:v>
                </c:pt>
                <c:pt idx="54">
                  <c:v>ROXANNE</c:v>
                </c:pt>
                <c:pt idx="55">
                  <c:v>WAP (feat. Megan Thee Stallion)</c:v>
                </c:pt>
                <c:pt idx="56">
                  <c:v>Stuck in the Middle</c:v>
                </c:pt>
                <c:pt idx="57">
                  <c:v>Love Songs</c:v>
                </c:pt>
                <c:pt idx="58">
                  <c:v>Ride It</c:v>
                </c:pt>
                <c:pt idx="59">
                  <c:v>Dinero</c:v>
                </c:pt>
                <c:pt idx="60">
                  <c:v>Obnimi (Remix)</c:v>
                </c:pt>
                <c:pt idx="61">
                  <c:v>Ameno Amapiano Remix (You Wanna Bamba)</c:v>
                </c:pt>
                <c:pt idx="62">
                  <c:v>Buss It</c:v>
                </c:pt>
                <c:pt idx="63">
                  <c:v>Make You Mine</c:v>
                </c:pt>
                <c:pt idx="64">
                  <c:v>At My Worst</c:v>
                </c:pt>
                <c:pt idx="65">
                  <c:v>Rasputin</c:v>
                </c:pt>
                <c:pt idx="66">
                  <c:v>Leave The Door Open</c:v>
                </c:pt>
                <c:pt idx="67">
                  <c:v>The Git Up</c:v>
                </c:pt>
                <c:pt idx="68">
                  <c:v>Put Your Records On</c:v>
                </c:pt>
                <c:pt idx="69">
                  <c:v>iSpy (feat. Lil Yachty)</c:v>
                </c:pt>
                <c:pt idx="70">
                  <c:v>Get Up (feat. Chamillionaire)</c:v>
                </c:pt>
                <c:pt idx="71">
                  <c:v>Renai Circulation (English Cover) [2012 TV Size]</c:v>
                </c:pt>
                <c:pt idx="72">
                  <c:v>Wet (She Got Thatâ€¦)</c:v>
                </c:pt>
                <c:pt idx="73">
                  <c:v>Todo De Ti</c:v>
                </c:pt>
                <c:pt idx="74">
                  <c:v>The Box</c:v>
                </c:pt>
                <c:pt idx="75">
                  <c:v>Might Be</c:v>
                </c:pt>
                <c:pt idx="76">
                  <c:v>Buttercup</c:v>
                </c:pt>
                <c:pt idx="77">
                  <c:v>Vacation</c:v>
                </c:pt>
                <c:pt idx="78">
                  <c:v>Title</c:v>
                </c:pt>
                <c:pt idx="79">
                  <c:v>Something New (feat. Ty Dolla $ign)</c:v>
                </c:pt>
                <c:pt idx="80">
                  <c:v>Running Up That Hill (A Deal With God)</c:v>
                </c:pt>
                <c:pt idx="81">
                  <c:v>Chinese New Year</c:v>
                </c:pt>
                <c:pt idx="82">
                  <c:v>Crystal Dolphin</c:v>
                </c:pt>
                <c:pt idx="83">
                  <c:v>Bundles (feat. Taylor Girlz)</c:v>
                </c:pt>
                <c:pt idx="84">
                  <c:v>Mad at Disney</c:v>
                </c:pt>
                <c:pt idx="85">
                  <c:v>Deep End</c:v>
                </c:pt>
                <c:pt idx="86">
                  <c:v>double take</c:v>
                </c:pt>
                <c:pt idx="87">
                  <c:v>Mia Khalifa</c:v>
                </c:pt>
                <c:pt idx="88">
                  <c:v>Big Fun</c:v>
                </c:pt>
                <c:pt idx="89">
                  <c:v>Bad Habits</c:v>
                </c:pt>
                <c:pt idx="90">
                  <c:v>drivers license</c:v>
                </c:pt>
                <c:pt idx="91">
                  <c:v>Envolver</c:v>
                </c:pt>
                <c:pt idx="92">
                  <c:v>WITHOUT YOU</c:v>
                </c:pt>
                <c:pt idx="93">
                  <c:v>abcdefu</c:v>
                </c:pt>
                <c:pt idx="94">
                  <c:v>Jingle Bell Rock</c:v>
                </c:pt>
                <c:pt idx="95">
                  <c:v>Hood Baby</c:v>
                </c:pt>
                <c:pt idx="96">
                  <c:v>INFERNO</c:v>
                </c:pt>
                <c:pt idx="97">
                  <c:v>Because Of You</c:v>
                </c:pt>
                <c:pt idx="98">
                  <c:v>Hatchback</c:v>
                </c:pt>
                <c:pt idx="99">
                  <c:v>Roses - Imanbek Remix</c:v>
                </c:pt>
                <c:pt idx="100">
                  <c:v>Therefore I Am</c:v>
                </c:pt>
                <c:pt idx="101">
                  <c:v>Go Go Go Who's Next?</c:v>
                </c:pt>
                <c:pt idx="102">
                  <c:v>Don't Start Now</c:v>
                </c:pt>
                <c:pt idx="103">
                  <c:v>Pope Is a Rockstar</c:v>
                </c:pt>
                <c:pt idx="104">
                  <c:v>TWINNEM</c:v>
                </c:pt>
                <c:pt idx="105">
                  <c:v>My Heart Went Oops</c:v>
                </c:pt>
                <c:pt idx="106">
                  <c:v>About Damn Time</c:v>
                </c:pt>
                <c:pt idx="107">
                  <c:v>Best Friend (feat. Doja Cat)</c:v>
                </c:pt>
                <c:pt idx="108">
                  <c:v>Renee</c:v>
                </c:pt>
                <c:pt idx="109">
                  <c:v>Break My Heart</c:v>
                </c:pt>
                <c:pt idx="110">
                  <c:v>Heat Waves</c:v>
                </c:pt>
                <c:pt idx="111">
                  <c:v>Take Your Man</c:v>
                </c:pt>
                <c:pt idx="112">
                  <c:v>Backyard Boy</c:v>
                </c:pt>
                <c:pt idx="113">
                  <c:v>INDUSTRY BABY (feat. Jack Harlow)</c:v>
                </c:pt>
                <c:pt idx="114">
                  <c:v>Like I Can</c:v>
                </c:pt>
                <c:pt idx="115">
                  <c:v>Into Your Arms (feat. Ava Max)</c:v>
                </c:pt>
                <c:pt idx="116">
                  <c:v>Be Gone Thot!</c:v>
                </c:pt>
                <c:pt idx="117">
                  <c:v>Butter</c:v>
                </c:pt>
                <c:pt idx="118">
                  <c:v>Lemonade</c:v>
                </c:pt>
                <c:pt idx="119">
                  <c:v>Need to Know</c:v>
                </c:pt>
                <c:pt idx="120">
                  <c:v>Skechers</c:v>
                </c:pt>
                <c:pt idx="121">
                  <c:v>Muffins In The Freezer</c:v>
                </c:pt>
                <c:pt idx="122">
                  <c:v>Copines</c:v>
                </c:pt>
                <c:pt idx="123">
                  <c:v>Still Don't Know My Name</c:v>
                </c:pt>
                <c:pt idx="124">
                  <c:v>Relationship (feat. Future)</c:v>
                </c:pt>
                <c:pt idx="125">
                  <c:v>Round of Applause</c:v>
                </c:pt>
                <c:pt idx="126">
                  <c:v>Permission to Dance</c:v>
                </c:pt>
                <c:pt idx="127">
                  <c:v>Freak (feat. REI AMI)</c:v>
                </c:pt>
                <c:pt idx="128">
                  <c:v>telepatÃ­a</c:v>
                </c:pt>
                <c:pt idx="129">
                  <c:v>Watermelon Sugar</c:v>
                </c:pt>
                <c:pt idx="130">
                  <c:v>Rockstar</c:v>
                </c:pt>
                <c:pt idx="131">
                  <c:v>Hot N Cold</c:v>
                </c:pt>
                <c:pt idx="132">
                  <c:v>Desce Pro Play (PA PA PA)</c:v>
                </c:pt>
                <c:pt idx="133">
                  <c:v>Eyes. Lips. Face.</c:v>
                </c:pt>
                <c:pt idx="134">
                  <c:v>Dandelions</c:v>
                </c:pt>
                <c:pt idx="135">
                  <c:v>ROCKSTAR (feat. Roddy Ricch)</c:v>
                </c:pt>
                <c:pt idx="136">
                  <c:v>STUPID (feat. Yung Baby Tate)</c:v>
                </c:pt>
                <c:pt idx="137">
                  <c:v>Up</c:v>
                </c:pt>
                <c:pt idx="138">
                  <c:v>Material Girl</c:v>
                </c:pt>
                <c:pt idx="139">
                  <c:v>Dancing in My Room</c:v>
                </c:pt>
                <c:pt idx="140">
                  <c:v>A Thousand Years</c:v>
                </c:pt>
                <c:pt idx="141">
                  <c:v>The Business</c:v>
                </c:pt>
                <c:pt idx="142">
                  <c:v>WFM</c:v>
                </c:pt>
                <c:pt idx="143">
                  <c:v>One Wish</c:v>
                </c:pt>
                <c:pt idx="144">
                  <c:v>Blueberry Faygo</c:v>
                </c:pt>
                <c:pt idx="145">
                  <c:v>Psycho!</c:v>
                </c:pt>
                <c:pt idx="146">
                  <c:v>Boss Bitch</c:v>
                </c:pt>
                <c:pt idx="147">
                  <c:v>Paradise</c:v>
                </c:pt>
                <c:pt idx="148">
                  <c:v>Freak</c:v>
                </c:pt>
                <c:pt idx="149">
                  <c:v>SUGAR</c:v>
                </c:pt>
                <c:pt idx="150">
                  <c:v>Oh No</c:v>
                </c:pt>
                <c:pt idx="151">
                  <c:v>My Oh My (feat. DaBaby)</c:v>
                </c:pt>
                <c:pt idx="152">
                  <c:v>My Type</c:v>
                </c:pt>
                <c:pt idx="153">
                  <c:v>Sweater Weather</c:v>
                </c:pt>
                <c:pt idx="154">
                  <c:v>THATS WHAT I WANT</c:v>
                </c:pt>
                <c:pt idx="155">
                  <c:v>Vibin'</c:v>
                </c:pt>
                <c:pt idx="156">
                  <c:v>Vibe (If I Back It Up)</c:v>
                </c:pt>
                <c:pt idx="157">
                  <c:v>Shh</c:v>
                </c:pt>
                <c:pt idx="158">
                  <c:v>Snowman</c:v>
                </c:pt>
                <c:pt idx="159">
                  <c:v>Lets Link</c:v>
                </c:pt>
                <c:pt idx="160">
                  <c:v>No Lie</c:v>
                </c:pt>
                <c:pt idx="161">
                  <c:v>Marry Me</c:v>
                </c:pt>
                <c:pt idx="162">
                  <c:v>Glimpse of Us</c:v>
                </c:pt>
                <c:pt idx="163">
                  <c:v>Gimme More</c:v>
                </c:pt>
                <c:pt idx="164">
                  <c:v>Soap</c:v>
                </c:pt>
                <c:pt idx="165">
                  <c:v>Mine</c:v>
                </c:pt>
                <c:pt idx="166">
                  <c:v>Drugs</c:v>
                </c:pt>
                <c:pt idx="167">
                  <c:v>Hungry Hippo</c:v>
                </c:pt>
                <c:pt idx="168">
                  <c:v>It's You</c:v>
                </c:pt>
                <c:pt idx="169">
                  <c:v>Knock at the Door</c:v>
                </c:pt>
                <c:pt idx="170">
                  <c:v>King's Dead (with Kendrick Lamar, Future &amp; James Blake)</c:v>
                </c:pt>
                <c:pt idx="171">
                  <c:v>LALISA</c:v>
                </c:pt>
                <c:pt idx="172">
                  <c:v>Sunday Best</c:v>
                </c:pt>
                <c:pt idx="173">
                  <c:v>Every Summertime</c:v>
                </c:pt>
                <c:pt idx="174">
                  <c:v>Levitating</c:v>
                </c:pt>
                <c:pt idx="175">
                  <c:v>prom dress</c:v>
                </c:pt>
                <c:pt idx="176">
                  <c:v>I Hate U</c:v>
                </c:pt>
                <c:pt idx="177">
                  <c:v>Hotel Room Service</c:v>
                </c:pt>
                <c:pt idx="178">
                  <c:v>Stunnin'</c:v>
                </c:pt>
                <c:pt idx="179">
                  <c:v>Old Town Road</c:v>
                </c:pt>
                <c:pt idx="180">
                  <c:v>Middle</c:v>
                </c:pt>
                <c:pt idx="181">
                  <c:v>hot girl bummer</c:v>
                </c:pt>
                <c:pt idx="182">
                  <c:v>Yellow Hearts</c:v>
                </c:pt>
                <c:pt idx="183">
                  <c:v>HOLIDAY</c:v>
                </c:pt>
                <c:pt idx="184">
                  <c:v>Don't Lose Ur Head</c:v>
                </c:pt>
                <c:pt idx="185">
                  <c:v>Thot Shit</c:v>
                </c:pt>
                <c:pt idx="186">
                  <c:v>They Call Me Tiago (Her Name Is Margo)</c:v>
                </c:pt>
                <c:pt idx="187">
                  <c:v>2 PhÃºt HÆ¡n - KAIZ Remix</c:v>
                </c:pt>
                <c:pt idx="188">
                  <c:v>Famous (I'm The One) (feat. Yo Gotti &amp; DeJ Loaf)</c:v>
                </c:pt>
                <c:pt idx="189">
                  <c:v>Walked In</c:v>
                </c:pt>
                <c:pt idx="190">
                  <c:v>SLOW DANCING IN THE DARK</c:v>
                </c:pt>
                <c:pt idx="191">
                  <c:v>A.M.</c:v>
                </c:pt>
                <c:pt idx="192">
                  <c:v>happier</c:v>
                </c:pt>
                <c:pt idx="193">
                  <c:v>Bulletproof</c:v>
                </c:pt>
                <c:pt idx="194">
                  <c:v>Dissolve</c:v>
                </c:pt>
                <c:pt idx="195">
                  <c:v>Whoopty</c:v>
                </c:pt>
                <c:pt idx="196">
                  <c:v>MIDDLE OF THE NIGHT</c:v>
                </c:pt>
                <c:pt idx="197">
                  <c:v>Calling My Phone</c:v>
                </c:pt>
                <c:pt idx="198">
                  <c:v>Build a Bitch</c:v>
                </c:pt>
                <c:pt idx="199">
                  <c:v>Lost</c:v>
                </c:pt>
                <c:pt idx="200">
                  <c:v>Bad Habit</c:v>
                </c:pt>
                <c:pt idx="201">
                  <c:v>cardigan</c:v>
                </c:pt>
                <c:pt idx="202">
                  <c:v>Tutu</c:v>
                </c:pt>
                <c:pt idx="203">
                  <c:v>Mariposa</c:v>
                </c:pt>
                <c:pt idx="204">
                  <c:v>Yours</c:v>
                </c:pt>
                <c:pt idx="205">
                  <c:v>It's Only Me - Studio Version</c:v>
                </c:pt>
                <c:pt idx="206">
                  <c:v>Running Away</c:v>
                </c:pt>
                <c:pt idx="207">
                  <c:v>Another Love</c:v>
                </c:pt>
                <c:pt idx="208">
                  <c:v>My Universe</c:v>
                </c:pt>
                <c:pt idx="209">
                  <c:v>Polaroid Love</c:v>
                </c:pt>
                <c:pt idx="210">
                  <c:v>Crush</c:v>
                </c:pt>
                <c:pt idx="211">
                  <c:v>I'm Gonna Show You Crazy</c:v>
                </c:pt>
                <c:pt idx="212">
                  <c:v>The Show</c:v>
                </c:pt>
                <c:pt idx="213">
                  <c:v>Y U Gotta B Like That</c:v>
                </c:pt>
                <c:pt idx="214">
                  <c:v>Until I Found You</c:v>
                </c:pt>
                <c:pt idx="215">
                  <c:v>Savage Love (Laxed - Siren Beat)</c:v>
                </c:pt>
                <c:pt idx="216">
                  <c:v>GOOBA</c:v>
                </c:pt>
                <c:pt idx="217">
                  <c:v>Then Leave (feat. Queendom Come)</c:v>
                </c:pt>
                <c:pt idx="218">
                  <c:v>Please Don't Go</c:v>
                </c:pt>
                <c:pt idx="219">
                  <c:v>As It Was</c:v>
                </c:pt>
                <c:pt idx="220">
                  <c:v>Criminal</c:v>
                </c:pt>
                <c:pt idx="221">
                  <c:v>Bad Boy</c:v>
                </c:pt>
                <c:pt idx="222">
                  <c:v>FML</c:v>
                </c:pt>
                <c:pt idx="223">
                  <c:v>Electric Love</c:v>
                </c:pt>
                <c:pt idx="224">
                  <c:v>Un Poco Loco</c:v>
                </c:pt>
                <c:pt idx="225">
                  <c:v>Save Your Tears</c:v>
                </c:pt>
                <c:pt idx="226">
                  <c:v>Mr. Blue Sky</c:v>
                </c:pt>
                <c:pt idx="227">
                  <c:v>Back Up (feat. Big Sean)</c:v>
                </c:pt>
                <c:pt idx="228">
                  <c:v>What They Want</c:v>
                </c:pt>
                <c:pt idx="229">
                  <c:v>First Class</c:v>
                </c:pt>
                <c:pt idx="230">
                  <c:v>Moon (And It Went Like)</c:v>
                </c:pt>
                <c:pt idx="231">
                  <c:v>Love Story (Taylorâ€™s Version)</c:v>
                </c:pt>
                <c:pt idx="232">
                  <c:v>Levitating (feat. DaBaby)</c:v>
                </c:pt>
                <c:pt idx="233">
                  <c:v>Some</c:v>
                </c:pt>
                <c:pt idx="234">
                  <c:v>Becky</c:v>
                </c:pt>
                <c:pt idx="235">
                  <c:v>VALENTINO</c:v>
                </c:pt>
                <c:pt idx="236">
                  <c:v>House of Memories</c:v>
                </c:pt>
                <c:pt idx="237">
                  <c:v>Do It</c:v>
                </c:pt>
                <c:pt idx="238">
                  <c:v>Smack a Bitch</c:v>
                </c:pt>
                <c:pt idx="239">
                  <c:v>Crisis</c:v>
                </c:pt>
                <c:pt idx="240">
                  <c:v>The Dice Beat Pt. 1</c:v>
                </c:pt>
                <c:pt idx="241">
                  <c:v>3 Musketeers</c:v>
                </c:pt>
                <c:pt idx="242">
                  <c:v>Sunshine</c:v>
                </c:pt>
                <c:pt idx="243">
                  <c:v>Rover (feat. DTG)</c:v>
                </c:pt>
                <c:pt idx="244">
                  <c:v>Someone To You</c:v>
                </c:pt>
                <c:pt idx="245">
                  <c:v>I AM WOMAN</c:v>
                </c:pt>
                <c:pt idx="246">
                  <c:v>Talking to the Moon</c:v>
                </c:pt>
                <c:pt idx="247">
                  <c:v>Island In The Sun</c:v>
                </c:pt>
                <c:pt idx="248">
                  <c:v>GOODMORNINGTOKYO!</c:v>
                </c:pt>
                <c:pt idx="249">
                  <c:v>WHATS POPPIN</c:v>
                </c:pt>
                <c:pt idx="250">
                  <c:v>I Don't Care (with Justin Bieber)</c:v>
                </c:pt>
                <c:pt idx="251">
                  <c:v>After Party</c:v>
                </c:pt>
                <c:pt idx="252">
                  <c:v>Moral of the Story</c:v>
                </c:pt>
                <c:pt idx="253">
                  <c:v>More Than A Woman - From ""Saturday Night Fever"" Soundtrack</c:v>
                </c:pt>
                <c:pt idx="254">
                  <c:v>My Ordinary Life</c:v>
                </c:pt>
                <c:pt idx="255">
                  <c:v>sex</c:v>
                </c:pt>
                <c:pt idx="256">
                  <c:v>MICKEY</c:v>
                </c:pt>
                <c:pt idx="257">
                  <c:v>Just The Two of Us</c:v>
                </c:pt>
                <c:pt idx="258">
                  <c:v>Get Down</c:v>
                </c:pt>
                <c:pt idx="259">
                  <c:v>Love Me</c:v>
                </c:pt>
                <c:pt idx="260">
                  <c:v>ALL IN</c:v>
                </c:pt>
                <c:pt idx="261">
                  <c:v>Interior Crocodile Alligator</c:v>
                </c:pt>
                <c:pt idx="262">
                  <c:v>Ransom</c:v>
                </c:pt>
                <c:pt idx="263">
                  <c:v>Who R U</c:v>
                </c:pt>
                <c:pt idx="264">
                  <c:v>May I</c:v>
                </c:pt>
                <c:pt idx="265">
                  <c:v>Airplane Mode</c:v>
                </c:pt>
                <c:pt idx="266">
                  <c:v>Toxic</c:v>
                </c:pt>
                <c:pt idx="267">
                  <c:v>Baby Yoda</c:v>
                </c:pt>
                <c:pt idx="268">
                  <c:v>Cash Shit (feat. DaBaby)</c:v>
                </c:pt>
                <c:pt idx="269">
                  <c:v>Jalebi Baby (Tesher x Jason Derulo)</c:v>
                </c:pt>
                <c:pt idx="270">
                  <c:v>Take You Dancing</c:v>
                </c:pt>
                <c:pt idx="271">
                  <c:v>In Your Eyes</c:v>
                </c:pt>
                <c:pt idx="272">
                  <c:v>Sweet but Psycho</c:v>
                </c:pt>
                <c:pt idx="273">
                  <c:v>Myron</c:v>
                </c:pt>
                <c:pt idx="274">
                  <c:v>Gravity (feat. Tyler, The Creator)</c:v>
                </c:pt>
                <c:pt idx="275">
                  <c:v>positions</c:v>
                </c:pt>
                <c:pt idx="276">
                  <c:v>Astronomia</c:v>
                </c:pt>
                <c:pt idx="277">
                  <c:v>Kraazy</c:v>
                </c:pt>
                <c:pt idx="278">
                  <c:v>When She Loved Me</c:v>
                </c:pt>
                <c:pt idx="279">
                  <c:v>Gimme Love</c:v>
                </c:pt>
                <c:pt idx="280">
                  <c:v>Light Switch</c:v>
                </c:pt>
                <c:pt idx="281">
                  <c:v>we fell in love in october</c:v>
                </c:pt>
                <c:pt idx="282">
                  <c:v>F2020</c:v>
                </c:pt>
                <c:pt idx="283">
                  <c:v>Low (feat. T-Pain)</c:v>
                </c:pt>
                <c:pt idx="284">
                  <c:v>Paris</c:v>
                </c:pt>
                <c:pt idx="285">
                  <c:v>Be Kind (with Halsey)</c:v>
                </c:pt>
                <c:pt idx="286">
                  <c:v>Marlboro Nights</c:v>
                </c:pt>
                <c:pt idx="287">
                  <c:v>Heartbreak Anniversary</c:v>
                </c:pt>
                <c:pt idx="288">
                  <c:v>Heather</c:v>
                </c:pt>
                <c:pt idx="289">
                  <c:v>motive (with Doja Cat)</c:v>
                </c:pt>
                <c:pt idx="290">
                  <c:v>Deep End Freestyle</c:v>
                </c:pt>
                <c:pt idx="291">
                  <c:v>Later Bitches</c:v>
                </c:pt>
                <c:pt idx="292">
                  <c:v>All I Want</c:v>
                </c:pt>
                <c:pt idx="293">
                  <c:v>Don't Rush (feat. Headie One)</c:v>
                </c:pt>
                <c:pt idx="294">
                  <c:v>7 rings</c:v>
                </c:pt>
                <c:pt idx="295">
                  <c:v>Who Says</c:v>
                </c:pt>
                <c:pt idx="296">
                  <c:v>Figure It Out</c:v>
                </c:pt>
                <c:pt idx="297">
                  <c:v>Stuck with U (with Justin Bieber)</c:v>
                </c:pt>
                <c:pt idx="298">
                  <c:v>Buff Baby</c:v>
                </c:pt>
                <c:pt idx="299">
                  <c:v>The Less I Know The Better</c:v>
                </c:pt>
                <c:pt idx="300">
                  <c:v>Give Love</c:v>
                </c:pt>
                <c:pt idx="301">
                  <c:v>#BrooklynBloodPop!</c:v>
                </c:pt>
                <c:pt idx="302">
                  <c:v>Cupid's Chokehold / Breakfast in America</c:v>
                </c:pt>
                <c:pt idx="303">
                  <c:v>Needs</c:v>
                </c:pt>
                <c:pt idx="304">
                  <c:v>Write This Down (Instrumental)</c:v>
                </c:pt>
                <c:pt idx="305">
                  <c:v>VIBEZ</c:v>
                </c:pt>
                <c:pt idx="306">
                  <c:v>Brave</c:v>
                </c:pt>
                <c:pt idx="307">
                  <c:v>Trampoline</c:v>
                </c:pt>
                <c:pt idx="308">
                  <c:v>The Muffin Song (asdfmovie)</c:v>
                </c:pt>
                <c:pt idx="309">
                  <c:v>Ð Ð°Ñ‚Ð°Ñ‚Ð°</c:v>
                </c:pt>
                <c:pt idx="310">
                  <c:v>Paper Planes</c:v>
                </c:pt>
                <c:pt idx="311">
                  <c:v>Borderline</c:v>
                </c:pt>
                <c:pt idx="312">
                  <c:v>Truth Hurts</c:v>
                </c:pt>
                <c:pt idx="313">
                  <c:v>Shop</c:v>
                </c:pt>
                <c:pt idx="314">
                  <c:v>everything sucks</c:v>
                </c:pt>
                <c:pt idx="315">
                  <c:v>Never Ending Story</c:v>
                </c:pt>
                <c:pt idx="316">
                  <c:v>Glitter</c:v>
                </c:pt>
                <c:pt idx="317">
                  <c:v>Be My Baby</c:v>
                </c:pt>
                <c:pt idx="318">
                  <c:v>Afraid To Feel</c:v>
                </c:pt>
                <c:pt idx="319">
                  <c:v>CITY OF ANGELS</c:v>
                </c:pt>
                <c:pt idx="320">
                  <c:v>Ð¯ Ð±ÑƒÐ´Ñƒ ÐµÐ±Ð°Ñ‚ÑŒ</c:v>
                </c:pt>
                <c:pt idx="321">
                  <c:v>Panini</c:v>
                </c:pt>
                <c:pt idx="322">
                  <c:v>Amour plastique</c:v>
                </c:pt>
                <c:pt idx="323">
                  <c:v>Maniac</c:v>
                </c:pt>
                <c:pt idx="324">
                  <c:v>Liar</c:v>
                </c:pt>
                <c:pt idx="325">
                  <c:v>Cheating on You</c:v>
                </c:pt>
                <c:pt idx="326">
                  <c:v>Friday (feat. Mufasa &amp; Hypeman) - Dopamine Re-Edit</c:v>
                </c:pt>
                <c:pt idx="327">
                  <c:v>For The Night (feat. Lil Baby &amp; DaBaby)</c:v>
                </c:pt>
                <c:pt idx="328">
                  <c:v>Homage</c:v>
                </c:pt>
                <c:pt idx="329">
                  <c:v>Mr. Clean</c:v>
                </c:pt>
                <c:pt idx="330">
                  <c:v>Smile</c:v>
                </c:pt>
                <c:pt idx="331">
                  <c:v>Freaks</c:v>
                </c:pt>
                <c:pt idx="332">
                  <c:v>THICK (feat. Megan Thee Stallion) - Remix</c:v>
                </c:pt>
                <c:pt idx="333">
                  <c:v>Good Days</c:v>
                </c:pt>
                <c:pt idx="334">
                  <c:v>Wanna Be Like You</c:v>
                </c:pt>
                <c:pt idx="335">
                  <c:v>Steppin'</c:v>
                </c:pt>
                <c:pt idx="336">
                  <c:v>Baby</c:v>
                </c:pt>
                <c:pt idx="337">
                  <c:v>Funny Thing</c:v>
                </c:pt>
                <c:pt idx="338">
                  <c:v>Say It Right</c:v>
                </c:pt>
                <c:pt idx="339">
                  <c:v>I Lived</c:v>
                </c:pt>
                <c:pt idx="340">
                  <c:v>No Guidance (feat. Drake)</c:v>
                </c:pt>
                <c:pt idx="341">
                  <c:v>To the Right</c:v>
                </c:pt>
                <c:pt idx="342">
                  <c:v>Partition</c:v>
                </c:pt>
                <c:pt idx="343">
                  <c:v>Without Me</c:v>
                </c:pt>
                <c:pt idx="344">
                  <c:v>Hips Don't Lie (feat. Wyclef Jean)</c:v>
                </c:pt>
                <c:pt idx="345">
                  <c:v>Still into You</c:v>
                </c:pt>
                <c:pt idx="346">
                  <c:v>Dá»… Äáº¿n Dá»… Äi</c:v>
                </c:pt>
                <c:pt idx="347">
                  <c:v>Cartier</c:v>
                </c:pt>
                <c:pt idx="348">
                  <c:v>Safe And Sound</c:v>
                </c:pt>
                <c:pt idx="349">
                  <c:v>Thousand Miles</c:v>
                </c:pt>
                <c:pt idx="350">
                  <c:v>WTF</c:v>
                </c:pt>
                <c:pt idx="351">
                  <c:v>Crimewave</c:v>
                </c:pt>
                <c:pt idx="352">
                  <c:v>Sit Still, Look Pretty</c:v>
                </c:pt>
                <c:pt idx="353">
                  <c:v>Asshole</c:v>
                </c:pt>
                <c:pt idx="354">
                  <c:v>Ain't Shit</c:v>
                </c:pt>
                <c:pt idx="355">
                  <c:v>Prom Queen</c:v>
                </c:pt>
                <c:pt idx="356">
                  <c:v>Lay All Your Love On Me</c:v>
                </c:pt>
                <c:pt idx="357">
                  <c:v>Pumpkins scream in the dead of night</c:v>
                </c:pt>
                <c:pt idx="358">
                  <c:v>Down Under (feat. Colin Hay)</c:v>
                </c:pt>
                <c:pt idx="359">
                  <c:v>Me Too</c:v>
                </c:pt>
                <c:pt idx="360">
                  <c:v>Physical</c:v>
                </c:pt>
                <c:pt idx="361">
                  <c:v>Confident</c:v>
                </c:pt>
                <c:pt idx="362">
                  <c:v>PYRO</c:v>
                </c:pt>
                <c:pt idx="363">
                  <c:v>Griztronics</c:v>
                </c:pt>
                <c:pt idx="364">
                  <c:v>I Just Want to Be the One You Love</c:v>
                </c:pt>
                <c:pt idx="365">
                  <c:v>cheatercheaterbestfriendeater</c:v>
                </c:pt>
                <c:pt idx="366">
                  <c:v>Beggin (original version)</c:v>
                </c:pt>
                <c:pt idx="367">
                  <c:v>Walk Man</c:v>
                </c:pt>
                <c:pt idx="368">
                  <c:v>Wildest Dreams</c:v>
                </c:pt>
                <c:pt idx="369">
                  <c:v>Classic</c:v>
                </c:pt>
                <c:pt idx="370">
                  <c:v>Are You Bored Yet? (feat. Clairo)</c:v>
                </c:pt>
                <c:pt idx="371">
                  <c:v>Shake It</c:v>
                </c:pt>
                <c:pt idx="372">
                  <c:v>3 Strikes</c:v>
                </c:pt>
                <c:pt idx="373">
                  <c:v>Better Days (NEIKED x Mae Muller x Polo G)</c:v>
                </c:pt>
                <c:pt idx="374">
                  <c:v>Hair (feat. Sean Paul)</c:v>
                </c:pt>
                <c:pt idx="375">
                  <c:v>If the World Was Ending (feat. Julia Michaels)</c:v>
                </c:pt>
                <c:pt idx="376">
                  <c:v>Forget Me Thots</c:v>
                </c:pt>
                <c:pt idx="377">
                  <c:v>Act Up</c:v>
                </c:pt>
                <c:pt idx="378">
                  <c:v>Left and Right (Charlie Puth) [feat. Jung Kook of BTS] - Sped Up Version</c:v>
                </c:pt>
                <c:pt idx="379">
                  <c:v>What A Shame</c:v>
                </c:pt>
                <c:pt idx="380">
                  <c:v>Grow A Pear</c:v>
                </c:pt>
                <c:pt idx="381">
                  <c:v>You Right</c:v>
                </c:pt>
                <c:pt idx="382">
                  <c:v>Something For Your M.I.N.D.</c:v>
                </c:pt>
                <c:pt idx="383">
                  <c:v>Panda</c:v>
                </c:pt>
                <c:pt idx="384">
                  <c:v>Working Bitch</c:v>
                </c:pt>
                <c:pt idx="385">
                  <c:v>Betty (Get Money)</c:v>
                </c:pt>
                <c:pt idx="386">
                  <c:v>GUY.exe</c:v>
                </c:pt>
                <c:pt idx="387">
                  <c:v>Aesthetic</c:v>
                </c:pt>
                <c:pt idx="388">
                  <c:v>Enemy (with JID) - from the series Arcane League of Legends</c:v>
                </c:pt>
                <c:pt idx="389">
                  <c:v>I'd Rather Sleep</c:v>
                </c:pt>
                <c:pt idx="390">
                  <c:v>RAPSTAR</c:v>
                </c:pt>
                <c:pt idx="391">
                  <c:v>I Can't Handle Change</c:v>
                </c:pt>
                <c:pt idx="392">
                  <c:v>Where'd You Go (feat. Holly Brook &amp; Jonah Matranga)</c:v>
                </c:pt>
                <c:pt idx="393">
                  <c:v>Always Forever</c:v>
                </c:pt>
                <c:pt idx="394">
                  <c:v>New Flesh</c:v>
                </c:pt>
                <c:pt idx="395">
                  <c:v>Apollo</c:v>
                </c:pt>
                <c:pt idx="396">
                  <c:v>High Fashion (feat. Mustard)</c:v>
                </c:pt>
                <c:pt idx="397">
                  <c:v>Good Girls Bad Guys</c:v>
                </c:pt>
                <c:pt idx="398">
                  <c:v>Daisy</c:v>
                </c:pt>
                <c:pt idx="399">
                  <c:v>Just Give Me a Reason (feat. Nate Ruess)</c:v>
                </c:pt>
                <c:pt idx="400">
                  <c:v>Young Dumb &amp; Broke</c:v>
                </c:pt>
                <c:pt idx="401">
                  <c:v>Take It Off</c:v>
                </c:pt>
                <c:pt idx="402">
                  <c:v>Pocketful of Sunshine</c:v>
                </c:pt>
                <c:pt idx="403">
                  <c:v>Bam Bam (feat. Ed Sheeran)</c:v>
                </c:pt>
                <c:pt idx="404">
                  <c:v>Bound 2</c:v>
                </c:pt>
                <c:pt idx="405">
                  <c:v>Somebody That I Used To Know</c:v>
                </c:pt>
                <c:pt idx="406">
                  <c:v>SG (with Ozuna, Megan Thee Stallion &amp; LISA of BLACKPINK)</c:v>
                </c:pt>
                <c:pt idx="407">
                  <c:v>BOP</c:v>
                </c:pt>
                <c:pt idx="408">
                  <c:v>Dilemma</c:v>
                </c:pt>
                <c:pt idx="409">
                  <c:v>Rodeo</c:v>
                </c:pt>
                <c:pt idx="410">
                  <c:v>The Motto</c:v>
                </c:pt>
                <c:pt idx="411">
                  <c:v>She Belongs to the Streets (Toxic)</c:v>
                </c:pt>
                <c:pt idx="412">
                  <c:v>It's The Hard-Knock Life</c:v>
                </c:pt>
                <c:pt idx="413">
                  <c:v>Save Your Tears (with Ariana Grande) (Remix)</c:v>
                </c:pt>
                <c:pt idx="414">
                  <c:v>To Be So Lonely</c:v>
                </c:pt>
                <c:pt idx="415">
                  <c:v>Go Crazy</c:v>
                </c:pt>
                <c:pt idx="416">
                  <c:v>Boys Ain't Shit</c:v>
                </c:pt>
                <c:pt idx="417">
                  <c:v>You Need To Calm Down</c:v>
                </c:pt>
                <c:pt idx="418">
                  <c:v>Addison Rae</c:v>
                </c:pt>
                <c:pt idx="419">
                  <c:v>Life Is Good (feat. Drake)</c:v>
                </c:pt>
                <c:pt idx="420">
                  <c:v>Ghost</c:v>
                </c:pt>
                <c:pt idx="421">
                  <c:v>Boys</c:v>
                </c:pt>
                <c:pt idx="422">
                  <c:v>On A Roll</c:v>
                </c:pt>
                <c:pt idx="423">
                  <c:v>That Way</c:v>
                </c:pt>
                <c:pt idx="424">
                  <c:v>Just Fine</c:v>
                </c:pt>
                <c:pt idx="425">
                  <c:v>Plastic Hearts</c:v>
                </c:pt>
                <c:pt idx="426">
                  <c:v>Selfish</c:v>
                </c:pt>
                <c:pt idx="427">
                  <c:v>Faucet Failure</c:v>
                </c:pt>
                <c:pt idx="428">
                  <c:v>edamame (feat. Rich Brian)</c:v>
                </c:pt>
                <c:pt idx="429">
                  <c:v>Do It Again</c:v>
                </c:pt>
                <c:pt idx="430">
                  <c:v>34+35</c:v>
                </c:pt>
                <c:pt idx="431">
                  <c:v>Wicked Game</c:v>
                </c:pt>
                <c:pt idx="432">
                  <c:v>California Gurls</c:v>
                </c:pt>
                <c:pt idx="433">
                  <c:v>Indigo</c:v>
                </c:pt>
                <c:pt idx="434">
                  <c:v>Electric Feel</c:v>
                </c:pt>
                <c:pt idx="435">
                  <c:v>Cheryl</c:v>
                </c:pt>
                <c:pt idx="436">
                  <c:v>Coffee Breath</c:v>
                </c:pt>
                <c:pt idx="437">
                  <c:v>Maps</c:v>
                </c:pt>
                <c:pt idx="438">
                  <c:v>Let Go</c:v>
                </c:pt>
                <c:pt idx="439">
                  <c:v>Get It Together</c:v>
                </c:pt>
                <c:pt idx="440">
                  <c:v>Eenie Meenie</c:v>
                </c:pt>
                <c:pt idx="441">
                  <c:v>Pompeii</c:v>
                </c:pt>
                <c:pt idx="442">
                  <c:v>feel something</c:v>
                </c:pt>
                <c:pt idx="443">
                  <c:v>Big And Chunky</c:v>
                </c:pt>
                <c:pt idx="444">
                  <c:v>Outside (feat. Ellie Goulding)</c:v>
                </c:pt>
                <c:pt idx="445">
                  <c:v>Best Friend</c:v>
                </c:pt>
                <c:pt idx="446">
                  <c:v>Reckless</c:v>
                </c:pt>
                <c:pt idx="447">
                  <c:v>We R Who We R</c:v>
                </c:pt>
                <c:pt idx="448">
                  <c:v>Stronger</c:v>
                </c:pt>
                <c:pt idx="449">
                  <c:v>Let Her Go</c:v>
                </c:pt>
                <c:pt idx="450">
                  <c:v>Juicy</c:v>
                </c:pt>
                <c:pt idx="451">
                  <c:v>Can't Stop Singing</c:v>
                </c:pt>
                <c:pt idx="452">
                  <c:v>u U U U u U did i mfken stutter?</c:v>
                </c:pt>
                <c:pt idx="453">
                  <c:v>CRACKHEAD</c:v>
                </c:pt>
                <c:pt idx="454">
                  <c:v>Bored In The House</c:v>
                </c:pt>
                <c:pt idx="455">
                  <c:v>Beef FloMix</c:v>
                </c:pt>
                <c:pt idx="456">
                  <c:v>So Pretty</c:v>
                </c:pt>
                <c:pt idx="457">
                  <c:v>223's (feat. 9lokknine)</c:v>
                </c:pt>
                <c:pt idx="458">
                  <c:v>Let It Happen</c:v>
                </c:pt>
                <c:pt idx="459">
                  <c:v>Replay</c:v>
                </c:pt>
                <c:pt idx="460">
                  <c:v>Never (feat. OMI)</c:v>
                </c:pt>
                <c:pt idx="461">
                  <c:v>Cyber Sex</c:v>
                </c:pt>
                <c:pt idx="462">
                  <c:v>I Will Survive - Single Version</c:v>
                </c:pt>
                <c:pt idx="463">
                  <c:v>Walk</c:v>
                </c:pt>
                <c:pt idx="464">
                  <c:v>Beautiful Mistakes (feat. Megan Thee Stallion)</c:v>
                </c:pt>
                <c:pt idx="465">
                  <c:v>Moskau</c:v>
                </c:pt>
                <c:pt idx="466">
                  <c:v>Wannabe</c:v>
                </c:pt>
                <c:pt idx="467">
                  <c:v>Ain't Your Mama</c:v>
                </c:pt>
                <c:pt idx="468">
                  <c:v>All The Stars (with SZA)</c:v>
                </c:pt>
                <c:pt idx="469">
                  <c:v>LEMONS - Demo</c:v>
                </c:pt>
                <c:pt idx="470">
                  <c:v>idfc</c:v>
                </c:pt>
                <c:pt idx="471">
                  <c:v>Hokus Pokus</c:v>
                </c:pt>
                <c:pt idx="472">
                  <c:v>Lucky</c:v>
                </c:pt>
                <c:pt idx="473">
                  <c:v>Never Ever Getting Rid of Me</c:v>
                </c:pt>
                <c:pt idx="474">
                  <c:v>Can't Leave 'Em Alone (feat. 50 Cent)</c:v>
                </c:pt>
                <c:pt idx="475">
                  <c:v>One Time</c:v>
                </c:pt>
                <c:pt idx="476">
                  <c:v>Fuck You</c:v>
                </c:pt>
                <c:pt idx="477">
                  <c:v>Káº» Cáº¯p Gáº·p BÃ  GiÃ  - Remix</c:v>
                </c:pt>
                <c:pt idx="478">
                  <c:v>20 Min</c:v>
                </c:pt>
                <c:pt idx="479">
                  <c:v>Walls Could Talk</c:v>
                </c:pt>
                <c:pt idx="480">
                  <c:v>Tequila</c:v>
                </c:pt>
                <c:pt idx="481">
                  <c:v>You Make My Dreams (Come True)</c:v>
                </c:pt>
                <c:pt idx="482">
                  <c:v>True Love (feat. Lily Allen)</c:v>
                </c:pt>
                <c:pt idx="483">
                  <c:v>Rake It Up (feat. Nicki Minaj)</c:v>
                </c:pt>
                <c:pt idx="484">
                  <c:v>Shouldn't Be</c:v>
                </c:pt>
                <c:pt idx="485">
                  <c:v>Good Morning</c:v>
                </c:pt>
                <c:pt idx="486">
                  <c:v>Hello Bitches</c:v>
                </c:pt>
                <c:pt idx="487">
                  <c:v>Die Young</c:v>
                </c:pt>
                <c:pt idx="488">
                  <c:v>I'm Sorry</c:v>
                </c:pt>
                <c:pt idx="489">
                  <c:v>Like A G6</c:v>
                </c:pt>
                <c:pt idx="490">
                  <c:v>Mary Jane (All Night Long)</c:v>
                </c:pt>
                <c:pt idx="491">
                  <c:v>Insomnia</c:v>
                </c:pt>
                <c:pt idx="492">
                  <c:v>After School</c:v>
                </c:pt>
                <c:pt idx="493">
                  <c:v>Put Your Head on My Shoulder</c:v>
                </c:pt>
                <c:pt idx="494">
                  <c:v>Primadonna</c:v>
                </c:pt>
                <c:pt idx="495">
                  <c:v>Here's Your Perfect</c:v>
                </c:pt>
                <c:pt idx="496">
                  <c:v>Shooting Stars</c:v>
                </c:pt>
                <c:pt idx="497">
                  <c:v>Caroline</c:v>
                </c:pt>
                <c:pt idx="498">
                  <c:v>Baby Powder</c:v>
                </c:pt>
                <c:pt idx="499">
                  <c:v>good 4 u</c:v>
                </c:pt>
                <c:pt idx="500">
                  <c:v>Chanel</c:v>
                </c:pt>
                <c:pt idx="501">
                  <c:v>Legs (From ""RuPaul's Drag Race 8"")</c:v>
                </c:pt>
                <c:pt idx="502">
                  <c:v>Hard Times</c:v>
                </c:pt>
                <c:pt idx="503">
                  <c:v>hate u love u</c:v>
                </c:pt>
                <c:pt idx="504">
                  <c:v>æ™šå®‰æ™šå®‰ (DJç‰ˆ)</c:v>
                </c:pt>
                <c:pt idx="505">
                  <c:v>Baby Girl</c:v>
                </c:pt>
                <c:pt idx="506">
                  <c:v>Frozen</c:v>
                </c:pt>
                <c:pt idx="507">
                  <c:v>Crank That (Soulja Boy)</c:v>
                </c:pt>
                <c:pt idx="508">
                  <c:v>STAY (with Justin Bieber)</c:v>
                </c:pt>
                <c:pt idx="509">
                  <c:v>U Was At The Club (Bottoms Up)</c:v>
                </c:pt>
                <c:pt idx="510">
                  <c:v>Uno</c:v>
                </c:pt>
                <c:pt idx="511">
                  <c:v>Oh Nanana Challenge</c:v>
                </c:pt>
                <c:pt idx="512">
                  <c:v>Ophelia</c:v>
                </c:pt>
                <c:pt idx="513">
                  <c:v>Leaked</c:v>
                </c:pt>
                <c:pt idx="514">
                  <c:v>I'm Looking for Mrs. Bubblegum</c:v>
                </c:pt>
                <c:pt idx="515">
                  <c:v>Give Your Heart a Break</c:v>
                </c:pt>
                <c:pt idx="516">
                  <c:v>Cooped Up (with Roddy Ricch)</c:v>
                </c:pt>
                <c:pt idx="517">
                  <c:v>Meet Me At Our Spot</c:v>
                </c:pt>
                <c:pt idx="518">
                  <c:v>Ligma</c:v>
                </c:pt>
                <c:pt idx="519">
                  <c:v>Whatever You Like</c:v>
                </c:pt>
                <c:pt idx="520">
                  <c:v>I Don't Mind (feat. Juicy J)</c:v>
                </c:pt>
                <c:pt idx="521">
                  <c:v>Sweet Caroline</c:v>
                </c:pt>
                <c:pt idx="522">
                  <c:v>Photo ID</c:v>
                </c:pt>
                <c:pt idx="523">
                  <c:v>My Lecon</c:v>
                </c:pt>
                <c:pt idx="524">
                  <c:v>Rockefeller Street (New Nightcore) [#Rockefellerstreet Remix]</c:v>
                </c:pt>
                <c:pt idx="525">
                  <c:v>Gordon Ramsay</c:v>
                </c:pt>
                <c:pt idx="526">
                  <c:v>Pumped Up Kicks</c:v>
                </c:pt>
                <c:pt idx="527">
                  <c:v>Oh No I Got a Disease</c:v>
                </c:pt>
                <c:pt idx="528">
                  <c:v>You're Perfect</c:v>
                </c:pt>
                <c:pt idx="529">
                  <c:v>Ghost Duet</c:v>
                </c:pt>
                <c:pt idx="530">
                  <c:v>It Won't Stop (feat. Chris Brown) - EP Version</c:v>
                </c:pt>
                <c:pt idx="531">
                  <c:v>Mr. Sandman</c:v>
                </c:pt>
                <c:pt idx="532">
                  <c:v>Entropy (2014 Original)</c:v>
                </c:pt>
                <c:pt idx="533">
                  <c:v>I Wish - Radio Edit</c:v>
                </c:pt>
                <c:pt idx="534">
                  <c:v>ok boomer (feat. Jed Will)</c:v>
                </c:pt>
                <c:pt idx="535">
                  <c:v>Good Looking</c:v>
                </c:pt>
                <c:pt idx="536">
                  <c:v>Style</c:v>
                </c:pt>
                <c:pt idx="537">
                  <c:v>Corduroy Dreams</c:v>
                </c:pt>
                <c:pt idx="538">
                  <c:v>Violent Crimes</c:v>
                </c:pt>
                <c:pt idx="539">
                  <c:v>In The Bible (with Lil Durk &amp; Giveon)</c:v>
                </c:pt>
                <c:pt idx="540">
                  <c:v>Say Hey (I Love You)</c:v>
                </c:pt>
                <c:pt idx="541">
                  <c:v>MONTERO (Call Me By Your Name)</c:v>
                </c:pt>
                <c:pt idx="542">
                  <c:v>You Don't Know Me</c:v>
                </c:pt>
                <c:pt idx="543">
                  <c:v>Producer Man</c:v>
                </c:pt>
                <c:pt idx="544">
                  <c:v>I Love It (&amp; Lil Pump)</c:v>
                </c:pt>
                <c:pt idx="545">
                  <c:v>Runway</c:v>
                </c:pt>
                <c:pt idx="546">
                  <c:v>Livin' in the Sunlight, Lovin' in the Moon Light</c:v>
                </c:pt>
                <c:pt idx="547">
                  <c:v>Stereo Hearts (feat. Adam Levine)</c:v>
                </c:pt>
                <c:pt idx="548">
                  <c:v>Sin City</c:v>
                </c:pt>
                <c:pt idx="549">
                  <c:v>I Wanna Love You</c:v>
                </c:pt>
                <c:pt idx="550">
                  <c:v>Just Canâ€™t Get Enough</c:v>
                </c:pt>
                <c:pt idx="551">
                  <c:v>Only The Young - Featured in Miss Americana</c:v>
                </c:pt>
                <c:pt idx="552">
                  <c:v>Plug Walk</c:v>
                </c:pt>
                <c:pt idx="553">
                  <c:v>Take You To Hell</c:v>
                </c:pt>
                <c:pt idx="554">
                  <c:v>Disturbia</c:v>
                </c:pt>
                <c:pt idx="555">
                  <c:v>Cherry Cola</c:v>
                </c:pt>
                <c:pt idx="556">
                  <c:v>Falling for U</c:v>
                </c:pt>
                <c:pt idx="557">
                  <c:v>Fake ID</c:v>
                </c:pt>
                <c:pt idx="558">
                  <c:v>Work Out</c:v>
                </c:pt>
                <c:pt idx="559">
                  <c:v>Everybody Talks</c:v>
                </c:pt>
                <c:pt idx="560">
                  <c:v>Rather Be (feat. Jess Glynne)</c:v>
                </c:pt>
                <c:pt idx="561">
                  <c:v>It's Up Freestyle</c:v>
                </c:pt>
                <c:pt idx="562">
                  <c:v>Good Form (feat. Lil Wayne) - Remix</c:v>
                </c:pt>
                <c:pt idx="563">
                  <c:v>Ramalama (Bang Bang)</c:v>
                </c:pt>
                <c:pt idx="564">
                  <c:v>Intentions (feat. Quavo)</c:v>
                </c:pt>
                <c:pt idx="565">
                  <c:v>I Can't Decide</c:v>
                </c:pt>
                <c:pt idx="566">
                  <c:v>Tonight You Belong To Me</c:v>
                </c:pt>
                <c:pt idx="567">
                  <c:v>Toy</c:v>
                </c:pt>
                <c:pt idx="568">
                  <c:v>Hall of Fame (feat. will.i.am)</c:v>
                </c:pt>
                <c:pt idx="569">
                  <c:v>Hey Julie! (feat. Lil Yachty)</c:v>
                </c:pt>
                <c:pt idx="570">
                  <c:v>Fever - Remix</c:v>
                </c:pt>
                <c:pt idx="571">
                  <c:v>Late Night Talking</c:v>
                </c:pt>
                <c:pt idx="572">
                  <c:v>Dangerous</c:v>
                </c:pt>
                <c:pt idx="573">
                  <c:v>Another Day Of Sun</c:v>
                </c:pt>
                <c:pt idx="574">
                  <c:v>Babylon</c:v>
                </c:pt>
                <c:pt idx="575">
                  <c:v>Memories</c:v>
                </c:pt>
                <c:pt idx="576">
                  <c:v>We Found Love</c:v>
                </c:pt>
                <c:pt idx="577">
                  <c:v>Ready or Not</c:v>
                </c:pt>
                <c:pt idx="578">
                  <c:v>Love Tonight - David Guetta Remix Edit</c:v>
                </c:pt>
                <c:pt idx="579">
                  <c:v>Jump Up, Super Star!</c:v>
                </c:pt>
                <c:pt idx="580">
                  <c:v>Baby I'm Yours</c:v>
                </c:pt>
                <c:pt idx="581">
                  <c:v>dirty laundry</c:v>
                </c:pt>
                <c:pt idx="582">
                  <c:v>The Love Club</c:v>
                </c:pt>
                <c:pt idx="583">
                  <c:v>Only Girl</c:v>
                </c:pt>
                <c:pt idx="584">
                  <c:v>ily (i love you baby) (feat. Emilee)</c:v>
                </c:pt>
                <c:pt idx="585">
                  <c:v>broken</c:v>
                </c:pt>
                <c:pt idx="586">
                  <c:v>Say So (feat. Nicki Minaj)</c:v>
                </c:pt>
                <c:pt idx="587">
                  <c:v>Galactic Mermaid (From ""Carole &amp; Tuesday"")</c:v>
                </c:pt>
                <c:pt idx="588">
                  <c:v>Dancin (feat. Luvli) - Krono Remix</c:v>
                </c:pt>
                <c:pt idx="589">
                  <c:v>C'Mon</c:v>
                </c:pt>
                <c:pt idx="590">
                  <c:v>Savage Days</c:v>
                </c:pt>
                <c:pt idx="591">
                  <c:v>Don't Wanna Fall In Love</c:v>
                </c:pt>
                <c:pt idx="592">
                  <c:v>Get Busy</c:v>
                </c:pt>
                <c:pt idx="593">
                  <c:v>Hold On</c:v>
                </c:pt>
                <c:pt idx="594">
                  <c:v>Cha Cha</c:v>
                </c:pt>
                <c:pt idx="595">
                  <c:v>Queen of Disaster</c:v>
                </c:pt>
                <c:pt idx="596">
                  <c:v>To the Bone</c:v>
                </c:pt>
                <c:pt idx="597">
                  <c:v>That Bxtch</c:v>
                </c:pt>
                <c:pt idx="598">
                  <c:v>Habits (Stay High)</c:v>
                </c:pt>
                <c:pt idx="599">
                  <c:v>All I Wanna Do</c:v>
                </c:pt>
                <c:pt idx="600">
                  <c:v>Chucky Cheese</c:v>
                </c:pt>
                <c:pt idx="601">
                  <c:v>YRN - Remix</c:v>
                </c:pt>
                <c:pt idx="602">
                  <c:v>Rain On Me (with Ariana Grande)</c:v>
                </c:pt>
                <c:pt idx="603">
                  <c:v>You Reposted in the Wrong Neighborhood I Glue70 Mashup</c:v>
                </c:pt>
                <c:pt idx="604">
                  <c:v>Baby I Got Issues</c:v>
                </c:pt>
                <c:pt idx="605">
                  <c:v>Day 'n' Nite</c:v>
                </c:pt>
                <c:pt idx="606">
                  <c:v>Savage Remix (feat. BeyoncÃ©)</c:v>
                </c:pt>
                <c:pt idx="607">
                  <c:v>Being Good Is Boring</c:v>
                </c:pt>
                <c:pt idx="608">
                  <c:v>Womp Womp</c:v>
                </c:pt>
                <c:pt idx="609">
                  <c:v>Rags2Riches 2 (feat. Lil Baby)</c:v>
                </c:pt>
                <c:pt idx="610">
                  <c:v>Just Did a Bad Thing</c:v>
                </c:pt>
                <c:pt idx="611">
                  <c:v>What's My Name?</c:v>
                </c:pt>
                <c:pt idx="612">
                  <c:v>I Wanna Know</c:v>
                </c:pt>
                <c:pt idx="613">
                  <c:v>Hurts So Good</c:v>
                </c:pt>
                <c:pt idx="614">
                  <c:v>No More ?'s</c:v>
                </c:pt>
                <c:pt idx="615">
                  <c:v>Sofia the First Main Title Theme - From ""Sofia the First""</c:v>
                </c:pt>
                <c:pt idx="616">
                  <c:v>Go Stupid (feat. NLE Choppa &amp; Mike WiLL Made-It)</c:v>
                </c:pt>
                <c:pt idx="617">
                  <c:v>When You're Gone</c:v>
                </c:pt>
                <c:pt idx="618">
                  <c:v>Moment 4 Life</c:v>
                </c:pt>
                <c:pt idx="619">
                  <c:v>Disco Inferno</c:v>
                </c:pt>
                <c:pt idx="620">
                  <c:v>Throw That Back Like a Cadillac</c:v>
                </c:pt>
                <c:pt idx="621">
                  <c:v>Not What I Meant (feat. Lewis Watson)</c:v>
                </c:pt>
                <c:pt idx="622">
                  <c:v>Won't Bite (feat. Smino)</c:v>
                </c:pt>
                <c:pt idx="623">
                  <c:v>Hello?</c:v>
                </c:pt>
                <c:pt idx="624">
                  <c:v>Wouldn't It Be Nice - Remastered 1999</c:v>
                </c:pt>
                <c:pt idx="625">
                  <c:v>deja vu</c:v>
                </c:pt>
                <c:pt idx="626">
                  <c:v>lowkey</c:v>
                </c:pt>
                <c:pt idx="627">
                  <c:v>All You Wanna Do</c:v>
                </c:pt>
                <c:pt idx="628">
                  <c:v>Tell Me Something I Don't Know - Soundtrack</c:v>
                </c:pt>
                <c:pt idx="629">
                  <c:v>Creep</c:v>
                </c:pt>
                <c:pt idx="630">
                  <c:v>Check It Out</c:v>
                </c:pt>
                <c:pt idx="631">
                  <c:v>Somebody To You</c:v>
                </c:pt>
                <c:pt idx="632">
                  <c:v>Favorite Girl</c:v>
                </c:pt>
                <c:pt idx="633">
                  <c:v>Tungs</c:v>
                </c:pt>
                <c:pt idx="634">
                  <c:v>Kream (feat. Tyga)</c:v>
                </c:pt>
                <c:pt idx="635">
                  <c:v>Feel Your Love</c:v>
                </c:pt>
                <c:pt idx="636">
                  <c:v>Leave Em Alone</c:v>
                </c:pt>
                <c:pt idx="637">
                  <c:v>MAMIII</c:v>
                </c:pt>
                <c:pt idx="638">
                  <c:v>L.O.V.E.</c:v>
                </c:pt>
                <c:pt idx="639">
                  <c:v>Play With Me</c:v>
                </c:pt>
                <c:pt idx="640">
                  <c:v>Girls Like You (feat. Cardi B) - Cardi B Version</c:v>
                </c:pt>
                <c:pt idx="641">
                  <c:v>TROLLZ (with Nicki Minaj)</c:v>
                </c:pt>
                <c:pt idx="642">
                  <c:v>Running To You (feat. Caden)</c:v>
                </c:pt>
                <c:pt idx="643">
                  <c:v>Unlock it (Lock It) - feat. Kim Petras and Jay Park</c:v>
                </c:pt>
                <c:pt idx="644">
                  <c:v>Flamingo</c:v>
                </c:pt>
                <c:pt idx="645">
                  <c:v>æ‹æ„›ã‚µãƒ¼ã‚­ãƒ¥ãƒ¬ãƒ¼ã‚·ãƒ§ãƒ³</c:v>
                </c:pt>
                <c:pt idx="646">
                  <c:v>Out There</c:v>
                </c:pt>
                <c:pt idx="647">
                  <c:v>Payphone</c:v>
                </c:pt>
                <c:pt idx="648">
                  <c:v>Party Party Party (feat. Chris Brown &amp; Dej Loaf)</c:v>
                </c:pt>
                <c:pt idx="649">
                  <c:v>Monster</c:v>
                </c:pt>
                <c:pt idx="650">
                  <c:v>Yellow Hearts (feat. Audrey Mika)</c:v>
                </c:pt>
                <c:pt idx="651">
                  <c:v>Love Me Again</c:v>
                </c:pt>
                <c:pt idx="652">
                  <c:v>The Plan</c:v>
                </c:pt>
                <c:pt idx="653">
                  <c:v>Serenity</c:v>
                </c:pt>
                <c:pt idx="654">
                  <c:v>Forever</c:v>
                </c:pt>
                <c:pt idx="655">
                  <c:v>On My Way!</c:v>
                </c:pt>
                <c:pt idx="656">
                  <c:v>Gm Say It Back</c:v>
                </c:pt>
                <c:pt idx="657">
                  <c:v>Follow Me</c:v>
                </c:pt>
                <c:pt idx="658">
                  <c:v>Lovely</c:v>
                </c:pt>
                <c:pt idx="659">
                  <c:v>Ben 10 - Theme Song</c:v>
                </c:pt>
                <c:pt idx="660">
                  <c:v>On My Way</c:v>
                </c:pt>
                <c:pt idx="661">
                  <c:v>Chaa Chaa Chaa (feat. HoodCelebrityy)</c:v>
                </c:pt>
                <c:pt idx="662">
                  <c:v>Hot Dog!</c:v>
                </c:pt>
                <c:pt idx="663">
                  <c:v>Fly Me To The Moon (In Other Words)</c:v>
                </c:pt>
                <c:pt idx="664">
                  <c:v>Part of Your World - From ""The Little Mermaid"" / Soundtrack Version</c:v>
                </c:pt>
                <c:pt idx="665">
                  <c:v>HawÃ¡i</c:v>
                </c:pt>
                <c:pt idx="666">
                  <c:v>successful</c:v>
                </c:pt>
                <c:pt idx="667">
                  <c:v>American Boy</c:v>
                </c:pt>
                <c:pt idx="668">
                  <c:v>La La La</c:v>
                </c:pt>
                <c:pt idx="669">
                  <c:v>Flex On My Ex (with Bankrol Hayden)</c:v>
                </c:pt>
                <c:pt idx="670">
                  <c:v>Jimmy Cooks (feat. 21 Savage)</c:v>
                </c:pt>
                <c:pt idx="671">
                  <c:v>Counting Stars</c:v>
                </c:pt>
                <c:pt idx="672">
                  <c:v>BANG BANG BANG</c:v>
                </c:pt>
                <c:pt idx="673">
                  <c:v>Eyes Blue Like The Atlantic</c:v>
                </c:pt>
                <c:pt idx="674">
                  <c:v>Apologize</c:v>
                </c:pt>
                <c:pt idx="675">
                  <c:v>Desperado</c:v>
                </c:pt>
                <c:pt idx="676">
                  <c:v>Cold Heart - PNAU Remix</c:v>
                </c:pt>
                <c:pt idx="677">
                  <c:v>Heart of Glass</c:v>
                </c:pt>
                <c:pt idx="678">
                  <c:v>Moi... Lolita</c:v>
                </c:pt>
                <c:pt idx="679">
                  <c:v>Like That (feat. Gucci Mane)</c:v>
                </c:pt>
                <c:pt idx="680">
                  <c:v>Long Road</c:v>
                </c:pt>
                <c:pt idx="681">
                  <c:v>Paint It Black</c:v>
                </c:pt>
                <c:pt idx="682">
                  <c:v>Why</c:v>
                </c:pt>
                <c:pt idx="683">
                  <c:v>Lost on You</c:v>
                </c:pt>
                <c:pt idx="684">
                  <c:v>Ultralight Beam</c:v>
                </c:pt>
                <c:pt idx="685">
                  <c:v>When Hello Means Goodbye</c:v>
                </c:pt>
                <c:pt idx="686">
                  <c:v>Glad You Came</c:v>
                </c:pt>
                <c:pt idx="687">
                  <c:v>Work from Home</c:v>
                </c:pt>
                <c:pt idx="688">
                  <c:v>No Role Modelz</c:v>
                </c:pt>
                <c:pt idx="689">
                  <c:v>Complicated</c:v>
                </c:pt>
                <c:pt idx="690">
                  <c:v>Fly</c:v>
                </c:pt>
                <c:pt idx="691">
                  <c:v>Free Falling Love</c:v>
                </c:pt>
                <c:pt idx="692">
                  <c:v>credit union</c:v>
                </c:pt>
                <c:pt idx="693">
                  <c:v>Cool for the Summer</c:v>
                </c:pt>
                <c:pt idx="694">
                  <c:v>Heal Me</c:v>
                </c:pt>
                <c:pt idx="695">
                  <c:v>Let It Go</c:v>
                </c:pt>
                <c:pt idx="696">
                  <c:v>Say So - Japanese Version</c:v>
                </c:pt>
                <c:pt idx="697">
                  <c:v>Tainted Love</c:v>
                </c:pt>
                <c:pt idx="698">
                  <c:v>Crazy</c:v>
                </c:pt>
                <c:pt idx="699">
                  <c:v>Dreamer</c:v>
                </c:pt>
                <c:pt idx="700">
                  <c:v>We Know</c:v>
                </c:pt>
                <c:pt idx="701">
                  <c:v>The Hills</c:v>
                </c:pt>
                <c:pt idx="702">
                  <c:v>Paid</c:v>
                </c:pt>
                <c:pt idx="703">
                  <c:v>Breathe</c:v>
                </c:pt>
                <c:pt idx="704">
                  <c:v>K Boy Bye</c:v>
                </c:pt>
                <c:pt idx="705">
                  <c:v>AMG</c:v>
                </c:pt>
                <c:pt idx="706">
                  <c:v>Say My Name</c:v>
                </c:pt>
                <c:pt idx="707">
                  <c:v>Up (feat. Demi Lovato)</c:v>
                </c:pt>
                <c:pt idx="708">
                  <c:v>Poker Face</c:v>
                </c:pt>
                <c:pt idx="709">
                  <c:v>Opaul</c:v>
                </c:pt>
                <c:pt idx="710">
                  <c:v>She Wolf (Falling to Pieces)</c:v>
                </c:pt>
                <c:pt idx="711">
                  <c:v>The Boss</c:v>
                </c:pt>
                <c:pt idx="712">
                  <c:v>Wellerman - Sea Shanty / 220 KID x Billen Ted Remix</c:v>
                </c:pt>
                <c:pt idx="713">
                  <c:v>Monsters, Inc.</c:v>
                </c:pt>
                <c:pt idx="714">
                  <c:v>Hey, Soul Sister</c:v>
                </c:pt>
                <c:pt idx="715">
                  <c:v>Looking for Love</c:v>
                </c:pt>
                <c:pt idx="716">
                  <c:v>FACK</c:v>
                </c:pt>
                <c:pt idx="717">
                  <c:v>Beauty And A Beat</c:v>
                </c:pt>
                <c:pt idx="718">
                  <c:v>Rude Boy</c:v>
                </c:pt>
                <c:pt idx="719">
                  <c:v>Mood Swings (feat. Lil Tjay)</c:v>
                </c:pt>
                <c:pt idx="720">
                  <c:v>Red Flag</c:v>
                </c:pt>
                <c:pt idx="721">
                  <c:v>SNAP</c:v>
                </c:pt>
                <c:pt idx="722">
                  <c:v>Shoota (feat. Lil Uzi Vert)</c:v>
                </c:pt>
                <c:pt idx="723">
                  <c:v>Tunnel of Love</c:v>
                </c:pt>
                <c:pt idx="724">
                  <c:v>Mi Pan Su Su Sum</c:v>
                </c:pt>
                <c:pt idx="725">
                  <c:v>How You Feel? (Freestyle) (feat. Lil Yachty &amp; Ski Mask The Slump God)</c:v>
                </c:pt>
                <c:pt idx="726">
                  <c:v>Over You</c:v>
                </c:pt>
                <c:pt idx="727">
                  <c:v>No Guidance, Remake</c:v>
                </c:pt>
                <c:pt idx="728">
                  <c:v>Change Ya Life</c:v>
                </c:pt>
                <c:pt idx="729">
                  <c:v>Can't Get You Out of My Head</c:v>
                </c:pt>
                <c:pt idx="730">
                  <c:v>Fashion Week</c:v>
                </c:pt>
                <c:pt idx="731">
                  <c:v>Skinny Legend Anthem</c:v>
                </c:pt>
                <c:pt idx="732">
                  <c:v>This Is for Rachel</c:v>
                </c:pt>
                <c:pt idx="733">
                  <c:v>Ponteme Despalda</c:v>
                </c:pt>
                <c:pt idx="734">
                  <c:v>Wild &amp; Free</c:v>
                </c:pt>
                <c:pt idx="735">
                  <c:v>Would I Lie to You</c:v>
                </c:pt>
                <c:pt idx="736">
                  <c:v>Ready 4 Luv - TMLH Summer Mix</c:v>
                </c:pt>
                <c:pt idx="737">
                  <c:v>Why Is Everything Chrome (Lean Swag Rock Wit It)</c:v>
                </c:pt>
                <c:pt idx="738">
                  <c:v>Slow Down</c:v>
                </c:pt>
                <c:pt idx="739">
                  <c:v>What's up?</c:v>
                </c:pt>
                <c:pt idx="740">
                  <c:v>THE SCOTTS</c:v>
                </c:pt>
                <c:pt idx="741">
                  <c:v>Wii Shop - Instrumental</c:v>
                </c:pt>
                <c:pt idx="742">
                  <c:v>Where Them Girls At (feat. Nicki Minaj &amp; Flo Rida)</c:v>
                </c:pt>
                <c:pt idx="743">
                  <c:v>Whatcha Say</c:v>
                </c:pt>
                <c:pt idx="744">
                  <c:v>Woahh</c:v>
                </c:pt>
                <c:pt idx="745">
                  <c:v>Rags to Riches</c:v>
                </c:pt>
                <c:pt idx="746">
                  <c:v>Video Games</c:v>
                </c:pt>
                <c:pt idx="747">
                  <c:v>This Could Be Us</c:v>
                </c:pt>
                <c:pt idx="748">
                  <c:v>Wait a Minute!</c:v>
                </c:pt>
                <c:pt idx="749">
                  <c:v>You Belong With Me</c:v>
                </c:pt>
                <c:pt idx="750">
                  <c:v>When the Sun Goes Down</c:v>
                </c:pt>
                <c:pt idx="751">
                  <c:v>Rather Be</c:v>
                </c:pt>
                <c:pt idx="752">
                  <c:v>So Big</c:v>
                </c:pt>
                <c:pt idx="753">
                  <c:v>Right Here Waiting</c:v>
                </c:pt>
                <c:pt idx="754">
                  <c:v>Warning / Signs</c:v>
                </c:pt>
                <c:pt idx="755">
                  <c:v>Riptide</c:v>
                </c:pt>
                <c:pt idx="756">
                  <c:v>Stereo Love</c:v>
                </c:pt>
                <c:pt idx="757">
                  <c:v>Stolen Dance</c:v>
                </c:pt>
                <c:pt idx="758">
                  <c:v>Teenage Dream</c:v>
                </c:pt>
                <c:pt idx="759">
                  <c:v>When You Were Young</c:v>
                </c:pt>
                <c:pt idx="760">
                  <c:v>What If</c:v>
                </c:pt>
                <c:pt idx="761">
                  <c:v>One too Many Times</c:v>
                </c:pt>
                <c:pt idx="762">
                  <c:v>Miss Independent</c:v>
                </c:pt>
                <c:pt idx="763">
                  <c:v>Motive X - Promiscuous Mix</c:v>
                </c:pt>
                <c:pt idx="764">
                  <c:v>Mr. Saxobeat - Radio Edit</c:v>
                </c:pt>
                <c:pt idx="765">
                  <c:v>Mr. Saxobeat</c:v>
                </c:pt>
                <c:pt idx="766">
                  <c:v>Leap of Faith</c:v>
                </c:pt>
                <c:pt idx="767">
                  <c:v>Please Mr. Postman - Single Version / Mono</c:v>
                </c:pt>
                <c:pt idx="768">
                  <c:v>Magic In The Hamptons (feat. Lil Yachty)</c:v>
                </c:pt>
                <c:pt idx="769">
                  <c:v>Lemonade (feat. Gunna, Don Toliver &amp; NAV)</c:v>
                </c:pt>
                <c:pt idx="770">
                  <c:v>Old Times</c:v>
                </c:pt>
                <c:pt idx="771">
                  <c:v>Peaches (feat. Daniel Caesar &amp; Giveon)</c:v>
                </c:pt>
                <c:pt idx="772">
                  <c:v>Know Me Too Well</c:v>
                </c:pt>
                <c:pt idx="773">
                  <c:v>Heads Will Roll - A-Trak Remix</c:v>
                </c:pt>
                <c:pt idx="774">
                  <c:v>Lies</c:v>
                </c:pt>
                <c:pt idx="775">
                  <c:v>Obsessed</c:v>
                </c:pt>
                <c:pt idx="776">
                  <c:v>Pieces</c:v>
                </c:pt>
                <c:pt idx="777">
                  <c:v>Ocean Drive</c:v>
                </c:pt>
                <c:pt idx="778">
                  <c:v>Let Me Hit It - Audiostalkers Original Mix</c:v>
                </c:pt>
                <c:pt idx="779">
                  <c:v>Ocean Eyes</c:v>
                </c:pt>
                <c:pt idx="780">
                  <c:v>Midnight City</c:v>
                </c:pt>
                <c:pt idx="781">
                  <c:v>Money Trees</c:v>
                </c:pt>
                <c:pt idx="782">
                  <c:v>Kiss Me</c:v>
                </c:pt>
                <c:pt idx="783">
                  <c:v>Kill the Director</c:v>
                </c:pt>
                <c:pt idx="784">
                  <c:v>Moves Like Jagger</c:v>
                </c:pt>
                <c:pt idx="785">
                  <c:v>LMK</c:v>
                </c:pt>
                <c:pt idx="786">
                  <c:v>Oh No!</c:v>
                </c:pt>
                <c:pt idx="787">
                  <c:v>æ”¾å€‹å¤§æ‹›çµ¦ä½ çœ‹ (OPPO Reno å®£å‚³æ›²)</c:v>
                </c:pt>
                <c:pt idx="788">
                  <c:v>Buttons</c:v>
                </c:pt>
                <c:pt idx="789">
                  <c:v>Drip Boy</c:v>
                </c:pt>
                <c:pt idx="790">
                  <c:v>Demons</c:v>
                </c:pt>
                <c:pt idx="791">
                  <c:v>Calabria 2008</c:v>
                </c:pt>
                <c:pt idx="792">
                  <c:v>45131</c:v>
                </c:pt>
                <c:pt idx="793">
                  <c:v>FLIP THE SWITCH (feat. Drake)</c:v>
                </c:pt>
                <c:pt idx="794">
                  <c:v>Falling Down</c:v>
                </c:pt>
                <c:pt idx="795">
                  <c:v>All About Cake (feat. Coi Leray &amp; Kaash Paige)</c:v>
                </c:pt>
                <c:pt idx="796">
                  <c:v>Birthday Suit</c:v>
                </c:pt>
                <c:pt idx="797">
                  <c:v>Devil Town</c:v>
                </c:pt>
                <c:pt idx="798">
                  <c:v>Gangsta</c:v>
                </c:pt>
                <c:pt idx="799">
                  <c:v>DÃKITI</c:v>
                </c:pt>
                <c:pt idx="800">
                  <c:v>Choices (Yup)</c:v>
                </c:pt>
              </c:strCache>
            </c:strRef>
          </c:cat>
          <c:val>
            <c:numRef>
              <c:f>Graphs!$N$21:$N$822</c:f>
              <c:numCache>
                <c:formatCode>General</c:formatCode>
                <c:ptCount val="801"/>
                <c:pt idx="0">
                  <c:v>46900000</c:v>
                </c:pt>
                <c:pt idx="1">
                  <c:v>36700000</c:v>
                </c:pt>
                <c:pt idx="2">
                  <c:v>28200000</c:v>
                </c:pt>
                <c:pt idx="3">
                  <c:v>19600000</c:v>
                </c:pt>
                <c:pt idx="4">
                  <c:v>16940600</c:v>
                </c:pt>
                <c:pt idx="5">
                  <c:v>16600000</c:v>
                </c:pt>
                <c:pt idx="6">
                  <c:v>16400554</c:v>
                </c:pt>
                <c:pt idx="7">
                  <c:v>13400000</c:v>
                </c:pt>
                <c:pt idx="8">
                  <c:v>13300000</c:v>
                </c:pt>
                <c:pt idx="9">
                  <c:v>12400000</c:v>
                </c:pt>
                <c:pt idx="10">
                  <c:v>12200000</c:v>
                </c:pt>
                <c:pt idx="11">
                  <c:v>12200000</c:v>
                </c:pt>
                <c:pt idx="12">
                  <c:v>11800000</c:v>
                </c:pt>
                <c:pt idx="13">
                  <c:v>11400000</c:v>
                </c:pt>
                <c:pt idx="14">
                  <c:v>11300000</c:v>
                </c:pt>
                <c:pt idx="15">
                  <c:v>11000000</c:v>
                </c:pt>
                <c:pt idx="16">
                  <c:v>10600000</c:v>
                </c:pt>
                <c:pt idx="17">
                  <c:v>10600000</c:v>
                </c:pt>
                <c:pt idx="18">
                  <c:v>9500000</c:v>
                </c:pt>
                <c:pt idx="19">
                  <c:v>8800000</c:v>
                </c:pt>
                <c:pt idx="20">
                  <c:v>8400000</c:v>
                </c:pt>
                <c:pt idx="21">
                  <c:v>8400000</c:v>
                </c:pt>
                <c:pt idx="22">
                  <c:v>8200000</c:v>
                </c:pt>
                <c:pt idx="23">
                  <c:v>8200000</c:v>
                </c:pt>
                <c:pt idx="24">
                  <c:v>7800000</c:v>
                </c:pt>
                <c:pt idx="25">
                  <c:v>6800000</c:v>
                </c:pt>
                <c:pt idx="26">
                  <c:v>6700000</c:v>
                </c:pt>
                <c:pt idx="27">
                  <c:v>6400000</c:v>
                </c:pt>
                <c:pt idx="28">
                  <c:v>6100000</c:v>
                </c:pt>
                <c:pt idx="29">
                  <c:v>5800000</c:v>
                </c:pt>
                <c:pt idx="30">
                  <c:v>5800000</c:v>
                </c:pt>
                <c:pt idx="31">
                  <c:v>5600000</c:v>
                </c:pt>
                <c:pt idx="32">
                  <c:v>5600000</c:v>
                </c:pt>
                <c:pt idx="33">
                  <c:v>5500000</c:v>
                </c:pt>
                <c:pt idx="34">
                  <c:v>5400000</c:v>
                </c:pt>
                <c:pt idx="35">
                  <c:v>5200000</c:v>
                </c:pt>
                <c:pt idx="36">
                  <c:v>5200000</c:v>
                </c:pt>
                <c:pt idx="37">
                  <c:v>5100000</c:v>
                </c:pt>
                <c:pt idx="38">
                  <c:v>5100000</c:v>
                </c:pt>
                <c:pt idx="39">
                  <c:v>4900000</c:v>
                </c:pt>
                <c:pt idx="40">
                  <c:v>4700000</c:v>
                </c:pt>
                <c:pt idx="41">
                  <c:v>4500000</c:v>
                </c:pt>
                <c:pt idx="42">
                  <c:v>4400000</c:v>
                </c:pt>
                <c:pt idx="43">
                  <c:v>4000000</c:v>
                </c:pt>
                <c:pt idx="44">
                  <c:v>4000000</c:v>
                </c:pt>
                <c:pt idx="45">
                  <c:v>3900000</c:v>
                </c:pt>
                <c:pt idx="46">
                  <c:v>3800000</c:v>
                </c:pt>
                <c:pt idx="47">
                  <c:v>3800000</c:v>
                </c:pt>
                <c:pt idx="48">
                  <c:v>3800000</c:v>
                </c:pt>
                <c:pt idx="49">
                  <c:v>3600000</c:v>
                </c:pt>
                <c:pt idx="50">
                  <c:v>3600000</c:v>
                </c:pt>
                <c:pt idx="51">
                  <c:v>3600000</c:v>
                </c:pt>
                <c:pt idx="52">
                  <c:v>3600000</c:v>
                </c:pt>
                <c:pt idx="53">
                  <c:v>3600000</c:v>
                </c:pt>
                <c:pt idx="54">
                  <c:v>3500000</c:v>
                </c:pt>
                <c:pt idx="55">
                  <c:v>3500000</c:v>
                </c:pt>
                <c:pt idx="56">
                  <c:v>3500000</c:v>
                </c:pt>
                <c:pt idx="57">
                  <c:v>3500000</c:v>
                </c:pt>
                <c:pt idx="58">
                  <c:v>3400000</c:v>
                </c:pt>
                <c:pt idx="59">
                  <c:v>3400000</c:v>
                </c:pt>
                <c:pt idx="60">
                  <c:v>3300000</c:v>
                </c:pt>
                <c:pt idx="61">
                  <c:v>3300000</c:v>
                </c:pt>
                <c:pt idx="62">
                  <c:v>3300000</c:v>
                </c:pt>
                <c:pt idx="63">
                  <c:v>3200000</c:v>
                </c:pt>
                <c:pt idx="64">
                  <c:v>3200000</c:v>
                </c:pt>
                <c:pt idx="65">
                  <c:v>3000000</c:v>
                </c:pt>
                <c:pt idx="66">
                  <c:v>3000000</c:v>
                </c:pt>
                <c:pt idx="67">
                  <c:v>2900000</c:v>
                </c:pt>
                <c:pt idx="68">
                  <c:v>2800000</c:v>
                </c:pt>
                <c:pt idx="69">
                  <c:v>2800000</c:v>
                </c:pt>
                <c:pt idx="70">
                  <c:v>2800000</c:v>
                </c:pt>
                <c:pt idx="71">
                  <c:v>2700000</c:v>
                </c:pt>
                <c:pt idx="72">
                  <c:v>2700000</c:v>
                </c:pt>
                <c:pt idx="73">
                  <c:v>2600000</c:v>
                </c:pt>
                <c:pt idx="74">
                  <c:v>2600000</c:v>
                </c:pt>
                <c:pt idx="75">
                  <c:v>2600000</c:v>
                </c:pt>
                <c:pt idx="76">
                  <c:v>2600000</c:v>
                </c:pt>
                <c:pt idx="77">
                  <c:v>2500000</c:v>
                </c:pt>
                <c:pt idx="78">
                  <c:v>2500000</c:v>
                </c:pt>
                <c:pt idx="79">
                  <c:v>2400000</c:v>
                </c:pt>
                <c:pt idx="80">
                  <c:v>2400000</c:v>
                </c:pt>
                <c:pt idx="81">
                  <c:v>2400000</c:v>
                </c:pt>
                <c:pt idx="82">
                  <c:v>2400000</c:v>
                </c:pt>
                <c:pt idx="83">
                  <c:v>2400000</c:v>
                </c:pt>
                <c:pt idx="84">
                  <c:v>2300000</c:v>
                </c:pt>
                <c:pt idx="85">
                  <c:v>2300000</c:v>
                </c:pt>
                <c:pt idx="86">
                  <c:v>2300000</c:v>
                </c:pt>
                <c:pt idx="87">
                  <c:v>2200000</c:v>
                </c:pt>
                <c:pt idx="88">
                  <c:v>2200000</c:v>
                </c:pt>
                <c:pt idx="89">
                  <c:v>2200000</c:v>
                </c:pt>
                <c:pt idx="90">
                  <c:v>2200000</c:v>
                </c:pt>
                <c:pt idx="91">
                  <c:v>2200000</c:v>
                </c:pt>
                <c:pt idx="92">
                  <c:v>2100003</c:v>
                </c:pt>
                <c:pt idx="93">
                  <c:v>2014100</c:v>
                </c:pt>
                <c:pt idx="94">
                  <c:v>2000000</c:v>
                </c:pt>
                <c:pt idx="95">
                  <c:v>2000000</c:v>
                </c:pt>
                <c:pt idx="96">
                  <c:v>2000000</c:v>
                </c:pt>
                <c:pt idx="97">
                  <c:v>2000000</c:v>
                </c:pt>
                <c:pt idx="98">
                  <c:v>1983800</c:v>
                </c:pt>
                <c:pt idx="99">
                  <c:v>1900000</c:v>
                </c:pt>
                <c:pt idx="100">
                  <c:v>1900000</c:v>
                </c:pt>
                <c:pt idx="101">
                  <c:v>1900000</c:v>
                </c:pt>
                <c:pt idx="102">
                  <c:v>1836500</c:v>
                </c:pt>
                <c:pt idx="103">
                  <c:v>1800000</c:v>
                </c:pt>
                <c:pt idx="104">
                  <c:v>1800000</c:v>
                </c:pt>
                <c:pt idx="105">
                  <c:v>1800000</c:v>
                </c:pt>
                <c:pt idx="106">
                  <c:v>1800000</c:v>
                </c:pt>
                <c:pt idx="107">
                  <c:v>1800000</c:v>
                </c:pt>
                <c:pt idx="108">
                  <c:v>1765400</c:v>
                </c:pt>
                <c:pt idx="109">
                  <c:v>1761600</c:v>
                </c:pt>
                <c:pt idx="110">
                  <c:v>1717400</c:v>
                </c:pt>
                <c:pt idx="111">
                  <c:v>1706100</c:v>
                </c:pt>
                <c:pt idx="112">
                  <c:v>1704218</c:v>
                </c:pt>
                <c:pt idx="113">
                  <c:v>1700007</c:v>
                </c:pt>
                <c:pt idx="114">
                  <c:v>1700000</c:v>
                </c:pt>
                <c:pt idx="115">
                  <c:v>1700000</c:v>
                </c:pt>
                <c:pt idx="116">
                  <c:v>1700000</c:v>
                </c:pt>
                <c:pt idx="117">
                  <c:v>1700000</c:v>
                </c:pt>
                <c:pt idx="118">
                  <c:v>1651200</c:v>
                </c:pt>
                <c:pt idx="119">
                  <c:v>1607600</c:v>
                </c:pt>
                <c:pt idx="120">
                  <c:v>1600000</c:v>
                </c:pt>
                <c:pt idx="121">
                  <c:v>1600000</c:v>
                </c:pt>
                <c:pt idx="122">
                  <c:v>1600000</c:v>
                </c:pt>
                <c:pt idx="123">
                  <c:v>1500000</c:v>
                </c:pt>
                <c:pt idx="124">
                  <c:v>1500000</c:v>
                </c:pt>
                <c:pt idx="125">
                  <c:v>1500000</c:v>
                </c:pt>
                <c:pt idx="126">
                  <c:v>1500000</c:v>
                </c:pt>
                <c:pt idx="127">
                  <c:v>1500000</c:v>
                </c:pt>
                <c:pt idx="128">
                  <c:v>1400000</c:v>
                </c:pt>
                <c:pt idx="129">
                  <c:v>1400000</c:v>
                </c:pt>
                <c:pt idx="130">
                  <c:v>1400000</c:v>
                </c:pt>
                <c:pt idx="131">
                  <c:v>1400000</c:v>
                </c:pt>
                <c:pt idx="132">
                  <c:v>1400000</c:v>
                </c:pt>
                <c:pt idx="133">
                  <c:v>1400000</c:v>
                </c:pt>
                <c:pt idx="134">
                  <c:v>1361200</c:v>
                </c:pt>
                <c:pt idx="135">
                  <c:v>1330300</c:v>
                </c:pt>
                <c:pt idx="136">
                  <c:v>1300000</c:v>
                </c:pt>
                <c:pt idx="137">
                  <c:v>1300000</c:v>
                </c:pt>
                <c:pt idx="138">
                  <c:v>1300000</c:v>
                </c:pt>
                <c:pt idx="139">
                  <c:v>1300000</c:v>
                </c:pt>
                <c:pt idx="140">
                  <c:v>1300000</c:v>
                </c:pt>
                <c:pt idx="141">
                  <c:v>1239400</c:v>
                </c:pt>
                <c:pt idx="142">
                  <c:v>1200000</c:v>
                </c:pt>
                <c:pt idx="143">
                  <c:v>1200000</c:v>
                </c:pt>
                <c:pt idx="144">
                  <c:v>1200000</c:v>
                </c:pt>
                <c:pt idx="145">
                  <c:v>1172800</c:v>
                </c:pt>
                <c:pt idx="146">
                  <c:v>1148100</c:v>
                </c:pt>
                <c:pt idx="147">
                  <c:v>1127000</c:v>
                </c:pt>
                <c:pt idx="148">
                  <c:v>1124700</c:v>
                </c:pt>
                <c:pt idx="149">
                  <c:v>1100000</c:v>
                </c:pt>
                <c:pt idx="150">
                  <c:v>1100000</c:v>
                </c:pt>
                <c:pt idx="151">
                  <c:v>1100000</c:v>
                </c:pt>
                <c:pt idx="152">
                  <c:v>1100000</c:v>
                </c:pt>
                <c:pt idx="153">
                  <c:v>1046100</c:v>
                </c:pt>
                <c:pt idx="154">
                  <c:v>1036200</c:v>
                </c:pt>
                <c:pt idx="155">
                  <c:v>1027200</c:v>
                </c:pt>
                <c:pt idx="156">
                  <c:v>1000000</c:v>
                </c:pt>
                <c:pt idx="157">
                  <c:v>1000000</c:v>
                </c:pt>
                <c:pt idx="158">
                  <c:v>1000000</c:v>
                </c:pt>
                <c:pt idx="159">
                  <c:v>1000000</c:v>
                </c:pt>
                <c:pt idx="160">
                  <c:v>1000000</c:v>
                </c:pt>
                <c:pt idx="161">
                  <c:v>1000000</c:v>
                </c:pt>
                <c:pt idx="162">
                  <c:v>1000000</c:v>
                </c:pt>
                <c:pt idx="163">
                  <c:v>1000000</c:v>
                </c:pt>
                <c:pt idx="164">
                  <c:v>972200</c:v>
                </c:pt>
                <c:pt idx="165">
                  <c:v>948400</c:v>
                </c:pt>
                <c:pt idx="166">
                  <c:v>944800</c:v>
                </c:pt>
                <c:pt idx="167">
                  <c:v>941200</c:v>
                </c:pt>
                <c:pt idx="168">
                  <c:v>930615</c:v>
                </c:pt>
                <c:pt idx="169">
                  <c:v>916900</c:v>
                </c:pt>
                <c:pt idx="170">
                  <c:v>914700</c:v>
                </c:pt>
                <c:pt idx="171">
                  <c:v>909700</c:v>
                </c:pt>
                <c:pt idx="172">
                  <c:v>891900</c:v>
                </c:pt>
                <c:pt idx="173">
                  <c:v>875500</c:v>
                </c:pt>
                <c:pt idx="174">
                  <c:v>867200</c:v>
                </c:pt>
                <c:pt idx="175">
                  <c:v>864200</c:v>
                </c:pt>
                <c:pt idx="176">
                  <c:v>863100</c:v>
                </c:pt>
                <c:pt idx="177">
                  <c:v>855500</c:v>
                </c:pt>
                <c:pt idx="178">
                  <c:v>841900</c:v>
                </c:pt>
                <c:pt idx="179">
                  <c:v>826000</c:v>
                </c:pt>
                <c:pt idx="180">
                  <c:v>825200</c:v>
                </c:pt>
                <c:pt idx="181">
                  <c:v>790500</c:v>
                </c:pt>
                <c:pt idx="182">
                  <c:v>788800</c:v>
                </c:pt>
                <c:pt idx="183">
                  <c:v>788500</c:v>
                </c:pt>
                <c:pt idx="184">
                  <c:v>783300</c:v>
                </c:pt>
                <c:pt idx="185">
                  <c:v>780300</c:v>
                </c:pt>
                <c:pt idx="186">
                  <c:v>778000</c:v>
                </c:pt>
                <c:pt idx="187">
                  <c:v>777300</c:v>
                </c:pt>
                <c:pt idx="188">
                  <c:v>766300</c:v>
                </c:pt>
                <c:pt idx="189">
                  <c:v>747400</c:v>
                </c:pt>
                <c:pt idx="190">
                  <c:v>747300</c:v>
                </c:pt>
                <c:pt idx="191">
                  <c:v>746700</c:v>
                </c:pt>
                <c:pt idx="192">
                  <c:v>742300</c:v>
                </c:pt>
                <c:pt idx="193">
                  <c:v>728100</c:v>
                </c:pt>
                <c:pt idx="194">
                  <c:v>728100</c:v>
                </c:pt>
                <c:pt idx="195">
                  <c:v>725400</c:v>
                </c:pt>
                <c:pt idx="196">
                  <c:v>722400</c:v>
                </c:pt>
                <c:pt idx="197">
                  <c:v>720800</c:v>
                </c:pt>
                <c:pt idx="198">
                  <c:v>704600</c:v>
                </c:pt>
                <c:pt idx="199">
                  <c:v>689100</c:v>
                </c:pt>
                <c:pt idx="200">
                  <c:v>682400</c:v>
                </c:pt>
                <c:pt idx="201">
                  <c:v>669800</c:v>
                </c:pt>
                <c:pt idx="202">
                  <c:v>658300</c:v>
                </c:pt>
                <c:pt idx="203">
                  <c:v>653100</c:v>
                </c:pt>
                <c:pt idx="204">
                  <c:v>650300</c:v>
                </c:pt>
                <c:pt idx="205">
                  <c:v>645600</c:v>
                </c:pt>
                <c:pt idx="206">
                  <c:v>644600</c:v>
                </c:pt>
                <c:pt idx="207">
                  <c:v>638000</c:v>
                </c:pt>
                <c:pt idx="208">
                  <c:v>629900</c:v>
                </c:pt>
                <c:pt idx="209">
                  <c:v>624600</c:v>
                </c:pt>
                <c:pt idx="210">
                  <c:v>620700</c:v>
                </c:pt>
                <c:pt idx="211">
                  <c:v>616200</c:v>
                </c:pt>
                <c:pt idx="212">
                  <c:v>615600</c:v>
                </c:pt>
                <c:pt idx="213">
                  <c:v>611500</c:v>
                </c:pt>
                <c:pt idx="214">
                  <c:v>607800</c:v>
                </c:pt>
                <c:pt idx="215">
                  <c:v>606600</c:v>
                </c:pt>
                <c:pt idx="216">
                  <c:v>601700</c:v>
                </c:pt>
                <c:pt idx="217">
                  <c:v>598400</c:v>
                </c:pt>
                <c:pt idx="218">
                  <c:v>584200</c:v>
                </c:pt>
                <c:pt idx="219">
                  <c:v>577801</c:v>
                </c:pt>
                <c:pt idx="220">
                  <c:v>566500</c:v>
                </c:pt>
                <c:pt idx="221">
                  <c:v>561700</c:v>
                </c:pt>
                <c:pt idx="222">
                  <c:v>560500</c:v>
                </c:pt>
                <c:pt idx="223">
                  <c:v>555600</c:v>
                </c:pt>
                <c:pt idx="224">
                  <c:v>553400</c:v>
                </c:pt>
                <c:pt idx="225">
                  <c:v>534500</c:v>
                </c:pt>
                <c:pt idx="226">
                  <c:v>531900</c:v>
                </c:pt>
                <c:pt idx="227">
                  <c:v>531800</c:v>
                </c:pt>
                <c:pt idx="228">
                  <c:v>525600</c:v>
                </c:pt>
                <c:pt idx="229">
                  <c:v>524600</c:v>
                </c:pt>
                <c:pt idx="230">
                  <c:v>521400</c:v>
                </c:pt>
                <c:pt idx="231">
                  <c:v>520000</c:v>
                </c:pt>
                <c:pt idx="232">
                  <c:v>518600</c:v>
                </c:pt>
                <c:pt idx="233">
                  <c:v>518000</c:v>
                </c:pt>
                <c:pt idx="234">
                  <c:v>509800</c:v>
                </c:pt>
                <c:pt idx="235">
                  <c:v>504900</c:v>
                </c:pt>
                <c:pt idx="236">
                  <c:v>502900</c:v>
                </c:pt>
                <c:pt idx="237">
                  <c:v>500800</c:v>
                </c:pt>
                <c:pt idx="238">
                  <c:v>499700</c:v>
                </c:pt>
                <c:pt idx="239">
                  <c:v>495300</c:v>
                </c:pt>
                <c:pt idx="240">
                  <c:v>488000</c:v>
                </c:pt>
                <c:pt idx="241">
                  <c:v>484000</c:v>
                </c:pt>
                <c:pt idx="242">
                  <c:v>483700</c:v>
                </c:pt>
                <c:pt idx="243">
                  <c:v>482900</c:v>
                </c:pt>
                <c:pt idx="244">
                  <c:v>472400</c:v>
                </c:pt>
                <c:pt idx="245">
                  <c:v>472100</c:v>
                </c:pt>
                <c:pt idx="246">
                  <c:v>471400</c:v>
                </c:pt>
                <c:pt idx="247">
                  <c:v>449100</c:v>
                </c:pt>
                <c:pt idx="248">
                  <c:v>440800</c:v>
                </c:pt>
                <c:pt idx="249">
                  <c:v>438800</c:v>
                </c:pt>
                <c:pt idx="250">
                  <c:v>431300</c:v>
                </c:pt>
                <c:pt idx="251">
                  <c:v>430200</c:v>
                </c:pt>
                <c:pt idx="252">
                  <c:v>426100</c:v>
                </c:pt>
                <c:pt idx="253">
                  <c:v>423200</c:v>
                </c:pt>
                <c:pt idx="254">
                  <c:v>415600</c:v>
                </c:pt>
                <c:pt idx="255">
                  <c:v>411300</c:v>
                </c:pt>
                <c:pt idx="256">
                  <c:v>404000</c:v>
                </c:pt>
                <c:pt idx="257">
                  <c:v>403900</c:v>
                </c:pt>
                <c:pt idx="258">
                  <c:v>403800</c:v>
                </c:pt>
                <c:pt idx="259">
                  <c:v>397200</c:v>
                </c:pt>
                <c:pt idx="260">
                  <c:v>391800</c:v>
                </c:pt>
                <c:pt idx="261">
                  <c:v>389200</c:v>
                </c:pt>
                <c:pt idx="262">
                  <c:v>385600</c:v>
                </c:pt>
                <c:pt idx="263">
                  <c:v>382100</c:v>
                </c:pt>
                <c:pt idx="264">
                  <c:v>381500</c:v>
                </c:pt>
                <c:pt idx="265">
                  <c:v>379457</c:v>
                </c:pt>
                <c:pt idx="266">
                  <c:v>378900</c:v>
                </c:pt>
                <c:pt idx="267">
                  <c:v>373500</c:v>
                </c:pt>
                <c:pt idx="268">
                  <c:v>373000</c:v>
                </c:pt>
                <c:pt idx="269">
                  <c:v>365000</c:v>
                </c:pt>
                <c:pt idx="270">
                  <c:v>356900</c:v>
                </c:pt>
                <c:pt idx="271">
                  <c:v>355500</c:v>
                </c:pt>
                <c:pt idx="272">
                  <c:v>355300</c:v>
                </c:pt>
                <c:pt idx="273">
                  <c:v>353900</c:v>
                </c:pt>
                <c:pt idx="274">
                  <c:v>347000</c:v>
                </c:pt>
                <c:pt idx="275">
                  <c:v>341400</c:v>
                </c:pt>
                <c:pt idx="276">
                  <c:v>335000</c:v>
                </c:pt>
                <c:pt idx="277">
                  <c:v>334600</c:v>
                </c:pt>
                <c:pt idx="278">
                  <c:v>329800</c:v>
                </c:pt>
                <c:pt idx="279">
                  <c:v>329100</c:v>
                </c:pt>
                <c:pt idx="280">
                  <c:v>323100</c:v>
                </c:pt>
                <c:pt idx="281">
                  <c:v>321800</c:v>
                </c:pt>
                <c:pt idx="282">
                  <c:v>319700</c:v>
                </c:pt>
                <c:pt idx="283">
                  <c:v>319200</c:v>
                </c:pt>
                <c:pt idx="284">
                  <c:v>312400</c:v>
                </c:pt>
                <c:pt idx="285">
                  <c:v>312400</c:v>
                </c:pt>
                <c:pt idx="286">
                  <c:v>307000</c:v>
                </c:pt>
                <c:pt idx="287">
                  <c:v>305900</c:v>
                </c:pt>
                <c:pt idx="288">
                  <c:v>303400</c:v>
                </c:pt>
                <c:pt idx="289">
                  <c:v>298200</c:v>
                </c:pt>
                <c:pt idx="290">
                  <c:v>297300</c:v>
                </c:pt>
                <c:pt idx="291">
                  <c:v>293000</c:v>
                </c:pt>
                <c:pt idx="292">
                  <c:v>291500</c:v>
                </c:pt>
                <c:pt idx="293">
                  <c:v>289000</c:v>
                </c:pt>
                <c:pt idx="294">
                  <c:v>286400</c:v>
                </c:pt>
                <c:pt idx="295">
                  <c:v>285700</c:v>
                </c:pt>
                <c:pt idx="296">
                  <c:v>276000</c:v>
                </c:pt>
                <c:pt idx="297">
                  <c:v>271700</c:v>
                </c:pt>
                <c:pt idx="298">
                  <c:v>269000</c:v>
                </c:pt>
                <c:pt idx="299">
                  <c:v>266500</c:v>
                </c:pt>
                <c:pt idx="300">
                  <c:v>266100</c:v>
                </c:pt>
                <c:pt idx="301">
                  <c:v>265400</c:v>
                </c:pt>
                <c:pt idx="302">
                  <c:v>261800</c:v>
                </c:pt>
                <c:pt idx="303">
                  <c:v>260200</c:v>
                </c:pt>
                <c:pt idx="304">
                  <c:v>256600</c:v>
                </c:pt>
                <c:pt idx="305">
                  <c:v>252500</c:v>
                </c:pt>
                <c:pt idx="306">
                  <c:v>252000</c:v>
                </c:pt>
                <c:pt idx="307">
                  <c:v>247000</c:v>
                </c:pt>
                <c:pt idx="308">
                  <c:v>246000</c:v>
                </c:pt>
                <c:pt idx="309">
                  <c:v>243300</c:v>
                </c:pt>
                <c:pt idx="310">
                  <c:v>240900</c:v>
                </c:pt>
                <c:pt idx="311">
                  <c:v>240600</c:v>
                </c:pt>
                <c:pt idx="312">
                  <c:v>235700</c:v>
                </c:pt>
                <c:pt idx="313">
                  <c:v>234200</c:v>
                </c:pt>
                <c:pt idx="314">
                  <c:v>231600</c:v>
                </c:pt>
                <c:pt idx="315">
                  <c:v>231200</c:v>
                </c:pt>
                <c:pt idx="316">
                  <c:v>229100</c:v>
                </c:pt>
                <c:pt idx="317">
                  <c:v>225900</c:v>
                </c:pt>
                <c:pt idx="318">
                  <c:v>223900</c:v>
                </c:pt>
                <c:pt idx="319">
                  <c:v>222300</c:v>
                </c:pt>
                <c:pt idx="320">
                  <c:v>221300</c:v>
                </c:pt>
                <c:pt idx="321">
                  <c:v>220600</c:v>
                </c:pt>
                <c:pt idx="322">
                  <c:v>219100</c:v>
                </c:pt>
                <c:pt idx="323">
                  <c:v>217600</c:v>
                </c:pt>
                <c:pt idx="324">
                  <c:v>217400</c:v>
                </c:pt>
                <c:pt idx="325">
                  <c:v>214400</c:v>
                </c:pt>
                <c:pt idx="326">
                  <c:v>208600</c:v>
                </c:pt>
                <c:pt idx="327">
                  <c:v>207200</c:v>
                </c:pt>
                <c:pt idx="328">
                  <c:v>207100</c:v>
                </c:pt>
                <c:pt idx="329">
                  <c:v>206300</c:v>
                </c:pt>
                <c:pt idx="330">
                  <c:v>203400</c:v>
                </c:pt>
                <c:pt idx="331">
                  <c:v>202500</c:v>
                </c:pt>
                <c:pt idx="332">
                  <c:v>201600</c:v>
                </c:pt>
                <c:pt idx="333">
                  <c:v>198900</c:v>
                </c:pt>
                <c:pt idx="334">
                  <c:v>195600</c:v>
                </c:pt>
                <c:pt idx="335">
                  <c:v>192900</c:v>
                </c:pt>
                <c:pt idx="336">
                  <c:v>192900</c:v>
                </c:pt>
                <c:pt idx="337">
                  <c:v>190100</c:v>
                </c:pt>
                <c:pt idx="338">
                  <c:v>187451</c:v>
                </c:pt>
                <c:pt idx="339">
                  <c:v>185700</c:v>
                </c:pt>
                <c:pt idx="340">
                  <c:v>183800</c:v>
                </c:pt>
                <c:pt idx="341">
                  <c:v>177900</c:v>
                </c:pt>
                <c:pt idx="342">
                  <c:v>177900</c:v>
                </c:pt>
                <c:pt idx="343">
                  <c:v>175400</c:v>
                </c:pt>
                <c:pt idx="344">
                  <c:v>173600</c:v>
                </c:pt>
                <c:pt idx="345">
                  <c:v>169600</c:v>
                </c:pt>
                <c:pt idx="346">
                  <c:v>169000</c:v>
                </c:pt>
                <c:pt idx="347">
                  <c:v>168700</c:v>
                </c:pt>
                <c:pt idx="348">
                  <c:v>166100</c:v>
                </c:pt>
                <c:pt idx="349">
                  <c:v>165200</c:v>
                </c:pt>
                <c:pt idx="350">
                  <c:v>163800</c:v>
                </c:pt>
                <c:pt idx="351">
                  <c:v>163500</c:v>
                </c:pt>
                <c:pt idx="352">
                  <c:v>163300</c:v>
                </c:pt>
                <c:pt idx="353">
                  <c:v>163200</c:v>
                </c:pt>
                <c:pt idx="354">
                  <c:v>157100</c:v>
                </c:pt>
                <c:pt idx="355">
                  <c:v>154600</c:v>
                </c:pt>
                <c:pt idx="356">
                  <c:v>150600</c:v>
                </c:pt>
                <c:pt idx="357">
                  <c:v>149800</c:v>
                </c:pt>
                <c:pt idx="358">
                  <c:v>148200</c:v>
                </c:pt>
                <c:pt idx="359">
                  <c:v>147700</c:v>
                </c:pt>
                <c:pt idx="360">
                  <c:v>146900</c:v>
                </c:pt>
                <c:pt idx="361">
                  <c:v>144000</c:v>
                </c:pt>
                <c:pt idx="362">
                  <c:v>143400</c:v>
                </c:pt>
                <c:pt idx="363">
                  <c:v>143300</c:v>
                </c:pt>
                <c:pt idx="364">
                  <c:v>143200</c:v>
                </c:pt>
                <c:pt idx="365">
                  <c:v>143000</c:v>
                </c:pt>
                <c:pt idx="366">
                  <c:v>140400</c:v>
                </c:pt>
                <c:pt idx="367">
                  <c:v>139600</c:v>
                </c:pt>
                <c:pt idx="368">
                  <c:v>138900</c:v>
                </c:pt>
                <c:pt idx="369">
                  <c:v>138100</c:v>
                </c:pt>
                <c:pt idx="370">
                  <c:v>137700</c:v>
                </c:pt>
                <c:pt idx="371">
                  <c:v>137400</c:v>
                </c:pt>
                <c:pt idx="372">
                  <c:v>134800</c:v>
                </c:pt>
                <c:pt idx="373">
                  <c:v>134200</c:v>
                </c:pt>
                <c:pt idx="374">
                  <c:v>131000</c:v>
                </c:pt>
                <c:pt idx="375">
                  <c:v>130200</c:v>
                </c:pt>
                <c:pt idx="376">
                  <c:v>129900</c:v>
                </c:pt>
                <c:pt idx="377">
                  <c:v>129200</c:v>
                </c:pt>
                <c:pt idx="378">
                  <c:v>125800</c:v>
                </c:pt>
                <c:pt idx="379">
                  <c:v>125400</c:v>
                </c:pt>
                <c:pt idx="380">
                  <c:v>123000</c:v>
                </c:pt>
                <c:pt idx="381">
                  <c:v>122200</c:v>
                </c:pt>
                <c:pt idx="382">
                  <c:v>121300</c:v>
                </c:pt>
                <c:pt idx="383">
                  <c:v>120400</c:v>
                </c:pt>
                <c:pt idx="384">
                  <c:v>117300</c:v>
                </c:pt>
                <c:pt idx="385">
                  <c:v>115500</c:v>
                </c:pt>
                <c:pt idx="386">
                  <c:v>111400</c:v>
                </c:pt>
                <c:pt idx="387">
                  <c:v>110900</c:v>
                </c:pt>
                <c:pt idx="388">
                  <c:v>110500</c:v>
                </c:pt>
                <c:pt idx="389">
                  <c:v>108000</c:v>
                </c:pt>
                <c:pt idx="390">
                  <c:v>106300</c:v>
                </c:pt>
                <c:pt idx="391">
                  <c:v>105800</c:v>
                </c:pt>
                <c:pt idx="392">
                  <c:v>105300</c:v>
                </c:pt>
                <c:pt idx="393">
                  <c:v>104400</c:v>
                </c:pt>
                <c:pt idx="394">
                  <c:v>103400</c:v>
                </c:pt>
                <c:pt idx="395">
                  <c:v>103000</c:v>
                </c:pt>
                <c:pt idx="396">
                  <c:v>102900</c:v>
                </c:pt>
                <c:pt idx="397">
                  <c:v>101400</c:v>
                </c:pt>
                <c:pt idx="398">
                  <c:v>101000</c:v>
                </c:pt>
                <c:pt idx="399">
                  <c:v>100000</c:v>
                </c:pt>
                <c:pt idx="400">
                  <c:v>99400</c:v>
                </c:pt>
                <c:pt idx="401">
                  <c:v>99200</c:v>
                </c:pt>
                <c:pt idx="402">
                  <c:v>97800</c:v>
                </c:pt>
                <c:pt idx="403">
                  <c:v>97700</c:v>
                </c:pt>
                <c:pt idx="404">
                  <c:v>97300</c:v>
                </c:pt>
                <c:pt idx="405">
                  <c:v>97100</c:v>
                </c:pt>
                <c:pt idx="406">
                  <c:v>96800</c:v>
                </c:pt>
                <c:pt idx="407">
                  <c:v>89500</c:v>
                </c:pt>
                <c:pt idx="408">
                  <c:v>88300</c:v>
                </c:pt>
                <c:pt idx="409">
                  <c:v>87500</c:v>
                </c:pt>
                <c:pt idx="410">
                  <c:v>87200</c:v>
                </c:pt>
                <c:pt idx="411">
                  <c:v>83400</c:v>
                </c:pt>
                <c:pt idx="412">
                  <c:v>83200</c:v>
                </c:pt>
                <c:pt idx="413">
                  <c:v>82700</c:v>
                </c:pt>
                <c:pt idx="414">
                  <c:v>81700</c:v>
                </c:pt>
                <c:pt idx="415">
                  <c:v>81500</c:v>
                </c:pt>
                <c:pt idx="416">
                  <c:v>79000</c:v>
                </c:pt>
                <c:pt idx="417">
                  <c:v>78400</c:v>
                </c:pt>
                <c:pt idx="418">
                  <c:v>78400</c:v>
                </c:pt>
                <c:pt idx="419">
                  <c:v>78300</c:v>
                </c:pt>
                <c:pt idx="420">
                  <c:v>77300</c:v>
                </c:pt>
                <c:pt idx="421">
                  <c:v>75500</c:v>
                </c:pt>
                <c:pt idx="422">
                  <c:v>70300</c:v>
                </c:pt>
                <c:pt idx="423">
                  <c:v>68100</c:v>
                </c:pt>
                <c:pt idx="424">
                  <c:v>67900</c:v>
                </c:pt>
                <c:pt idx="425">
                  <c:v>66700</c:v>
                </c:pt>
                <c:pt idx="426">
                  <c:v>65900</c:v>
                </c:pt>
                <c:pt idx="427">
                  <c:v>62900</c:v>
                </c:pt>
                <c:pt idx="428">
                  <c:v>62200</c:v>
                </c:pt>
                <c:pt idx="429">
                  <c:v>61000</c:v>
                </c:pt>
                <c:pt idx="430">
                  <c:v>60900</c:v>
                </c:pt>
                <c:pt idx="431">
                  <c:v>60100</c:v>
                </c:pt>
                <c:pt idx="432">
                  <c:v>59900</c:v>
                </c:pt>
                <c:pt idx="433">
                  <c:v>59100</c:v>
                </c:pt>
                <c:pt idx="434">
                  <c:v>58800</c:v>
                </c:pt>
                <c:pt idx="435">
                  <c:v>57800</c:v>
                </c:pt>
                <c:pt idx="436">
                  <c:v>57200</c:v>
                </c:pt>
                <c:pt idx="437">
                  <c:v>54200</c:v>
                </c:pt>
                <c:pt idx="438">
                  <c:v>52600</c:v>
                </c:pt>
                <c:pt idx="439">
                  <c:v>51600</c:v>
                </c:pt>
                <c:pt idx="440">
                  <c:v>50100</c:v>
                </c:pt>
                <c:pt idx="441">
                  <c:v>47400</c:v>
                </c:pt>
                <c:pt idx="442">
                  <c:v>47000</c:v>
                </c:pt>
                <c:pt idx="443">
                  <c:v>46000</c:v>
                </c:pt>
                <c:pt idx="444">
                  <c:v>45700</c:v>
                </c:pt>
                <c:pt idx="445">
                  <c:v>45500</c:v>
                </c:pt>
                <c:pt idx="446">
                  <c:v>45100</c:v>
                </c:pt>
                <c:pt idx="447">
                  <c:v>45000</c:v>
                </c:pt>
                <c:pt idx="448">
                  <c:v>43100</c:v>
                </c:pt>
                <c:pt idx="449">
                  <c:v>42500</c:v>
                </c:pt>
                <c:pt idx="450">
                  <c:v>42400</c:v>
                </c:pt>
                <c:pt idx="451">
                  <c:v>42200</c:v>
                </c:pt>
                <c:pt idx="452">
                  <c:v>42100</c:v>
                </c:pt>
                <c:pt idx="453">
                  <c:v>42100</c:v>
                </c:pt>
                <c:pt idx="454">
                  <c:v>40100</c:v>
                </c:pt>
                <c:pt idx="455">
                  <c:v>37400</c:v>
                </c:pt>
                <c:pt idx="456">
                  <c:v>36600</c:v>
                </c:pt>
                <c:pt idx="457">
                  <c:v>36000</c:v>
                </c:pt>
                <c:pt idx="458">
                  <c:v>34700</c:v>
                </c:pt>
                <c:pt idx="459">
                  <c:v>32000</c:v>
                </c:pt>
                <c:pt idx="460">
                  <c:v>31400</c:v>
                </c:pt>
                <c:pt idx="461">
                  <c:v>29700</c:v>
                </c:pt>
                <c:pt idx="462">
                  <c:v>29600</c:v>
                </c:pt>
                <c:pt idx="463">
                  <c:v>29500</c:v>
                </c:pt>
                <c:pt idx="464">
                  <c:v>27300</c:v>
                </c:pt>
                <c:pt idx="465">
                  <c:v>26900</c:v>
                </c:pt>
                <c:pt idx="466">
                  <c:v>26300</c:v>
                </c:pt>
                <c:pt idx="467">
                  <c:v>26300</c:v>
                </c:pt>
                <c:pt idx="468">
                  <c:v>26200</c:v>
                </c:pt>
                <c:pt idx="469">
                  <c:v>26000</c:v>
                </c:pt>
                <c:pt idx="470">
                  <c:v>25600</c:v>
                </c:pt>
                <c:pt idx="471">
                  <c:v>25100</c:v>
                </c:pt>
                <c:pt idx="472">
                  <c:v>24400</c:v>
                </c:pt>
                <c:pt idx="473">
                  <c:v>24000</c:v>
                </c:pt>
                <c:pt idx="474">
                  <c:v>23900</c:v>
                </c:pt>
                <c:pt idx="475">
                  <c:v>23100</c:v>
                </c:pt>
                <c:pt idx="476">
                  <c:v>20000</c:v>
                </c:pt>
                <c:pt idx="477">
                  <c:v>19700</c:v>
                </c:pt>
                <c:pt idx="478">
                  <c:v>19400</c:v>
                </c:pt>
                <c:pt idx="479">
                  <c:v>18900</c:v>
                </c:pt>
                <c:pt idx="480">
                  <c:v>18600</c:v>
                </c:pt>
                <c:pt idx="481">
                  <c:v>18100</c:v>
                </c:pt>
                <c:pt idx="482">
                  <c:v>17800</c:v>
                </c:pt>
                <c:pt idx="483">
                  <c:v>17500</c:v>
                </c:pt>
                <c:pt idx="484">
                  <c:v>17400</c:v>
                </c:pt>
                <c:pt idx="485">
                  <c:v>16820</c:v>
                </c:pt>
                <c:pt idx="486">
                  <c:v>16500</c:v>
                </c:pt>
                <c:pt idx="487">
                  <c:v>16500</c:v>
                </c:pt>
                <c:pt idx="488">
                  <c:v>16300</c:v>
                </c:pt>
                <c:pt idx="489">
                  <c:v>16300</c:v>
                </c:pt>
                <c:pt idx="490">
                  <c:v>15800</c:v>
                </c:pt>
                <c:pt idx="491">
                  <c:v>15400</c:v>
                </c:pt>
                <c:pt idx="492">
                  <c:v>15400</c:v>
                </c:pt>
                <c:pt idx="493">
                  <c:v>15000</c:v>
                </c:pt>
                <c:pt idx="494">
                  <c:v>14800</c:v>
                </c:pt>
                <c:pt idx="495">
                  <c:v>14500</c:v>
                </c:pt>
                <c:pt idx="496">
                  <c:v>13995</c:v>
                </c:pt>
                <c:pt idx="497">
                  <c:v>13800</c:v>
                </c:pt>
                <c:pt idx="498">
                  <c:v>13400</c:v>
                </c:pt>
                <c:pt idx="499">
                  <c:v>13300</c:v>
                </c:pt>
                <c:pt idx="500">
                  <c:v>13145</c:v>
                </c:pt>
                <c:pt idx="501">
                  <c:v>12700</c:v>
                </c:pt>
                <c:pt idx="502">
                  <c:v>12400</c:v>
                </c:pt>
                <c:pt idx="503">
                  <c:v>12100</c:v>
                </c:pt>
                <c:pt idx="504">
                  <c:v>11500</c:v>
                </c:pt>
                <c:pt idx="505">
                  <c:v>11300</c:v>
                </c:pt>
                <c:pt idx="506">
                  <c:v>11200</c:v>
                </c:pt>
                <c:pt idx="507">
                  <c:v>11100</c:v>
                </c:pt>
                <c:pt idx="508">
                  <c:v>10998</c:v>
                </c:pt>
                <c:pt idx="509">
                  <c:v>10800</c:v>
                </c:pt>
                <c:pt idx="510">
                  <c:v>10600</c:v>
                </c:pt>
                <c:pt idx="511">
                  <c:v>10500</c:v>
                </c:pt>
                <c:pt idx="512">
                  <c:v>10261</c:v>
                </c:pt>
                <c:pt idx="513">
                  <c:v>9931</c:v>
                </c:pt>
                <c:pt idx="514">
                  <c:v>9924</c:v>
                </c:pt>
                <c:pt idx="515">
                  <c:v>9568</c:v>
                </c:pt>
                <c:pt idx="516">
                  <c:v>9257</c:v>
                </c:pt>
                <c:pt idx="517">
                  <c:v>9230</c:v>
                </c:pt>
                <c:pt idx="518">
                  <c:v>9213</c:v>
                </c:pt>
                <c:pt idx="519">
                  <c:v>8935</c:v>
                </c:pt>
                <c:pt idx="520">
                  <c:v>8529</c:v>
                </c:pt>
                <c:pt idx="521">
                  <c:v>8452</c:v>
                </c:pt>
                <c:pt idx="522">
                  <c:v>8366</c:v>
                </c:pt>
                <c:pt idx="523">
                  <c:v>7930</c:v>
                </c:pt>
                <c:pt idx="524">
                  <c:v>7746</c:v>
                </c:pt>
                <c:pt idx="525">
                  <c:v>7664</c:v>
                </c:pt>
                <c:pt idx="526">
                  <c:v>7529</c:v>
                </c:pt>
                <c:pt idx="527">
                  <c:v>7199</c:v>
                </c:pt>
                <c:pt idx="528">
                  <c:v>7012</c:v>
                </c:pt>
                <c:pt idx="529">
                  <c:v>6802</c:v>
                </c:pt>
                <c:pt idx="530">
                  <c:v>6796</c:v>
                </c:pt>
                <c:pt idx="531">
                  <c:v>6792</c:v>
                </c:pt>
                <c:pt idx="532">
                  <c:v>6724</c:v>
                </c:pt>
                <c:pt idx="533">
                  <c:v>6434</c:v>
                </c:pt>
                <c:pt idx="534">
                  <c:v>6295</c:v>
                </c:pt>
                <c:pt idx="535">
                  <c:v>6068</c:v>
                </c:pt>
                <c:pt idx="536">
                  <c:v>5482</c:v>
                </c:pt>
                <c:pt idx="537">
                  <c:v>5281</c:v>
                </c:pt>
                <c:pt idx="538">
                  <c:v>5266</c:v>
                </c:pt>
                <c:pt idx="539">
                  <c:v>5249</c:v>
                </c:pt>
                <c:pt idx="540">
                  <c:v>5121</c:v>
                </c:pt>
                <c:pt idx="541">
                  <c:v>5014</c:v>
                </c:pt>
                <c:pt idx="542">
                  <c:v>4766</c:v>
                </c:pt>
                <c:pt idx="543">
                  <c:v>4753</c:v>
                </c:pt>
                <c:pt idx="544">
                  <c:v>4697</c:v>
                </c:pt>
                <c:pt idx="545">
                  <c:v>4682</c:v>
                </c:pt>
                <c:pt idx="546">
                  <c:v>4653</c:v>
                </c:pt>
                <c:pt idx="547">
                  <c:v>4581</c:v>
                </c:pt>
                <c:pt idx="548">
                  <c:v>4284</c:v>
                </c:pt>
                <c:pt idx="549">
                  <c:v>4064</c:v>
                </c:pt>
                <c:pt idx="550">
                  <c:v>3744</c:v>
                </c:pt>
                <c:pt idx="551">
                  <c:v>3677</c:v>
                </c:pt>
                <c:pt idx="552">
                  <c:v>3635</c:v>
                </c:pt>
                <c:pt idx="553">
                  <c:v>3624</c:v>
                </c:pt>
                <c:pt idx="554">
                  <c:v>3547</c:v>
                </c:pt>
                <c:pt idx="555">
                  <c:v>3523</c:v>
                </c:pt>
                <c:pt idx="556">
                  <c:v>3516</c:v>
                </c:pt>
                <c:pt idx="557">
                  <c:v>3466</c:v>
                </c:pt>
                <c:pt idx="558">
                  <c:v>3027</c:v>
                </c:pt>
                <c:pt idx="559">
                  <c:v>2933</c:v>
                </c:pt>
                <c:pt idx="560">
                  <c:v>2889</c:v>
                </c:pt>
                <c:pt idx="561">
                  <c:v>2880</c:v>
                </c:pt>
                <c:pt idx="562">
                  <c:v>2817</c:v>
                </c:pt>
                <c:pt idx="563">
                  <c:v>2812</c:v>
                </c:pt>
                <c:pt idx="564">
                  <c:v>2555</c:v>
                </c:pt>
                <c:pt idx="565">
                  <c:v>2516</c:v>
                </c:pt>
                <c:pt idx="566">
                  <c:v>2343</c:v>
                </c:pt>
                <c:pt idx="567">
                  <c:v>2254</c:v>
                </c:pt>
                <c:pt idx="568">
                  <c:v>2194</c:v>
                </c:pt>
                <c:pt idx="569">
                  <c:v>2168</c:v>
                </c:pt>
                <c:pt idx="570">
                  <c:v>2133</c:v>
                </c:pt>
                <c:pt idx="571">
                  <c:v>2118</c:v>
                </c:pt>
                <c:pt idx="572">
                  <c:v>2058</c:v>
                </c:pt>
                <c:pt idx="573">
                  <c:v>2033</c:v>
                </c:pt>
                <c:pt idx="574">
                  <c:v>2012</c:v>
                </c:pt>
                <c:pt idx="575">
                  <c:v>2001</c:v>
                </c:pt>
                <c:pt idx="576">
                  <c:v>1982</c:v>
                </c:pt>
                <c:pt idx="577">
                  <c:v>1952</c:v>
                </c:pt>
                <c:pt idx="578">
                  <c:v>1860</c:v>
                </c:pt>
                <c:pt idx="579">
                  <c:v>1848</c:v>
                </c:pt>
                <c:pt idx="580">
                  <c:v>1774</c:v>
                </c:pt>
                <c:pt idx="581">
                  <c:v>1762</c:v>
                </c:pt>
                <c:pt idx="582">
                  <c:v>1636</c:v>
                </c:pt>
                <c:pt idx="583">
                  <c:v>1540</c:v>
                </c:pt>
                <c:pt idx="584">
                  <c:v>1487</c:v>
                </c:pt>
                <c:pt idx="585">
                  <c:v>1435</c:v>
                </c:pt>
                <c:pt idx="586">
                  <c:v>1420</c:v>
                </c:pt>
                <c:pt idx="587">
                  <c:v>1420</c:v>
                </c:pt>
                <c:pt idx="588">
                  <c:v>1336</c:v>
                </c:pt>
                <c:pt idx="589">
                  <c:v>1291</c:v>
                </c:pt>
                <c:pt idx="590">
                  <c:v>1257</c:v>
                </c:pt>
                <c:pt idx="591">
                  <c:v>1191</c:v>
                </c:pt>
                <c:pt idx="592">
                  <c:v>1152</c:v>
                </c:pt>
                <c:pt idx="593">
                  <c:v>1128</c:v>
                </c:pt>
                <c:pt idx="594">
                  <c:v>1082</c:v>
                </c:pt>
                <c:pt idx="595">
                  <c:v>1042</c:v>
                </c:pt>
                <c:pt idx="596">
                  <c:v>1006</c:v>
                </c:pt>
                <c:pt idx="597">
                  <c:v>958</c:v>
                </c:pt>
                <c:pt idx="598">
                  <c:v>937</c:v>
                </c:pt>
                <c:pt idx="599">
                  <c:v>921</c:v>
                </c:pt>
                <c:pt idx="600">
                  <c:v>919</c:v>
                </c:pt>
                <c:pt idx="601">
                  <c:v>895</c:v>
                </c:pt>
                <c:pt idx="602">
                  <c:v>877</c:v>
                </c:pt>
                <c:pt idx="603">
                  <c:v>873</c:v>
                </c:pt>
                <c:pt idx="604">
                  <c:v>850</c:v>
                </c:pt>
                <c:pt idx="605">
                  <c:v>830</c:v>
                </c:pt>
                <c:pt idx="606">
                  <c:v>803</c:v>
                </c:pt>
                <c:pt idx="607">
                  <c:v>749</c:v>
                </c:pt>
                <c:pt idx="608">
                  <c:v>732</c:v>
                </c:pt>
                <c:pt idx="609">
                  <c:v>609</c:v>
                </c:pt>
                <c:pt idx="610">
                  <c:v>589</c:v>
                </c:pt>
                <c:pt idx="611">
                  <c:v>578</c:v>
                </c:pt>
                <c:pt idx="612">
                  <c:v>574</c:v>
                </c:pt>
                <c:pt idx="613">
                  <c:v>572</c:v>
                </c:pt>
                <c:pt idx="614">
                  <c:v>555</c:v>
                </c:pt>
                <c:pt idx="615">
                  <c:v>449</c:v>
                </c:pt>
                <c:pt idx="616">
                  <c:v>377</c:v>
                </c:pt>
                <c:pt idx="617">
                  <c:v>366</c:v>
                </c:pt>
                <c:pt idx="618">
                  <c:v>348</c:v>
                </c:pt>
                <c:pt idx="619">
                  <c:v>340</c:v>
                </c:pt>
                <c:pt idx="620">
                  <c:v>335</c:v>
                </c:pt>
                <c:pt idx="621">
                  <c:v>331</c:v>
                </c:pt>
                <c:pt idx="622">
                  <c:v>321</c:v>
                </c:pt>
                <c:pt idx="623">
                  <c:v>319</c:v>
                </c:pt>
                <c:pt idx="624">
                  <c:v>302</c:v>
                </c:pt>
                <c:pt idx="625">
                  <c:v>300</c:v>
                </c:pt>
                <c:pt idx="626">
                  <c:v>271</c:v>
                </c:pt>
                <c:pt idx="627">
                  <c:v>233</c:v>
                </c:pt>
                <c:pt idx="628">
                  <c:v>230</c:v>
                </c:pt>
                <c:pt idx="629">
                  <c:v>220</c:v>
                </c:pt>
                <c:pt idx="630">
                  <c:v>220</c:v>
                </c:pt>
                <c:pt idx="631">
                  <c:v>201</c:v>
                </c:pt>
                <c:pt idx="632">
                  <c:v>170</c:v>
                </c:pt>
                <c:pt idx="633">
                  <c:v>167</c:v>
                </c:pt>
                <c:pt idx="634">
                  <c:v>162</c:v>
                </c:pt>
                <c:pt idx="635">
                  <c:v>161</c:v>
                </c:pt>
                <c:pt idx="636">
                  <c:v>153</c:v>
                </c:pt>
                <c:pt idx="637">
                  <c:v>151</c:v>
                </c:pt>
                <c:pt idx="638">
                  <c:v>147</c:v>
                </c:pt>
                <c:pt idx="639">
                  <c:v>141</c:v>
                </c:pt>
                <c:pt idx="640">
                  <c:v>137</c:v>
                </c:pt>
                <c:pt idx="641">
                  <c:v>130</c:v>
                </c:pt>
                <c:pt idx="642">
                  <c:v>126</c:v>
                </c:pt>
                <c:pt idx="643">
                  <c:v>123</c:v>
                </c:pt>
                <c:pt idx="644">
                  <c:v>122</c:v>
                </c:pt>
                <c:pt idx="645">
                  <c:v>120</c:v>
                </c:pt>
                <c:pt idx="646">
                  <c:v>112</c:v>
                </c:pt>
                <c:pt idx="647">
                  <c:v>109</c:v>
                </c:pt>
                <c:pt idx="648">
                  <c:v>106</c:v>
                </c:pt>
                <c:pt idx="649">
                  <c:v>103</c:v>
                </c:pt>
                <c:pt idx="650">
                  <c:v>93</c:v>
                </c:pt>
                <c:pt idx="651">
                  <c:v>90</c:v>
                </c:pt>
                <c:pt idx="652">
                  <c:v>88</c:v>
                </c:pt>
                <c:pt idx="653">
                  <c:v>70</c:v>
                </c:pt>
                <c:pt idx="654">
                  <c:v>69</c:v>
                </c:pt>
                <c:pt idx="655">
                  <c:v>66</c:v>
                </c:pt>
                <c:pt idx="656">
                  <c:v>64</c:v>
                </c:pt>
                <c:pt idx="657">
                  <c:v>63</c:v>
                </c:pt>
                <c:pt idx="658">
                  <c:v>58</c:v>
                </c:pt>
                <c:pt idx="659">
                  <c:v>53</c:v>
                </c:pt>
                <c:pt idx="660">
                  <c:v>51</c:v>
                </c:pt>
                <c:pt idx="661">
                  <c:v>51</c:v>
                </c:pt>
                <c:pt idx="662">
                  <c:v>50</c:v>
                </c:pt>
                <c:pt idx="663">
                  <c:v>50</c:v>
                </c:pt>
                <c:pt idx="664">
                  <c:v>49</c:v>
                </c:pt>
                <c:pt idx="665">
                  <c:v>47</c:v>
                </c:pt>
                <c:pt idx="666">
                  <c:v>42</c:v>
                </c:pt>
                <c:pt idx="667">
                  <c:v>42</c:v>
                </c:pt>
                <c:pt idx="668">
                  <c:v>41</c:v>
                </c:pt>
                <c:pt idx="669">
                  <c:v>41</c:v>
                </c:pt>
                <c:pt idx="670">
                  <c:v>39</c:v>
                </c:pt>
                <c:pt idx="671">
                  <c:v>38</c:v>
                </c:pt>
                <c:pt idx="672">
                  <c:v>36</c:v>
                </c:pt>
                <c:pt idx="673">
                  <c:v>35</c:v>
                </c:pt>
                <c:pt idx="674">
                  <c:v>32</c:v>
                </c:pt>
                <c:pt idx="675">
                  <c:v>32</c:v>
                </c:pt>
                <c:pt idx="676">
                  <c:v>29</c:v>
                </c:pt>
                <c:pt idx="677">
                  <c:v>28</c:v>
                </c:pt>
                <c:pt idx="678">
                  <c:v>23</c:v>
                </c:pt>
                <c:pt idx="679">
                  <c:v>20</c:v>
                </c:pt>
                <c:pt idx="680">
                  <c:v>20</c:v>
                </c:pt>
                <c:pt idx="681">
                  <c:v>20</c:v>
                </c:pt>
                <c:pt idx="682">
                  <c:v>18</c:v>
                </c:pt>
                <c:pt idx="683">
                  <c:v>17</c:v>
                </c:pt>
                <c:pt idx="684">
                  <c:v>16</c:v>
                </c:pt>
                <c:pt idx="685">
                  <c:v>15</c:v>
                </c:pt>
                <c:pt idx="686">
                  <c:v>14</c:v>
                </c:pt>
                <c:pt idx="687">
                  <c:v>12</c:v>
                </c:pt>
                <c:pt idx="688">
                  <c:v>12</c:v>
                </c:pt>
                <c:pt idx="689">
                  <c:v>12</c:v>
                </c:pt>
                <c:pt idx="690">
                  <c:v>12</c:v>
                </c:pt>
                <c:pt idx="691">
                  <c:v>11</c:v>
                </c:pt>
                <c:pt idx="692">
                  <c:v>11</c:v>
                </c:pt>
                <c:pt idx="693">
                  <c:v>11</c:v>
                </c:pt>
                <c:pt idx="694">
                  <c:v>10</c:v>
                </c:pt>
                <c:pt idx="695">
                  <c:v>9</c:v>
                </c:pt>
                <c:pt idx="696">
                  <c:v>8</c:v>
                </c:pt>
                <c:pt idx="697">
                  <c:v>8</c:v>
                </c:pt>
                <c:pt idx="698">
                  <c:v>8</c:v>
                </c:pt>
                <c:pt idx="699">
                  <c:v>8</c:v>
                </c:pt>
                <c:pt idx="700">
                  <c:v>7</c:v>
                </c:pt>
                <c:pt idx="701">
                  <c:v>7</c:v>
                </c:pt>
                <c:pt idx="702">
                  <c:v>7</c:v>
                </c:pt>
                <c:pt idx="703">
                  <c:v>7</c:v>
                </c:pt>
                <c:pt idx="704">
                  <c:v>6</c:v>
                </c:pt>
                <c:pt idx="705">
                  <c:v>6</c:v>
                </c:pt>
                <c:pt idx="706">
                  <c:v>5</c:v>
                </c:pt>
                <c:pt idx="707">
                  <c:v>5</c:v>
                </c:pt>
                <c:pt idx="708">
                  <c:v>5</c:v>
                </c:pt>
                <c:pt idx="709">
                  <c:v>5</c:v>
                </c:pt>
                <c:pt idx="710">
                  <c:v>4</c:v>
                </c:pt>
                <c:pt idx="711">
                  <c:v>3</c:v>
                </c:pt>
                <c:pt idx="712">
                  <c:v>3</c:v>
                </c:pt>
                <c:pt idx="713">
                  <c:v>3</c:v>
                </c:pt>
                <c:pt idx="714">
                  <c:v>3</c:v>
                </c:pt>
                <c:pt idx="715">
                  <c:v>3</c:v>
                </c:pt>
                <c:pt idx="716">
                  <c:v>3</c:v>
                </c:pt>
                <c:pt idx="717">
                  <c:v>3</c:v>
                </c:pt>
                <c:pt idx="718">
                  <c:v>2</c:v>
                </c:pt>
                <c:pt idx="719">
                  <c:v>2</c:v>
                </c:pt>
                <c:pt idx="720">
                  <c:v>1</c:v>
                </c:pt>
                <c:pt idx="721">
                  <c:v>1</c:v>
                </c:pt>
                <c:pt idx="722">
                  <c:v>1</c:v>
                </c:pt>
                <c:pt idx="723">
                  <c:v>1</c:v>
                </c:pt>
                <c:pt idx="724">
                  <c:v>1</c:v>
                </c:pt>
                <c:pt idx="725">
                  <c:v>1</c:v>
                </c:pt>
                <c:pt idx="726">
                  <c:v>1</c:v>
                </c:pt>
                <c:pt idx="727">
                  <c:v>1</c:v>
                </c:pt>
                <c:pt idx="728">
                  <c:v>1</c:v>
                </c:pt>
                <c:pt idx="729">
                  <c:v>1</c:v>
                </c:pt>
                <c:pt idx="730">
                  <c:v>1</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numCache>
            </c:numRef>
          </c:val>
          <c:extLst>
            <c:ext xmlns:c16="http://schemas.microsoft.com/office/drawing/2014/chart" uri="{C3380CC4-5D6E-409C-BE32-E72D297353CC}">
              <c16:uniqueId val="{00000000-1C03-4BFC-9F47-12125EE0789E}"/>
            </c:ext>
          </c:extLst>
        </c:ser>
        <c:dLbls>
          <c:showLegendKey val="0"/>
          <c:showVal val="0"/>
          <c:showCatName val="0"/>
          <c:showSerName val="0"/>
          <c:showPercent val="0"/>
          <c:showBubbleSize val="0"/>
        </c:dLbls>
        <c:gapWidth val="219"/>
        <c:overlap val="-27"/>
        <c:axId val="1485391744"/>
        <c:axId val="1629295584"/>
      </c:barChart>
      <c:catAx>
        <c:axId val="1485391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9295584"/>
        <c:crosses val="autoZero"/>
        <c:auto val="1"/>
        <c:lblAlgn val="ctr"/>
        <c:lblOffset val="100"/>
        <c:noMultiLvlLbl val="0"/>
      </c:catAx>
      <c:valAx>
        <c:axId val="1629295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5391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(4).xlsm]Graphs!PivotTable16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Graphs!$Q$20</c:f>
              <c:strCache>
                <c:ptCount val="1"/>
                <c:pt idx="0">
                  <c:v>Total</c:v>
                </c:pt>
              </c:strCache>
            </c:strRef>
          </c:tx>
          <c:spPr>
            <a:solidFill>
              <a:schemeClr val="accent1"/>
            </a:solidFill>
            <a:ln>
              <a:noFill/>
            </a:ln>
            <a:effectLst/>
          </c:spPr>
          <c:invertIfNegative val="0"/>
          <c:cat>
            <c:strRef>
              <c:f>Graphs!$P$21:$P$629</c:f>
              <c:strCache>
                <c:ptCount val="608"/>
                <c:pt idx="0">
                  <c:v>Conkarah</c:v>
                </c:pt>
                <c:pt idx="1">
                  <c:v>Doja Cat</c:v>
                </c:pt>
                <c:pt idx="2">
                  <c:v>Jawsh 685</c:v>
                </c:pt>
                <c:pt idx="3">
                  <c:v>Megan Thee Stallion</c:v>
                </c:pt>
                <c:pt idx="4">
                  <c:v>MÃ¥neskin</c:v>
                </c:pt>
                <c:pt idx="5">
                  <c:v>JACKBOYS</c:v>
                </c:pt>
                <c:pt idx="6">
                  <c:v>K CAMP</c:v>
                </c:pt>
                <c:pt idx="7">
                  <c:v>StaySolidRocky</c:v>
                </c:pt>
                <c:pt idx="8">
                  <c:v>Mariah Carey</c:v>
                </c:pt>
                <c:pt idx="9">
                  <c:v>Pop Smoke</c:v>
                </c:pt>
                <c:pt idx="10">
                  <c:v>Masked Wolf</c:v>
                </c:pt>
                <c:pt idx="11">
                  <c:v>Puri</c:v>
                </c:pt>
                <c:pt idx="12">
                  <c:v>Don Toliver</c:v>
                </c:pt>
                <c:pt idx="13">
                  <c:v>Amaarae</c:v>
                </c:pt>
                <c:pt idx="14">
                  <c:v>JVKE</c:v>
                </c:pt>
                <c:pt idx="15">
                  <c:v>Jowell &amp; Randy</c:v>
                </c:pt>
                <c:pt idx="16">
                  <c:v>BENEE</c:v>
                </c:pt>
                <c:pt idx="17">
                  <c:v>Oliver Tree</c:v>
                </c:pt>
                <c:pt idx="18">
                  <c:v>KRYPTO9095</c:v>
                </c:pt>
                <c:pt idx="19">
                  <c:v>Nicky Youre</c:v>
                </c:pt>
                <c:pt idx="20">
                  <c:v>Melanie Martinez</c:v>
                </c:pt>
                <c:pt idx="21">
                  <c:v>LISA</c:v>
                </c:pt>
                <c:pt idx="22">
                  <c:v>Trevor Daniel</c:v>
                </c:pt>
                <c:pt idx="23">
                  <c:v>24kGoldn</c:v>
                </c:pt>
                <c:pt idx="24">
                  <c:v>Saweetie</c:v>
                </c:pt>
                <c:pt idx="25">
                  <c:v>Powfu</c:v>
                </c:pt>
                <c:pt idx="26">
                  <c:v>CKay</c:v>
                </c:pt>
                <c:pt idx="27">
                  <c:v>Bazzi</c:v>
                </c:pt>
                <c:pt idx="28">
                  <c:v>Becky G</c:v>
                </c:pt>
                <c:pt idx="29">
                  <c:v>SofÃ­a Reyes</c:v>
                </c:pt>
                <c:pt idx="30">
                  <c:v>SZA</c:v>
                </c:pt>
                <c:pt idx="31">
                  <c:v>Duke &amp; Jones</c:v>
                </c:pt>
                <c:pt idx="32">
                  <c:v>The Weeknd</c:v>
                </c:pt>
                <c:pt idx="33">
                  <c:v>SALES</c:v>
                </c:pt>
                <c:pt idx="34">
                  <c:v>Drake</c:v>
                </c:pt>
                <c:pt idx="35">
                  <c:v>MEDUZA</c:v>
                </c:pt>
                <c:pt idx="36">
                  <c:v>Dua Lipa</c:v>
                </c:pt>
                <c:pt idx="37">
                  <c:v>TiÃ«sto</c:v>
                </c:pt>
                <c:pt idx="38">
                  <c:v>ElyOtto</c:v>
                </c:pt>
                <c:pt idx="39">
                  <c:v>Andrew Gold</c:v>
                </c:pt>
                <c:pt idx="40">
                  <c:v>Cardi B</c:v>
                </c:pt>
                <c:pt idx="41">
                  <c:v>Jaymes Young</c:v>
                </c:pt>
                <c:pt idx="42">
                  <c:v>Lil Nas X</c:v>
                </c:pt>
                <c:pt idx="43">
                  <c:v>SHAUN</c:v>
                </c:pt>
                <c:pt idx="44">
                  <c:v>monte booker</c:v>
                </c:pt>
                <c:pt idx="45">
                  <c:v>Tiagz</c:v>
                </c:pt>
                <c:pt idx="46">
                  <c:v>Arizona Zervas</c:v>
                </c:pt>
                <c:pt idx="47">
                  <c:v>Jnr Choi</c:v>
                </c:pt>
                <c:pt idx="48">
                  <c:v>Little Mix</c:v>
                </c:pt>
                <c:pt idx="49">
                  <c:v>Sueco</c:v>
                </c:pt>
                <c:pt idx="50">
                  <c:v>Kesha</c:v>
                </c:pt>
                <c:pt idx="51">
                  <c:v>Y2K</c:v>
                </c:pt>
                <c:pt idx="52">
                  <c:v>Millie B</c:v>
                </c:pt>
                <c:pt idx="53">
                  <c:v>ROSALÃA</c:v>
                </c:pt>
                <c:pt idx="54">
                  <c:v>J Boog</c:v>
                </c:pt>
                <c:pt idx="55">
                  <c:v>Sub Urban</c:v>
                </c:pt>
                <c:pt idx="56">
                  <c:v>Tai Verdes</c:v>
                </c:pt>
                <c:pt idx="57">
                  <c:v>Kaash Paige</c:v>
                </c:pt>
                <c:pt idx="58">
                  <c:v>Bruno Mars</c:v>
                </c:pt>
                <c:pt idx="59">
                  <c:v>Trinidad Cardona</c:v>
                </c:pt>
                <c:pt idx="60">
                  <c:v>Regard</c:v>
                </c:pt>
                <c:pt idx="61">
                  <c:v>Okean Elzi</c:v>
                </c:pt>
                <c:pt idx="62">
                  <c:v>Goya Menor</c:v>
                </c:pt>
                <c:pt idx="63">
                  <c:v>Erica Banks</c:v>
                </c:pt>
                <c:pt idx="64">
                  <c:v>Olivia Rodrigo</c:v>
                </c:pt>
                <c:pt idx="65">
                  <c:v>Pink Sweat$</c:v>
                </c:pt>
                <c:pt idx="66">
                  <c:v>PUBLIC</c:v>
                </c:pt>
                <c:pt idx="67">
                  <c:v>BTS</c:v>
                </c:pt>
                <c:pt idx="68">
                  <c:v>Boney M.</c:v>
                </c:pt>
                <c:pt idx="69">
                  <c:v>YES YES</c:v>
                </c:pt>
                <c:pt idx="70">
                  <c:v>Farruko</c:v>
                </c:pt>
                <c:pt idx="71">
                  <c:v>Blanco Brown</c:v>
                </c:pt>
                <c:pt idx="72">
                  <c:v>Ciara</c:v>
                </c:pt>
                <c:pt idx="73">
                  <c:v>KYLE</c:v>
                </c:pt>
                <c:pt idx="74">
                  <c:v>Ritt Momney</c:v>
                </c:pt>
                <c:pt idx="75">
                  <c:v>Roddy Ricch</c:v>
                </c:pt>
                <c:pt idx="76">
                  <c:v>Lizz Robinett</c:v>
                </c:pt>
                <c:pt idx="77">
                  <c:v>YFN Lucci</c:v>
                </c:pt>
                <c:pt idx="78">
                  <c:v>Meghan Trainor</c:v>
                </c:pt>
                <c:pt idx="79">
                  <c:v>Ed Sheeran</c:v>
                </c:pt>
                <c:pt idx="80">
                  <c:v>Rauw Alejandro</c:v>
                </c:pt>
                <c:pt idx="81">
                  <c:v>Jack Stauber</c:v>
                </c:pt>
                <c:pt idx="82">
                  <c:v>DJ Luke Nasty</c:v>
                </c:pt>
                <c:pt idx="83">
                  <c:v>Dirty Heads</c:v>
                </c:pt>
                <c:pt idx="84">
                  <c:v>Wiz Khalifa</c:v>
                </c:pt>
                <c:pt idx="85">
                  <c:v>Engelwood</c:v>
                </c:pt>
                <c:pt idx="86">
                  <c:v>Kate Bush</c:v>
                </c:pt>
                <c:pt idx="87">
                  <c:v>Kayla Nicole</c:v>
                </c:pt>
                <c:pt idx="88">
                  <c:v>The Kid LAROI</c:v>
                </c:pt>
                <c:pt idx="89">
                  <c:v>salem ilese</c:v>
                </c:pt>
                <c:pt idx="90">
                  <c:v>dhruv</c:v>
                </c:pt>
                <c:pt idx="91">
                  <c:v>FousheÃ©</c:v>
                </c:pt>
                <c:pt idx="92">
                  <c:v>iLOVEFRiDAY</c:v>
                </c:pt>
                <c:pt idx="93">
                  <c:v>Jon Eidson</c:v>
                </c:pt>
                <c:pt idx="94">
                  <c:v>Anitta</c:v>
                </c:pt>
                <c:pt idx="95">
                  <c:v>Lizzo</c:v>
                </c:pt>
                <c:pt idx="96">
                  <c:v>Joji</c:v>
                </c:pt>
                <c:pt idx="97">
                  <c:v>Harry Styles</c:v>
                </c:pt>
                <c:pt idx="98">
                  <c:v>GAYLE</c:v>
                </c:pt>
                <c:pt idx="99">
                  <c:v>Ne-Yo</c:v>
                </c:pt>
                <c:pt idx="100">
                  <c:v>Bobby Helms</c:v>
                </c:pt>
                <c:pt idx="101">
                  <c:v>KBFR</c:v>
                </c:pt>
                <c:pt idx="102">
                  <c:v>Cochise</c:v>
                </c:pt>
                <c:pt idx="103">
                  <c:v>SAINt JHN</c:v>
                </c:pt>
                <c:pt idx="104">
                  <c:v>Billie Eilish</c:v>
                </c:pt>
                <c:pt idx="105">
                  <c:v>Hip Hop Harry</c:v>
                </c:pt>
                <c:pt idx="106">
                  <c:v>Coi Leray</c:v>
                </c:pt>
                <c:pt idx="107">
                  <c:v>Glass Animals</c:v>
                </c:pt>
                <c:pt idx="108">
                  <c:v>Mahogany Lox</c:v>
                </c:pt>
                <c:pt idx="109">
                  <c:v>Claire Rosinkranz</c:v>
                </c:pt>
                <c:pt idx="110">
                  <c:v>Witt Lowry</c:v>
                </c:pt>
                <c:pt idx="111">
                  <c:v>Sam Smith</c:v>
                </c:pt>
                <c:pt idx="112">
                  <c:v>LIL MAYO</c:v>
                </c:pt>
                <c:pt idx="113">
                  <c:v>DaBaby</c:v>
                </c:pt>
                <c:pt idx="114">
                  <c:v>Internet Money</c:v>
                </c:pt>
                <c:pt idx="115">
                  <c:v>DripReport</c:v>
                </c:pt>
                <c:pt idx="116">
                  <c:v>Aya Nakamura</c:v>
                </c:pt>
                <c:pt idx="117">
                  <c:v>Britney Spears</c:v>
                </c:pt>
                <c:pt idx="118">
                  <c:v>Ashnikko</c:v>
                </c:pt>
                <c:pt idx="119">
                  <c:v>Young Thug</c:v>
                </c:pt>
                <c:pt idx="120">
                  <c:v>Labrinth</c:v>
                </c:pt>
                <c:pt idx="121">
                  <c:v>K'ron</c:v>
                </c:pt>
                <c:pt idx="122">
                  <c:v>Katy Perry</c:v>
                </c:pt>
                <c:pt idx="123">
                  <c:v>Taylor Swift</c:v>
                </c:pt>
                <c:pt idx="124">
                  <c:v>ZAAC</c:v>
                </c:pt>
                <c:pt idx="125">
                  <c:v>iLL Wayno</c:v>
                </c:pt>
                <c:pt idx="126">
                  <c:v>Kali Uchis</c:v>
                </c:pt>
                <c:pt idx="127">
                  <c:v>Ilkay Sencan</c:v>
                </c:pt>
                <c:pt idx="128">
                  <c:v>Ruth B.</c:v>
                </c:pt>
                <c:pt idx="129">
                  <c:v>Madonna</c:v>
                </c:pt>
                <c:pt idx="130">
                  <c:v>Christina Perri</c:v>
                </c:pt>
                <c:pt idx="131">
                  <c:v>347aidan</c:v>
                </c:pt>
                <c:pt idx="132">
                  <c:v>Ariana Grande</c:v>
                </c:pt>
                <c:pt idx="133">
                  <c:v>Lil Mosey</c:v>
                </c:pt>
                <c:pt idx="134">
                  <c:v>RealestK</c:v>
                </c:pt>
                <c:pt idx="135">
                  <c:v>Ray J</c:v>
                </c:pt>
                <c:pt idx="136">
                  <c:v>Camila Cabello</c:v>
                </c:pt>
                <c:pt idx="137">
                  <c:v>SIX</c:v>
                </c:pt>
                <c:pt idx="138">
                  <c:v>MASN</c:v>
                </c:pt>
                <c:pt idx="139">
                  <c:v>Kreepa</c:v>
                </c:pt>
                <c:pt idx="140">
                  <c:v>BROCKHAMPTON</c:v>
                </c:pt>
                <c:pt idx="141">
                  <c:v>The Neighbourhood</c:v>
                </c:pt>
                <c:pt idx="142">
                  <c:v>Kesh Kesh</c:v>
                </c:pt>
                <c:pt idx="143">
                  <c:v>Coldplay</c:v>
                </c:pt>
                <c:pt idx="144">
                  <c:v>Sean Paul</c:v>
                </c:pt>
                <c:pt idx="145">
                  <c:v>WhoHeem</c:v>
                </c:pt>
                <c:pt idx="146">
                  <c:v>Young Fanatic</c:v>
                </c:pt>
                <c:pt idx="147">
                  <c:v>Rasheeda</c:v>
                </c:pt>
                <c:pt idx="148">
                  <c:v>Sia</c:v>
                </c:pt>
                <c:pt idx="149">
                  <c:v>Cookiee Kawaii</c:v>
                </c:pt>
                <c:pt idx="150">
                  <c:v>Jack Harlow</c:v>
                </c:pt>
                <c:pt idx="151">
                  <c:v>UPSAHL</c:v>
                </c:pt>
                <c:pt idx="152">
                  <c:v>Tierra Whack</c:v>
                </c:pt>
                <c:pt idx="153">
                  <c:v>Ali Gatie</c:v>
                </c:pt>
                <c:pt idx="154">
                  <c:v>DJ Snake</c:v>
                </c:pt>
                <c:pt idx="155">
                  <c:v>Playsongs People</c:v>
                </c:pt>
                <c:pt idx="156">
                  <c:v>Jay Rock</c:v>
                </c:pt>
                <c:pt idx="157">
                  <c:v>Surfaces</c:v>
                </c:pt>
                <c:pt idx="158">
                  <c:v>NIKI</c:v>
                </c:pt>
                <c:pt idx="159">
                  <c:v>mxmtoon</c:v>
                </c:pt>
                <c:pt idx="160">
                  <c:v>Pitbull</c:v>
                </c:pt>
                <c:pt idx="161">
                  <c:v>Curtis Waters</c:v>
                </c:pt>
                <c:pt idx="162">
                  <c:v>Justin Bieber</c:v>
                </c:pt>
                <c:pt idx="163">
                  <c:v>blackbear</c:v>
                </c:pt>
                <c:pt idx="164">
                  <c:v>Ant Saunders</c:v>
                </c:pt>
                <c:pt idx="165">
                  <c:v>PhÃ¡o</c:v>
                </c:pt>
                <c:pt idx="166">
                  <c:v>Mozzy</c:v>
                </c:pt>
                <c:pt idx="167">
                  <c:v>Ultradiox</c:v>
                </c:pt>
                <c:pt idx="168">
                  <c:v>Lonr.</c:v>
                </c:pt>
                <c:pt idx="169">
                  <c:v>Lil Tjay</c:v>
                </c:pt>
                <c:pt idx="170">
                  <c:v>Absofacto</c:v>
                </c:pt>
                <c:pt idx="171">
                  <c:v>La Roux</c:v>
                </c:pt>
                <c:pt idx="172">
                  <c:v>CJ</c:v>
                </c:pt>
                <c:pt idx="173">
                  <c:v>Elley DuhÃ©</c:v>
                </c:pt>
                <c:pt idx="174">
                  <c:v>Bella Poarch</c:v>
                </c:pt>
                <c:pt idx="175">
                  <c:v>Frank Ocean</c:v>
                </c:pt>
                <c:pt idx="176">
                  <c:v>Steve Lacy</c:v>
                </c:pt>
                <c:pt idx="177">
                  <c:v>Camilo</c:v>
                </c:pt>
                <c:pt idx="178">
                  <c:v>Peach Tree Rascals</c:v>
                </c:pt>
                <c:pt idx="179">
                  <c:v>Raiden</c:v>
                </c:pt>
                <c:pt idx="180">
                  <c:v>Kaleb J</c:v>
                </c:pt>
                <c:pt idx="181">
                  <c:v>VANO 3000</c:v>
                </c:pt>
                <c:pt idx="182">
                  <c:v>Tom Odell</c:v>
                </c:pt>
                <c:pt idx="183">
                  <c:v>ENHYPEN</c:v>
                </c:pt>
                <c:pt idx="184">
                  <c:v>Tessa Violet</c:v>
                </c:pt>
                <c:pt idx="185">
                  <c:v>Bebe Rexha</c:v>
                </c:pt>
                <c:pt idx="186">
                  <c:v>Lenka</c:v>
                </c:pt>
                <c:pt idx="187">
                  <c:v>Audrey Mika</c:v>
                </c:pt>
                <c:pt idx="188">
                  <c:v>Stephen Sanchez</c:v>
                </c:pt>
                <c:pt idx="189">
                  <c:v>6ix9ine</c:v>
                </c:pt>
                <c:pt idx="190">
                  <c:v>BeatKing</c:v>
                </c:pt>
                <c:pt idx="191">
                  <c:v>Mike Posner</c:v>
                </c:pt>
                <c:pt idx="192">
                  <c:v>Yung Bae</c:v>
                </c:pt>
                <c:pt idx="193">
                  <c:v>BÃ˜RNS</c:v>
                </c:pt>
                <c:pt idx="194">
                  <c:v>Anthony Gonzalez</c:v>
                </c:pt>
                <c:pt idx="195">
                  <c:v>Tame Impala</c:v>
                </c:pt>
                <c:pt idx="196">
                  <c:v>Charlie Puth</c:v>
                </c:pt>
                <c:pt idx="197">
                  <c:v>Electric Light Orchestra</c:v>
                </c:pt>
                <c:pt idx="198">
                  <c:v>DeJ Loaf</c:v>
                </c:pt>
                <c:pt idx="199">
                  <c:v>Russ</c:v>
                </c:pt>
                <c:pt idx="200">
                  <c:v>Kid Francescoli</c:v>
                </c:pt>
                <c:pt idx="201">
                  <c:v>Conan Gray</c:v>
                </c:pt>
                <c:pt idx="202">
                  <c:v>BOL4</c:v>
                </c:pt>
                <c:pt idx="203">
                  <c:v>Championxiii</c:v>
                </c:pt>
                <c:pt idx="204">
                  <c:v>Yung Gravy</c:v>
                </c:pt>
                <c:pt idx="205">
                  <c:v>Panic! At The Disco</c:v>
                </c:pt>
                <c:pt idx="206">
                  <c:v>Chloe x Halle</c:v>
                </c:pt>
                <c:pt idx="207">
                  <c:v>Rico Nasty</c:v>
                </c:pt>
                <c:pt idx="208">
                  <c:v>Jasiah</c:v>
                </c:pt>
                <c:pt idx="209">
                  <c:v>Ricky Desktop</c:v>
                </c:pt>
                <c:pt idx="210">
                  <c:v>NextYoungin</c:v>
                </c:pt>
                <c:pt idx="211">
                  <c:v>Ant Beale</c:v>
                </c:pt>
                <c:pt idx="212">
                  <c:v>S1mba</c:v>
                </c:pt>
                <c:pt idx="213">
                  <c:v>BANNERS</c:v>
                </c:pt>
                <c:pt idx="214">
                  <c:v>Emmy Meli</c:v>
                </c:pt>
                <c:pt idx="215">
                  <c:v>Weezer</c:v>
                </c:pt>
                <c:pt idx="216">
                  <c:v>Lil Uzi Vert</c:v>
                </c:pt>
                <c:pt idx="217">
                  <c:v>TOKYOâ€™S REVENGE</c:v>
                </c:pt>
                <c:pt idx="218">
                  <c:v>Ashe</c:v>
                </c:pt>
                <c:pt idx="219">
                  <c:v>Bee Gees</c:v>
                </c:pt>
                <c:pt idx="220">
                  <c:v>Flo Milli</c:v>
                </c:pt>
                <c:pt idx="221">
                  <c:v>The Living Tombstone</c:v>
                </c:pt>
                <c:pt idx="222">
                  <c:v>EDEN</c:v>
                </c:pt>
                <c:pt idx="223">
                  <c:v>Lil Yachty</c:v>
                </c:pt>
                <c:pt idx="224">
                  <c:v>Kauai45</c:v>
                </c:pt>
                <c:pt idx="225">
                  <c:v>ZaeHD &amp; CEO</c:v>
                </c:pt>
                <c:pt idx="226">
                  <c:v>Chip Tha Ripper</c:v>
                </c:pt>
                <c:pt idx="227">
                  <c:v>Lil Tecca</c:v>
                </c:pt>
                <c:pt idx="228">
                  <c:v>Jufu</c:v>
                </c:pt>
                <c:pt idx="229">
                  <c:v>Limbo</c:v>
                </c:pt>
                <c:pt idx="230">
                  <c:v>BoyWithUke</c:v>
                </c:pt>
                <c:pt idx="231">
                  <c:v>Song a Day</c:v>
                </c:pt>
                <c:pt idx="232">
                  <c:v>Tesher</c:v>
                </c:pt>
                <c:pt idx="233">
                  <c:v>Ava Max</c:v>
                </c:pt>
                <c:pt idx="234">
                  <c:v>Jason Derulo</c:v>
                </c:pt>
                <c:pt idx="235">
                  <c:v>Brent Faiyaz</c:v>
                </c:pt>
                <c:pt idx="236">
                  <c:v>Vicetone</c:v>
                </c:pt>
                <c:pt idx="237">
                  <c:v>Likybo</c:v>
                </c:pt>
                <c:pt idx="238">
                  <c:v>Lyn Lapid</c:v>
                </c:pt>
                <c:pt idx="239">
                  <c:v>girl in red</c:v>
                </c:pt>
                <c:pt idx="240">
                  <c:v>Avenue Beat</c:v>
                </c:pt>
                <c:pt idx="241">
                  <c:v>Flo Rida</c:v>
                </c:pt>
                <c:pt idx="242">
                  <c:v>Marshmello</c:v>
                </c:pt>
                <c:pt idx="243">
                  <c:v>Else</c:v>
                </c:pt>
                <c:pt idx="244">
                  <c:v>Lonely God</c:v>
                </c:pt>
                <c:pt idx="245">
                  <c:v>Giveon</c:v>
                </c:pt>
                <c:pt idx="246">
                  <c:v>Sleepy Hallow</c:v>
                </c:pt>
                <c:pt idx="247">
                  <c:v>The Prince Karma</c:v>
                </c:pt>
                <c:pt idx="248">
                  <c:v>Young T &amp; Bugsey</c:v>
                </c:pt>
                <c:pt idx="249">
                  <c:v>Selena Gomez &amp; The Scene</c:v>
                </c:pt>
                <c:pt idx="250">
                  <c:v>Madcon</c:v>
                </c:pt>
                <c:pt idx="251">
                  <c:v>Blu DeTiger</c:v>
                </c:pt>
                <c:pt idx="252">
                  <c:v>tobi lou</c:v>
                </c:pt>
                <c:pt idx="253">
                  <c:v>Gym Class Heroes</c:v>
                </c:pt>
                <c:pt idx="254">
                  <c:v>AKMU</c:v>
                </c:pt>
                <c:pt idx="255">
                  <c:v>SyKo</c:v>
                </c:pt>
                <c:pt idx="256">
                  <c:v>Chris Brown</c:v>
                </c:pt>
                <c:pt idx="257">
                  <c:v>Verzache</c:v>
                </c:pt>
                <c:pt idx="258">
                  <c:v>SoulChef</c:v>
                </c:pt>
                <c:pt idx="259">
                  <c:v>Sara Bareilles</c:v>
                </c:pt>
                <c:pt idx="260">
                  <c:v>SHAED</c:v>
                </c:pt>
                <c:pt idx="261">
                  <c:v>The Gregory Brothers</c:v>
                </c:pt>
                <c:pt idx="262">
                  <c:v>Konfuz</c:v>
                </c:pt>
                <c:pt idx="263">
                  <c:v>M.I.A.</c:v>
                </c:pt>
                <c:pt idx="264">
                  <c:v>Toby Fox</c:v>
                </c:pt>
                <c:pt idx="265">
                  <c:v>vaultboy</c:v>
                </c:pt>
                <c:pt idx="266">
                  <c:v>Gaten Matarazzo</c:v>
                </c:pt>
                <c:pt idx="267">
                  <c:v>The Ronettes</c:v>
                </c:pt>
                <c:pt idx="268">
                  <c:v>LF SYSTEM</c:v>
                </c:pt>
                <c:pt idx="269">
                  <c:v>Lily Allen</c:v>
                </c:pt>
                <c:pt idx="270">
                  <c:v>Moreart</c:v>
                </c:pt>
                <c:pt idx="271">
                  <c:v>Videoclub</c:v>
                </c:pt>
                <c:pt idx="272">
                  <c:v>BigKlit</c:v>
                </c:pt>
                <c:pt idx="273">
                  <c:v>Riton</c:v>
                </c:pt>
                <c:pt idx="274">
                  <c:v>Mild High Club</c:v>
                </c:pt>
                <c:pt idx="275">
                  <c:v>Surf Curse</c:v>
                </c:pt>
                <c:pt idx="276">
                  <c:v>DJ Chose</c:v>
                </c:pt>
                <c:pt idx="277">
                  <c:v>Jacob</c:v>
                </c:pt>
                <c:pt idx="278">
                  <c:v>Halsey</c:v>
                </c:pt>
                <c:pt idx="279">
                  <c:v>Supa Dupa Humble</c:v>
                </c:pt>
                <c:pt idx="280">
                  <c:v>Thundercat</c:v>
                </c:pt>
                <c:pt idx="281">
                  <c:v>Kenny Packer</c:v>
                </c:pt>
                <c:pt idx="282">
                  <c:v>Paramore</c:v>
                </c:pt>
                <c:pt idx="283">
                  <c:v>Devour</c:v>
                </c:pt>
                <c:pt idx="284">
                  <c:v>BeyoncÃ©</c:v>
                </c:pt>
                <c:pt idx="285">
                  <c:v>Shakira</c:v>
                </c:pt>
                <c:pt idx="286">
                  <c:v>Quang HÃ¹ng MasterD</c:v>
                </c:pt>
                <c:pt idx="287">
                  <c:v>Dopebwoy</c:v>
                </c:pt>
                <c:pt idx="288">
                  <c:v>Capital Cities</c:v>
                </c:pt>
                <c:pt idx="289">
                  <c:v>Young Spool</c:v>
                </c:pt>
                <c:pt idx="290">
                  <c:v>Crystal Castles</c:v>
                </c:pt>
                <c:pt idx="291">
                  <c:v>Daya</c:v>
                </c:pt>
                <c:pt idx="292">
                  <c:v>hooligan chase</c:v>
                </c:pt>
                <c:pt idx="293">
                  <c:v>Nelly Furtado</c:v>
                </c:pt>
                <c:pt idx="294">
                  <c:v>Beach Bunny</c:v>
                </c:pt>
                <c:pt idx="295">
                  <c:v>ABBA</c:v>
                </c:pt>
                <c:pt idx="296">
                  <c:v>Kanye West</c:v>
                </c:pt>
                <c:pt idx="297">
                  <c:v>Savage Ga$p</c:v>
                </c:pt>
                <c:pt idx="298">
                  <c:v>Luude</c:v>
                </c:pt>
                <c:pt idx="299">
                  <c:v>Chester Young</c:v>
                </c:pt>
                <c:pt idx="300">
                  <c:v>GRiZ</c:v>
                </c:pt>
                <c:pt idx="301">
                  <c:v>Boxout</c:v>
                </c:pt>
                <c:pt idx="302">
                  <c:v>Never Shout Never</c:v>
                </c:pt>
                <c:pt idx="303">
                  <c:v>Tiny Meat Gang</c:v>
                </c:pt>
                <c:pt idx="304">
                  <c:v>MKTO</c:v>
                </c:pt>
                <c:pt idx="305">
                  <c:v>Wallows</c:v>
                </c:pt>
                <c:pt idx="306">
                  <c:v>Metro Station</c:v>
                </c:pt>
                <c:pt idx="307">
                  <c:v>Terror Jr</c:v>
                </c:pt>
                <c:pt idx="308">
                  <c:v>NEIKED</c:v>
                </c:pt>
                <c:pt idx="309">
                  <c:v>JP Saxe</c:v>
                </c:pt>
                <c:pt idx="310">
                  <c:v>City Girls</c:v>
                </c:pt>
                <c:pt idx="311">
                  <c:v>sped up nightcore</c:v>
                </c:pt>
                <c:pt idx="312">
                  <c:v>Leyla Blue</c:v>
                </c:pt>
                <c:pt idx="313">
                  <c:v>Superorganism</c:v>
                </c:pt>
                <c:pt idx="314">
                  <c:v>Desiigner</c:v>
                </c:pt>
                <c:pt idx="315">
                  <c:v>P!nk</c:v>
                </c:pt>
                <c:pt idx="316">
                  <c:v>Superfruit</c:v>
                </c:pt>
                <c:pt idx="317">
                  <c:v>Madison Beer</c:v>
                </c:pt>
                <c:pt idx="318">
                  <c:v>Xilo</c:v>
                </c:pt>
                <c:pt idx="319">
                  <c:v>Imagine Dragons</c:v>
                </c:pt>
                <c:pt idx="320">
                  <c:v>Kero Kero Bonito</c:v>
                </c:pt>
                <c:pt idx="321">
                  <c:v>Polo G</c:v>
                </c:pt>
                <c:pt idx="322">
                  <c:v>Roar</c:v>
                </c:pt>
                <c:pt idx="323">
                  <c:v>Fort Minor</c:v>
                </c:pt>
                <c:pt idx="324">
                  <c:v>Cults</c:v>
                </c:pt>
                <c:pt idx="325">
                  <c:v>Current Joys</c:v>
                </c:pt>
                <c:pt idx="326">
                  <c:v>Nightcore High</c:v>
                </c:pt>
                <c:pt idx="327">
                  <c:v>Falling In Reverse</c:v>
                </c:pt>
                <c:pt idx="328">
                  <c:v>Khalid</c:v>
                </c:pt>
                <c:pt idx="329">
                  <c:v>Natasha Bedingfield</c:v>
                </c:pt>
                <c:pt idx="330">
                  <c:v>Gotye</c:v>
                </c:pt>
                <c:pt idx="331">
                  <c:v>Nelly</c:v>
                </c:pt>
                <c:pt idx="332">
                  <c:v>Mary J. Blige</c:v>
                </c:pt>
                <c:pt idx="333">
                  <c:v>Rontae Don't Play</c:v>
                </c:pt>
                <c:pt idx="334">
                  <c:v>QuvenzhanÃ© Wallis</c:v>
                </c:pt>
                <c:pt idx="335">
                  <c:v>Maroon 5</c:v>
                </c:pt>
                <c:pt idx="336">
                  <c:v>SAYGRACE</c:v>
                </c:pt>
                <c:pt idx="337">
                  <c:v>Future</c:v>
                </c:pt>
                <c:pt idx="338">
                  <c:v>Ashley O</c:v>
                </c:pt>
                <c:pt idx="339">
                  <c:v>Miley Cyrus</c:v>
                </c:pt>
                <c:pt idx="340">
                  <c:v>Ski Mask The Slump God</c:v>
                </c:pt>
                <c:pt idx="341">
                  <c:v>bbno$</c:v>
                </c:pt>
                <c:pt idx="342">
                  <c:v>Pia Mia</c:v>
                </c:pt>
                <c:pt idx="343">
                  <c:v>88rising</c:v>
                </c:pt>
                <c:pt idx="344">
                  <c:v>MGMT</c:v>
                </c:pt>
                <c:pt idx="345">
                  <c:v>Sofia Mills</c:v>
                </c:pt>
                <c:pt idx="346">
                  <c:v>Ark Patrol</c:v>
                </c:pt>
                <c:pt idx="347">
                  <c:v>Rex Orange County</c:v>
                </c:pt>
                <c:pt idx="348">
                  <c:v>Sean Kingston</c:v>
                </c:pt>
                <c:pt idx="349">
                  <c:v>Bastille</c:v>
                </c:pt>
                <c:pt idx="350">
                  <c:v>Bea Miller</c:v>
                </c:pt>
                <c:pt idx="351">
                  <c:v>will.i.am</c:v>
                </c:pt>
                <c:pt idx="352">
                  <c:v>Calvin Harris</c:v>
                </c:pt>
                <c:pt idx="353">
                  <c:v>LANDR</c:v>
                </c:pt>
                <c:pt idx="354">
                  <c:v>Ross Lynch</c:v>
                </c:pt>
                <c:pt idx="355">
                  <c:v>swimcoach</c:v>
                </c:pt>
                <c:pt idx="356">
                  <c:v>Tyga</c:v>
                </c:pt>
                <c:pt idx="357">
                  <c:v>Reyanna Maria</c:v>
                </c:pt>
                <c:pt idx="358">
                  <c:v>YNW Melly</c:v>
                </c:pt>
                <c:pt idx="359">
                  <c:v>Lady Gaga</c:v>
                </c:pt>
                <c:pt idx="360">
                  <c:v>MÃ˜RFI</c:v>
                </c:pt>
                <c:pt idx="361">
                  <c:v>Marcus &amp; Martinus</c:v>
                </c:pt>
                <c:pt idx="362">
                  <c:v>Gloria Gaynor</c:v>
                </c:pt>
                <c:pt idx="363">
                  <c:v>Comethazine</c:v>
                </c:pt>
                <c:pt idx="364">
                  <c:v>Dschinghis Khan</c:v>
                </c:pt>
                <c:pt idx="365">
                  <c:v>why mona</c:v>
                </c:pt>
                <c:pt idx="366">
                  <c:v>Jennifer Lopez</c:v>
                </c:pt>
                <c:pt idx="367">
                  <c:v>Kendrick Lamar</c:v>
                </c:pt>
                <c:pt idx="368">
                  <c:v>Brye</c:v>
                </c:pt>
                <c:pt idx="369">
                  <c:v>Insane Clown Posse</c:v>
                </c:pt>
                <c:pt idx="370">
                  <c:v>Christopher Fitzgerald</c:v>
                </c:pt>
                <c:pt idx="371">
                  <c:v>DJ TikTok</c:v>
                </c:pt>
                <c:pt idx="372">
                  <c:v>The Champs</c:v>
                </c:pt>
                <c:pt idx="373">
                  <c:v>Daryl Hall &amp; John Oates</c:v>
                </c:pt>
                <c:pt idx="374">
                  <c:v>Yo Gotti</c:v>
                </c:pt>
                <c:pt idx="375">
                  <c:v>Luke Chiang</c:v>
                </c:pt>
                <c:pt idx="376">
                  <c:v>Mak Sauce</c:v>
                </c:pt>
                <c:pt idx="377">
                  <c:v>CL</c:v>
                </c:pt>
                <c:pt idx="378">
                  <c:v>Swell</c:v>
                </c:pt>
                <c:pt idx="379">
                  <c:v>Far East Movement</c:v>
                </c:pt>
                <c:pt idx="380">
                  <c:v>Weeekly</c:v>
                </c:pt>
                <c:pt idx="381">
                  <c:v>Craig David</c:v>
                </c:pt>
                <c:pt idx="382">
                  <c:v>Paul Anka</c:v>
                </c:pt>
                <c:pt idx="383">
                  <c:v>MARINA</c:v>
                </c:pt>
                <c:pt idx="384">
                  <c:v>Jamie Miller</c:v>
                </c:pt>
                <c:pt idx="385">
                  <c:v>Bag Raiders</c:v>
                </c:pt>
                <c:pt idx="386">
                  <c:v>AminÃ©</c:v>
                </c:pt>
                <c:pt idx="387">
                  <c:v>Bandingo YGNE</c:v>
                </c:pt>
                <c:pt idx="388">
                  <c:v>Lucian Piane</c:v>
                </c:pt>
                <c:pt idx="389">
                  <c:v>Olivia O'Brien</c:v>
                </c:pt>
                <c:pt idx="390">
                  <c:v>Lil Wayne</c:v>
                </c:pt>
                <c:pt idx="391">
                  <c:v>å°ä¸‰é‡‘</c:v>
                </c:pt>
                <c:pt idx="392">
                  <c:v>Disco Lines</c:v>
                </c:pt>
                <c:pt idx="393">
                  <c:v>Soulja Boy</c:v>
                </c:pt>
                <c:pt idx="394">
                  <c:v>The Boyboy West Coast</c:v>
                </c:pt>
                <c:pt idx="395">
                  <c:v>Ambjaay</c:v>
                </c:pt>
                <c:pt idx="396">
                  <c:v>Bonde R300</c:v>
                </c:pt>
                <c:pt idx="397">
                  <c:v>The Lumineers</c:v>
                </c:pt>
                <c:pt idx="398">
                  <c:v>Memetown</c:v>
                </c:pt>
                <c:pt idx="399">
                  <c:v>Demi Lovato</c:v>
                </c:pt>
                <c:pt idx="400">
                  <c:v>Post Malone</c:v>
                </c:pt>
                <c:pt idx="401">
                  <c:v>THE ANXIETY</c:v>
                </c:pt>
                <c:pt idx="402">
                  <c:v>Billy Marchiafava</c:v>
                </c:pt>
                <c:pt idx="403">
                  <c:v>DLAY</c:v>
                </c:pt>
                <c:pt idx="404">
                  <c:v>Usher</c:v>
                </c:pt>
                <c:pt idx="405">
                  <c:v>Neil Diamond</c:v>
                </c:pt>
                <c:pt idx="406">
                  <c:v>Remi Wolf</c:v>
                </c:pt>
                <c:pt idx="407">
                  <c:v>JTL</c:v>
                </c:pt>
                <c:pt idx="408">
                  <c:v>Getter Jaani</c:v>
                </c:pt>
                <c:pt idx="409">
                  <c:v>HL Wave</c:v>
                </c:pt>
                <c:pt idx="410">
                  <c:v>Madism</c:v>
                </c:pt>
                <c:pt idx="411">
                  <c:v>Buss Crew</c:v>
                </c:pt>
                <c:pt idx="412">
                  <c:v>Charly Black</c:v>
                </c:pt>
                <c:pt idx="413">
                  <c:v>Louie Zong</c:v>
                </c:pt>
                <c:pt idx="414">
                  <c:v>Sevyn Streeter</c:v>
                </c:pt>
                <c:pt idx="415">
                  <c:v>The Chordettes</c:v>
                </c:pt>
                <c:pt idx="416">
                  <c:v>Awkward Marina</c:v>
                </c:pt>
                <c:pt idx="417">
                  <c:v>Skee-Lo</c:v>
                </c:pt>
                <c:pt idx="418">
                  <c:v>Peter Kuli</c:v>
                </c:pt>
                <c:pt idx="419">
                  <c:v>Rihanna</c:v>
                </c:pt>
                <c:pt idx="420">
                  <c:v>Suki Waterhouse</c:v>
                </c:pt>
                <c:pt idx="421">
                  <c:v>Michael Franti &amp; Spearhead</c:v>
                </c:pt>
                <c:pt idx="422">
                  <c:v>Jax Jones</c:v>
                </c:pt>
                <c:pt idx="423">
                  <c:v>Coopex</c:v>
                </c:pt>
                <c:pt idx="424">
                  <c:v>Stunna Girl</c:v>
                </c:pt>
                <c:pt idx="425">
                  <c:v>Tiny Tim</c:v>
                </c:pt>
                <c:pt idx="426">
                  <c:v>Chrishan</c:v>
                </c:pt>
                <c:pt idx="427">
                  <c:v>Akon</c:v>
                </c:pt>
                <c:pt idx="428">
                  <c:v>Black Eyed Peas</c:v>
                </c:pt>
                <c:pt idx="429">
                  <c:v>Rich The Kid</c:v>
                </c:pt>
                <c:pt idx="430">
                  <c:v>Kuwada</c:v>
                </c:pt>
                <c:pt idx="431">
                  <c:v>Peachy!</c:v>
                </c:pt>
                <c:pt idx="432">
                  <c:v>Nicki Minaj</c:v>
                </c:pt>
                <c:pt idx="433">
                  <c:v>J. Cole</c:v>
                </c:pt>
                <c:pt idx="434">
                  <c:v>Neon Trees</c:v>
                </c:pt>
                <c:pt idx="435">
                  <c:v>Clean Bandit</c:v>
                </c:pt>
                <c:pt idx="436">
                  <c:v>Lil Keed</c:v>
                </c:pt>
                <c:pt idx="437">
                  <c:v>RÃ³isÃ­n Murphy</c:v>
                </c:pt>
                <c:pt idx="438">
                  <c:v>Scissor Sisters</c:v>
                </c:pt>
                <c:pt idx="439">
                  <c:v>Patience &amp; Prudence</c:v>
                </c:pt>
                <c:pt idx="440">
                  <c:v>Netta</c:v>
                </c:pt>
                <c:pt idx="441">
                  <c:v>The Script</c:v>
                </c:pt>
                <c:pt idx="442">
                  <c:v>XY&amp;O</c:v>
                </c:pt>
                <c:pt idx="443">
                  <c:v>Kardinal Offishall</c:v>
                </c:pt>
                <c:pt idx="444">
                  <c:v>La La Land Cast</c:v>
                </c:pt>
                <c:pt idx="445">
                  <c:v>Bridgit Mendler</c:v>
                </c:pt>
                <c:pt idx="446">
                  <c:v>Shouse</c:v>
                </c:pt>
                <c:pt idx="447">
                  <c:v>VGR</c:v>
                </c:pt>
                <c:pt idx="448">
                  <c:v>Breakbot</c:v>
                </c:pt>
                <c:pt idx="449">
                  <c:v>Lorde</c:v>
                </c:pt>
                <c:pt idx="450">
                  <c:v>Surf Mesa</c:v>
                </c:pt>
                <c:pt idx="451">
                  <c:v>lovelytheband</c:v>
                </c:pt>
                <c:pt idx="452">
                  <c:v>Kuraiinu</c:v>
                </c:pt>
                <c:pt idx="453">
                  <c:v>Aaron Smith</c:v>
                </c:pt>
                <c:pt idx="454">
                  <c:v>Eric D</c:v>
                </c:pt>
                <c:pt idx="455">
                  <c:v>Freddie Dredd</c:v>
                </c:pt>
                <c:pt idx="456">
                  <c:v>Scarlett Rose</c:v>
                </c:pt>
                <c:pt idx="457">
                  <c:v>Pamungkas</c:v>
                </c:pt>
                <c:pt idx="458">
                  <c:v>Taylor Watson</c:v>
                </c:pt>
                <c:pt idx="459">
                  <c:v>Tove Lo</c:v>
                </c:pt>
                <c:pt idx="460">
                  <c:v>Jay Park</c:v>
                </c:pt>
                <c:pt idx="461">
                  <c:v>MadeinTYO</c:v>
                </c:pt>
                <c:pt idx="462">
                  <c:v>Eduardo LuzquiÃ±os</c:v>
                </c:pt>
                <c:pt idx="463">
                  <c:v>Shokk</c:v>
                </c:pt>
                <c:pt idx="464">
                  <c:v>U/NITISH</c:v>
                </c:pt>
                <c:pt idx="465">
                  <c:v>Kid Cudi</c:v>
                </c:pt>
                <c:pt idx="466">
                  <c:v>Jena Rose</c:v>
                </c:pt>
                <c:pt idx="467">
                  <c:v>Valee</c:v>
                </c:pt>
                <c:pt idx="468">
                  <c:v>Alex Alexander</c:v>
                </c:pt>
                <c:pt idx="469">
                  <c:v>Rod Wave</c:v>
                </c:pt>
                <c:pt idx="470">
                  <c:v>Bill Wurtz</c:v>
                </c:pt>
                <c:pt idx="471">
                  <c:v>Astrid S</c:v>
                </c:pt>
                <c:pt idx="472">
                  <c:v>Eazy-E</c:v>
                </c:pt>
                <c:pt idx="473">
                  <c:v>Cast - Sofia the First</c:v>
                </c:pt>
                <c:pt idx="474">
                  <c:v>Paradigm</c:v>
                </c:pt>
                <c:pt idx="475">
                  <c:v>50 Cent</c:v>
                </c:pt>
                <c:pt idx="476">
                  <c:v>El Memer</c:v>
                </c:pt>
                <c:pt idx="477">
                  <c:v>dodie</c:v>
                </c:pt>
                <c:pt idx="478">
                  <c:v>Clairo</c:v>
                </c:pt>
                <c:pt idx="479">
                  <c:v>The Beach Boys</c:v>
                </c:pt>
                <c:pt idx="480">
                  <c:v>Selena Gomez</c:v>
                </c:pt>
                <c:pt idx="481">
                  <c:v>Naeleck</c:v>
                </c:pt>
                <c:pt idx="482">
                  <c:v>The Vamps</c:v>
                </c:pt>
                <c:pt idx="483">
                  <c:v>The Frights</c:v>
                </c:pt>
                <c:pt idx="484">
                  <c:v>Iggy Azalea</c:v>
                </c:pt>
                <c:pt idx="485">
                  <c:v>Yusuf Alev</c:v>
                </c:pt>
                <c:pt idx="486">
                  <c:v>Quality Control</c:v>
                </c:pt>
                <c:pt idx="487">
                  <c:v>Harrison Craig</c:v>
                </c:pt>
                <c:pt idx="488">
                  <c:v>Ana Shine</c:v>
                </c:pt>
                <c:pt idx="489">
                  <c:v>VINAI</c:v>
                </c:pt>
                <c:pt idx="490">
                  <c:v>Charli XCX</c:v>
                </c:pt>
                <c:pt idx="491">
                  <c:v>ç‰©èªžã‚·ãƒªãƒ¼ã‚º</c:v>
                </c:pt>
                <c:pt idx="492">
                  <c:v>Patrick Page</c:v>
                </c:pt>
                <c:pt idx="493">
                  <c:v>Faruk Orman</c:v>
                </c:pt>
                <c:pt idx="494">
                  <c:v>DJ Carisma</c:v>
                </c:pt>
                <c:pt idx="495">
                  <c:v>CPX</c:v>
                </c:pt>
                <c:pt idx="496">
                  <c:v>Arman Aydin</c:v>
                </c:pt>
                <c:pt idx="497">
                  <c:v>P.S.</c:v>
                </c:pt>
                <c:pt idx="498">
                  <c:v>Farux</c:v>
                </c:pt>
                <c:pt idx="499">
                  <c:v>Shab</c:v>
                </c:pt>
                <c:pt idx="500">
                  <c:v>Gianni Blu</c:v>
                </c:pt>
                <c:pt idx="501">
                  <c:v>Killua the Pilgrim</c:v>
                </c:pt>
                <c:pt idx="502">
                  <c:v>Senhit</c:v>
                </c:pt>
                <c:pt idx="503">
                  <c:v>Alfons</c:v>
                </c:pt>
                <c:pt idx="504">
                  <c:v>Kids Superstars</c:v>
                </c:pt>
                <c:pt idx="505">
                  <c:v>Girll Codee</c:v>
                </c:pt>
                <c:pt idx="506">
                  <c:v>They Might Be Giants (For Kids)</c:v>
                </c:pt>
                <c:pt idx="507">
                  <c:v>Frank Sinatra</c:v>
                </c:pt>
                <c:pt idx="508">
                  <c:v>Jodi Benson</c:v>
                </c:pt>
                <c:pt idx="509">
                  <c:v>Maluma</c:v>
                </c:pt>
                <c:pt idx="510">
                  <c:v>Estelle</c:v>
                </c:pt>
                <c:pt idx="511">
                  <c:v>Naughty Boy</c:v>
                </c:pt>
                <c:pt idx="512">
                  <c:v>KillBunk</c:v>
                </c:pt>
                <c:pt idx="513">
                  <c:v>Nito-Onna</c:v>
                </c:pt>
                <c:pt idx="514">
                  <c:v>BIGBANG</c:v>
                </c:pt>
                <c:pt idx="515">
                  <c:v>Sista Prod</c:v>
                </c:pt>
                <c:pt idx="516">
                  <c:v>Dame Dame</c:v>
                </c:pt>
                <c:pt idx="517">
                  <c:v>Alex D'Rosso</c:v>
                </c:pt>
                <c:pt idx="518">
                  <c:v>Elton John</c:v>
                </c:pt>
                <c:pt idx="519">
                  <c:v>Monaldin</c:v>
                </c:pt>
                <c:pt idx="520">
                  <c:v>Astelle</c:v>
                </c:pt>
                <c:pt idx="521">
                  <c:v>HotBlock Jmoe</c:v>
                </c:pt>
                <c:pt idx="522">
                  <c:v>sad girls</c:v>
                </c:pt>
                <c:pt idx="523">
                  <c:v>Sezairi</c:v>
                </c:pt>
                <c:pt idx="524">
                  <c:v>PadÃ©</c:v>
                </c:pt>
                <c:pt idx="525">
                  <c:v>Braaheim</c:v>
                </c:pt>
                <c:pt idx="526">
                  <c:v>Lucas Estrada</c:v>
                </c:pt>
                <c:pt idx="527">
                  <c:v>Kinrose</c:v>
                </c:pt>
                <c:pt idx="528">
                  <c:v>Rainych</c:v>
                </c:pt>
                <c:pt idx="529">
                  <c:v>Thatsimo</c:v>
                </c:pt>
                <c:pt idx="530">
                  <c:v>Years &amp; Years</c:v>
                </c:pt>
                <c:pt idx="531">
                  <c:v>JAM &amp; Philly</c:v>
                </c:pt>
                <c:pt idx="532">
                  <c:v>Jt5k</c:v>
                </c:pt>
                <c:pt idx="533">
                  <c:v>Olly Murs</c:v>
                </c:pt>
                <c:pt idx="534">
                  <c:v>Why Not</c:v>
                </c:pt>
                <c:pt idx="535">
                  <c:v>Nathan Evans</c:v>
                </c:pt>
                <c:pt idx="536">
                  <c:v>Randy Newman</c:v>
                </c:pt>
                <c:pt idx="537">
                  <c:v>Eminem</c:v>
                </c:pt>
                <c:pt idx="538">
                  <c:v>Baby Bluu</c:v>
                </c:pt>
                <c:pt idx="539">
                  <c:v>Glamii</c:v>
                </c:pt>
                <c:pt idx="540">
                  <c:v>Asketa &amp; Natan Chaim</c:v>
                </c:pt>
                <c:pt idx="541">
                  <c:v>Nadia Gattas</c:v>
                </c:pt>
                <c:pt idx="542">
                  <c:v>Rosa Linn</c:v>
                </c:pt>
                <c:pt idx="543">
                  <c:v>Litfranse</c:v>
                </c:pt>
                <c:pt idx="544">
                  <c:v>Miel Pops</c:v>
                </c:pt>
                <c:pt idx="545">
                  <c:v>Michael Shynes</c:v>
                </c:pt>
                <c:pt idx="546">
                  <c:v>Playboi Carti</c:v>
                </c:pt>
                <c:pt idx="547">
                  <c:v>loafers</c:v>
                </c:pt>
                <c:pt idx="548">
                  <c:v>Myrrhe</c:v>
                </c:pt>
                <c:pt idx="549">
                  <c:v>Pia Baris</c:v>
                </c:pt>
                <c:pt idx="550">
                  <c:v>ilyTOMMY</c:v>
                </c:pt>
                <c:pt idx="551">
                  <c:v>Haiti Babii</c:v>
                </c:pt>
                <c:pt idx="552">
                  <c:v>DJ Scheme</c:v>
                </c:pt>
                <c:pt idx="553">
                  <c:v>cry</c:v>
                </c:pt>
                <c:pt idx="554">
                  <c:v>M83</c:v>
                </c:pt>
                <c:pt idx="555">
                  <c:v>Milky Chance</c:v>
                </c:pt>
                <c:pt idx="556">
                  <c:v>Xtinctor</c:v>
                </c:pt>
                <c:pt idx="557">
                  <c:v>Social House</c:v>
                </c:pt>
                <c:pt idx="558">
                  <c:v>THE SCOTTS</c:v>
                </c:pt>
                <c:pt idx="559">
                  <c:v>New Hope Club</c:v>
                </c:pt>
                <c:pt idx="560">
                  <c:v>Nfasis</c:v>
                </c:pt>
                <c:pt idx="561">
                  <c:v>MISERO</c:v>
                </c:pt>
                <c:pt idx="562">
                  <c:v>The Young Professionals</c:v>
                </c:pt>
                <c:pt idx="563">
                  <c:v>The Pussycat Dolls</c:v>
                </c:pt>
                <c:pt idx="564">
                  <c:v>Yeah Yeah Yeahs</c:v>
                </c:pt>
                <c:pt idx="565">
                  <c:v>Quavo</c:v>
                </c:pt>
                <c:pt idx="566">
                  <c:v>Matvey Emerson</c:v>
                </c:pt>
                <c:pt idx="567">
                  <c:v>Saint Bone</c:v>
                </c:pt>
                <c:pt idx="568">
                  <c:v>Nippandab</c:v>
                </c:pt>
                <c:pt idx="569">
                  <c:v>Rae Sremmurd</c:v>
                </c:pt>
                <c:pt idx="570">
                  <c:v>Nander</c:v>
                </c:pt>
                <c:pt idx="571">
                  <c:v>Lil Xxel</c:v>
                </c:pt>
                <c:pt idx="572">
                  <c:v>YoungBoy Never Broke Again</c:v>
                </c:pt>
                <c:pt idx="573">
                  <c:v>Ryan.B</c:v>
                </c:pt>
                <c:pt idx="574">
                  <c:v>Martin van Lectro</c:v>
                </c:pt>
                <c:pt idx="575">
                  <c:v>Timemachine</c:v>
                </c:pt>
                <c:pt idx="576">
                  <c:v>The Marvelettes</c:v>
                </c:pt>
                <c:pt idx="577">
                  <c:v>Lin-Manuel Miranda</c:v>
                </c:pt>
                <c:pt idx="578">
                  <c:v>WILLOW</c:v>
                </c:pt>
                <c:pt idx="579">
                  <c:v>The Wombats</c:v>
                </c:pt>
                <c:pt idx="580">
                  <c:v>Sporty-O</c:v>
                </c:pt>
                <c:pt idx="581">
                  <c:v>Viva La Panda</c:v>
                </c:pt>
                <c:pt idx="582">
                  <c:v>Gxrrixon</c:v>
                </c:pt>
                <c:pt idx="583">
                  <c:v>Cavetown</c:v>
                </c:pt>
                <c:pt idx="584">
                  <c:v>Kehlani</c:v>
                </c:pt>
                <c:pt idx="585">
                  <c:v>John De Sohn</c:v>
                </c:pt>
                <c:pt idx="586">
                  <c:v>KyleYouMadeThat</c:v>
                </c:pt>
                <c:pt idx="587">
                  <c:v>Alexandra Stan</c:v>
                </c:pt>
                <c:pt idx="588">
                  <c:v>Ava Louise</c:v>
                </c:pt>
                <c:pt idx="589">
                  <c:v>Boostereo</c:v>
                </c:pt>
                <c:pt idx="590">
                  <c:v>Andrew Nagy</c:v>
                </c:pt>
                <c:pt idx="591">
                  <c:v>King Critical</c:v>
                </c:pt>
                <c:pt idx="592">
                  <c:v>Amero</c:v>
                </c:pt>
                <c:pt idx="593">
                  <c:v>E-40</c:v>
                </c:pt>
                <c:pt idx="594">
                  <c:v>Edward Maya</c:v>
                </c:pt>
                <c:pt idx="595">
                  <c:v>HOURS</c:v>
                </c:pt>
                <c:pt idx="596">
                  <c:v>JRL</c:v>
                </c:pt>
                <c:pt idx="597">
                  <c:v>Iceboy Ben</c:v>
                </c:pt>
                <c:pt idx="598">
                  <c:v>Khlaw</c:v>
                </c:pt>
                <c:pt idx="599">
                  <c:v>Celina Sharma</c:v>
                </c:pt>
                <c:pt idx="600">
                  <c:v>LeXxÃ¬v</c:v>
                </c:pt>
                <c:pt idx="601">
                  <c:v>Enur</c:v>
                </c:pt>
                <c:pt idx="602">
                  <c:v>Harddope</c:v>
                </c:pt>
                <c:pt idx="603">
                  <c:v>David Guetta</c:v>
                </c:pt>
                <c:pt idx="604">
                  <c:v>Iyaz</c:v>
                </c:pt>
                <c:pt idx="605">
                  <c:v>Cosmo Sheldrake</c:v>
                </c:pt>
                <c:pt idx="606">
                  <c:v>Cabuizee</c:v>
                </c:pt>
                <c:pt idx="607">
                  <c:v>CAZZETTE</c:v>
                </c:pt>
              </c:strCache>
            </c:strRef>
          </c:cat>
          <c:val>
            <c:numRef>
              <c:f>Graphs!$Q$21:$Q$629</c:f>
              <c:numCache>
                <c:formatCode>General</c:formatCode>
                <c:ptCount val="608"/>
                <c:pt idx="0">
                  <c:v>46900000</c:v>
                </c:pt>
                <c:pt idx="1">
                  <c:v>38033561</c:v>
                </c:pt>
                <c:pt idx="2">
                  <c:v>37306600</c:v>
                </c:pt>
                <c:pt idx="3">
                  <c:v>29354103</c:v>
                </c:pt>
                <c:pt idx="4">
                  <c:v>16800000</c:v>
                </c:pt>
                <c:pt idx="5">
                  <c:v>16600000</c:v>
                </c:pt>
                <c:pt idx="6">
                  <c:v>16400554</c:v>
                </c:pt>
                <c:pt idx="7">
                  <c:v>13400000</c:v>
                </c:pt>
                <c:pt idx="8">
                  <c:v>13300000</c:v>
                </c:pt>
                <c:pt idx="9">
                  <c:v>12407202</c:v>
                </c:pt>
                <c:pt idx="10">
                  <c:v>12400000</c:v>
                </c:pt>
                <c:pt idx="11">
                  <c:v>12200000</c:v>
                </c:pt>
                <c:pt idx="12">
                  <c:v>11830200</c:v>
                </c:pt>
                <c:pt idx="13">
                  <c:v>11800000</c:v>
                </c:pt>
                <c:pt idx="14">
                  <c:v>11300000</c:v>
                </c:pt>
                <c:pt idx="15">
                  <c:v>11000000</c:v>
                </c:pt>
                <c:pt idx="16">
                  <c:v>10629100</c:v>
                </c:pt>
                <c:pt idx="17">
                  <c:v>10600000</c:v>
                </c:pt>
                <c:pt idx="18">
                  <c:v>10600000</c:v>
                </c:pt>
                <c:pt idx="19">
                  <c:v>9500000</c:v>
                </c:pt>
                <c:pt idx="20">
                  <c:v>9372200</c:v>
                </c:pt>
                <c:pt idx="21">
                  <c:v>9309700</c:v>
                </c:pt>
                <c:pt idx="22">
                  <c:v>8800000</c:v>
                </c:pt>
                <c:pt idx="23">
                  <c:v>8527200</c:v>
                </c:pt>
                <c:pt idx="24">
                  <c:v>8500000</c:v>
                </c:pt>
                <c:pt idx="25">
                  <c:v>8200000</c:v>
                </c:pt>
                <c:pt idx="26">
                  <c:v>8200000</c:v>
                </c:pt>
                <c:pt idx="27">
                  <c:v>7278604</c:v>
                </c:pt>
                <c:pt idx="28">
                  <c:v>6800151</c:v>
                </c:pt>
                <c:pt idx="29">
                  <c:v>6700000</c:v>
                </c:pt>
                <c:pt idx="30">
                  <c:v>6462000</c:v>
                </c:pt>
                <c:pt idx="31">
                  <c:v>6100000</c:v>
                </c:pt>
                <c:pt idx="32">
                  <c:v>6072700</c:v>
                </c:pt>
                <c:pt idx="33">
                  <c:v>5965400</c:v>
                </c:pt>
                <c:pt idx="34">
                  <c:v>5856888</c:v>
                </c:pt>
                <c:pt idx="35">
                  <c:v>5500000</c:v>
                </c:pt>
                <c:pt idx="36">
                  <c:v>5130800</c:v>
                </c:pt>
                <c:pt idx="37">
                  <c:v>5126600</c:v>
                </c:pt>
                <c:pt idx="38">
                  <c:v>5100000</c:v>
                </c:pt>
                <c:pt idx="39">
                  <c:v>4900000</c:v>
                </c:pt>
                <c:pt idx="40">
                  <c:v>4800000</c:v>
                </c:pt>
                <c:pt idx="41">
                  <c:v>4700000</c:v>
                </c:pt>
                <c:pt idx="42">
                  <c:v>4663821</c:v>
                </c:pt>
                <c:pt idx="43">
                  <c:v>4500000</c:v>
                </c:pt>
                <c:pt idx="44">
                  <c:v>4400000</c:v>
                </c:pt>
                <c:pt idx="45">
                  <c:v>4178000</c:v>
                </c:pt>
                <c:pt idx="46">
                  <c:v>4060500</c:v>
                </c:pt>
                <c:pt idx="47">
                  <c:v>4000000</c:v>
                </c:pt>
                <c:pt idx="48">
                  <c:v>3931000</c:v>
                </c:pt>
                <c:pt idx="49">
                  <c:v>3900000</c:v>
                </c:pt>
                <c:pt idx="50">
                  <c:v>3884991</c:v>
                </c:pt>
                <c:pt idx="51">
                  <c:v>3600000</c:v>
                </c:pt>
                <c:pt idx="52">
                  <c:v>3600000</c:v>
                </c:pt>
                <c:pt idx="53">
                  <c:v>3600000</c:v>
                </c:pt>
                <c:pt idx="54">
                  <c:v>3600000</c:v>
                </c:pt>
                <c:pt idx="55">
                  <c:v>3500000</c:v>
                </c:pt>
                <c:pt idx="56">
                  <c:v>3500000</c:v>
                </c:pt>
                <c:pt idx="57">
                  <c:v>3500000</c:v>
                </c:pt>
                <c:pt idx="58">
                  <c:v>3471400</c:v>
                </c:pt>
                <c:pt idx="59">
                  <c:v>3400000</c:v>
                </c:pt>
                <c:pt idx="60">
                  <c:v>3400000</c:v>
                </c:pt>
                <c:pt idx="61">
                  <c:v>3300000</c:v>
                </c:pt>
                <c:pt idx="62">
                  <c:v>3300000</c:v>
                </c:pt>
                <c:pt idx="63">
                  <c:v>3300000</c:v>
                </c:pt>
                <c:pt idx="64">
                  <c:v>3247400</c:v>
                </c:pt>
                <c:pt idx="65">
                  <c:v>3200000</c:v>
                </c:pt>
                <c:pt idx="66">
                  <c:v>3200000</c:v>
                </c:pt>
                <c:pt idx="67">
                  <c:v>3200000</c:v>
                </c:pt>
                <c:pt idx="68">
                  <c:v>3000000</c:v>
                </c:pt>
                <c:pt idx="69">
                  <c:v>2960106</c:v>
                </c:pt>
                <c:pt idx="70">
                  <c:v>2900000</c:v>
                </c:pt>
                <c:pt idx="71">
                  <c:v>2900000</c:v>
                </c:pt>
                <c:pt idx="72">
                  <c:v>2823900</c:v>
                </c:pt>
                <c:pt idx="73">
                  <c:v>2803359</c:v>
                </c:pt>
                <c:pt idx="74">
                  <c:v>2800000</c:v>
                </c:pt>
                <c:pt idx="75">
                  <c:v>2702900</c:v>
                </c:pt>
                <c:pt idx="76">
                  <c:v>2700000</c:v>
                </c:pt>
                <c:pt idx="77">
                  <c:v>2700000</c:v>
                </c:pt>
                <c:pt idx="78">
                  <c:v>2647700</c:v>
                </c:pt>
                <c:pt idx="79">
                  <c:v>2631300</c:v>
                </c:pt>
                <c:pt idx="80">
                  <c:v>2600000</c:v>
                </c:pt>
                <c:pt idx="81">
                  <c:v>2600000</c:v>
                </c:pt>
                <c:pt idx="82">
                  <c:v>2600000</c:v>
                </c:pt>
                <c:pt idx="83">
                  <c:v>2500000</c:v>
                </c:pt>
                <c:pt idx="84">
                  <c:v>2400000</c:v>
                </c:pt>
                <c:pt idx="85">
                  <c:v>2400000</c:v>
                </c:pt>
                <c:pt idx="86">
                  <c:v>2400000</c:v>
                </c:pt>
                <c:pt idx="87">
                  <c:v>2400000</c:v>
                </c:pt>
                <c:pt idx="88">
                  <c:v>2354598</c:v>
                </c:pt>
                <c:pt idx="89">
                  <c:v>2300000</c:v>
                </c:pt>
                <c:pt idx="90">
                  <c:v>2300000</c:v>
                </c:pt>
                <c:pt idx="91">
                  <c:v>2300000</c:v>
                </c:pt>
                <c:pt idx="92">
                  <c:v>2242100</c:v>
                </c:pt>
                <c:pt idx="93">
                  <c:v>2200000</c:v>
                </c:pt>
                <c:pt idx="94">
                  <c:v>2200000</c:v>
                </c:pt>
                <c:pt idx="95">
                  <c:v>2111200</c:v>
                </c:pt>
                <c:pt idx="96">
                  <c:v>2076400</c:v>
                </c:pt>
                <c:pt idx="97">
                  <c:v>2061618</c:v>
                </c:pt>
                <c:pt idx="98">
                  <c:v>2014100</c:v>
                </c:pt>
                <c:pt idx="99">
                  <c:v>2000000</c:v>
                </c:pt>
                <c:pt idx="100">
                  <c:v>2000000</c:v>
                </c:pt>
                <c:pt idx="101">
                  <c:v>2000000</c:v>
                </c:pt>
                <c:pt idx="102">
                  <c:v>1983800</c:v>
                </c:pt>
                <c:pt idx="103">
                  <c:v>1900000</c:v>
                </c:pt>
                <c:pt idx="104">
                  <c:v>1900000</c:v>
                </c:pt>
                <c:pt idx="105">
                  <c:v>1900000</c:v>
                </c:pt>
                <c:pt idx="106">
                  <c:v>1800000</c:v>
                </c:pt>
                <c:pt idx="107">
                  <c:v>1717400</c:v>
                </c:pt>
                <c:pt idx="108">
                  <c:v>1706100</c:v>
                </c:pt>
                <c:pt idx="109">
                  <c:v>1704218</c:v>
                </c:pt>
                <c:pt idx="110">
                  <c:v>1700000</c:v>
                </c:pt>
                <c:pt idx="111">
                  <c:v>1700000</c:v>
                </c:pt>
                <c:pt idx="112">
                  <c:v>1700000</c:v>
                </c:pt>
                <c:pt idx="113">
                  <c:v>1672300</c:v>
                </c:pt>
                <c:pt idx="114">
                  <c:v>1651200</c:v>
                </c:pt>
                <c:pt idx="115">
                  <c:v>1600000</c:v>
                </c:pt>
                <c:pt idx="116">
                  <c:v>1600000</c:v>
                </c:pt>
                <c:pt idx="117">
                  <c:v>1590900</c:v>
                </c:pt>
                <c:pt idx="118">
                  <c:v>1518300</c:v>
                </c:pt>
                <c:pt idx="119">
                  <c:v>1500000</c:v>
                </c:pt>
                <c:pt idx="120">
                  <c:v>1500000</c:v>
                </c:pt>
                <c:pt idx="121">
                  <c:v>1500000</c:v>
                </c:pt>
                <c:pt idx="122">
                  <c:v>1459900</c:v>
                </c:pt>
                <c:pt idx="123">
                  <c:v>1416259</c:v>
                </c:pt>
                <c:pt idx="124">
                  <c:v>1400000</c:v>
                </c:pt>
                <c:pt idx="125">
                  <c:v>1400000</c:v>
                </c:pt>
                <c:pt idx="126">
                  <c:v>1400000</c:v>
                </c:pt>
                <c:pt idx="127">
                  <c:v>1400000</c:v>
                </c:pt>
                <c:pt idx="128">
                  <c:v>1361200</c:v>
                </c:pt>
                <c:pt idx="129">
                  <c:v>1311200</c:v>
                </c:pt>
                <c:pt idx="130">
                  <c:v>1300000</c:v>
                </c:pt>
                <c:pt idx="131">
                  <c:v>1300000</c:v>
                </c:pt>
                <c:pt idx="132">
                  <c:v>1258642</c:v>
                </c:pt>
                <c:pt idx="133">
                  <c:v>1200000</c:v>
                </c:pt>
                <c:pt idx="134">
                  <c:v>1200000</c:v>
                </c:pt>
                <c:pt idx="135">
                  <c:v>1200000</c:v>
                </c:pt>
                <c:pt idx="136">
                  <c:v>1197700</c:v>
                </c:pt>
                <c:pt idx="137">
                  <c:v>1187333</c:v>
                </c:pt>
                <c:pt idx="138">
                  <c:v>1172800</c:v>
                </c:pt>
                <c:pt idx="139">
                  <c:v>1100000</c:v>
                </c:pt>
                <c:pt idx="140">
                  <c:v>1100000</c:v>
                </c:pt>
                <c:pt idx="141">
                  <c:v>1046100</c:v>
                </c:pt>
                <c:pt idx="142">
                  <c:v>1027200</c:v>
                </c:pt>
                <c:pt idx="143">
                  <c:v>1026700</c:v>
                </c:pt>
                <c:pt idx="144">
                  <c:v>1001152</c:v>
                </c:pt>
                <c:pt idx="145">
                  <c:v>1000000</c:v>
                </c:pt>
                <c:pt idx="146">
                  <c:v>1000000</c:v>
                </c:pt>
                <c:pt idx="147">
                  <c:v>1000000</c:v>
                </c:pt>
                <c:pt idx="148">
                  <c:v>1000000</c:v>
                </c:pt>
                <c:pt idx="149">
                  <c:v>1000000</c:v>
                </c:pt>
                <c:pt idx="150">
                  <c:v>963400</c:v>
                </c:pt>
                <c:pt idx="151">
                  <c:v>944800</c:v>
                </c:pt>
                <c:pt idx="152">
                  <c:v>941200</c:v>
                </c:pt>
                <c:pt idx="153">
                  <c:v>930600</c:v>
                </c:pt>
                <c:pt idx="154">
                  <c:v>922000</c:v>
                </c:pt>
                <c:pt idx="155">
                  <c:v>916900</c:v>
                </c:pt>
                <c:pt idx="156">
                  <c:v>914700</c:v>
                </c:pt>
                <c:pt idx="157">
                  <c:v>891900</c:v>
                </c:pt>
                <c:pt idx="158">
                  <c:v>875771</c:v>
                </c:pt>
                <c:pt idx="159">
                  <c:v>864200</c:v>
                </c:pt>
                <c:pt idx="160">
                  <c:v>855500</c:v>
                </c:pt>
                <c:pt idx="161">
                  <c:v>841900</c:v>
                </c:pt>
                <c:pt idx="162">
                  <c:v>826853</c:v>
                </c:pt>
                <c:pt idx="163">
                  <c:v>817862</c:v>
                </c:pt>
                <c:pt idx="164">
                  <c:v>788893</c:v>
                </c:pt>
                <c:pt idx="165">
                  <c:v>777300</c:v>
                </c:pt>
                <c:pt idx="166">
                  <c:v>766300</c:v>
                </c:pt>
                <c:pt idx="167">
                  <c:v>747400</c:v>
                </c:pt>
                <c:pt idx="168">
                  <c:v>746700</c:v>
                </c:pt>
                <c:pt idx="169">
                  <c:v>730731</c:v>
                </c:pt>
                <c:pt idx="170">
                  <c:v>728100</c:v>
                </c:pt>
                <c:pt idx="171">
                  <c:v>728100</c:v>
                </c:pt>
                <c:pt idx="172">
                  <c:v>725400</c:v>
                </c:pt>
                <c:pt idx="173">
                  <c:v>722400</c:v>
                </c:pt>
                <c:pt idx="174">
                  <c:v>704600</c:v>
                </c:pt>
                <c:pt idx="175">
                  <c:v>702245</c:v>
                </c:pt>
                <c:pt idx="176">
                  <c:v>682400</c:v>
                </c:pt>
                <c:pt idx="177">
                  <c:v>658300</c:v>
                </c:pt>
                <c:pt idx="178">
                  <c:v>653100</c:v>
                </c:pt>
                <c:pt idx="179">
                  <c:v>650300</c:v>
                </c:pt>
                <c:pt idx="180">
                  <c:v>645600</c:v>
                </c:pt>
                <c:pt idx="181">
                  <c:v>644600</c:v>
                </c:pt>
                <c:pt idx="182">
                  <c:v>638000</c:v>
                </c:pt>
                <c:pt idx="183">
                  <c:v>624600</c:v>
                </c:pt>
                <c:pt idx="184">
                  <c:v>620700</c:v>
                </c:pt>
                <c:pt idx="185">
                  <c:v>616200</c:v>
                </c:pt>
                <c:pt idx="186">
                  <c:v>615600</c:v>
                </c:pt>
                <c:pt idx="187">
                  <c:v>611500</c:v>
                </c:pt>
                <c:pt idx="188">
                  <c:v>607800</c:v>
                </c:pt>
                <c:pt idx="189">
                  <c:v>601830</c:v>
                </c:pt>
                <c:pt idx="190">
                  <c:v>598400</c:v>
                </c:pt>
                <c:pt idx="191">
                  <c:v>584200</c:v>
                </c:pt>
                <c:pt idx="192">
                  <c:v>561700</c:v>
                </c:pt>
                <c:pt idx="193">
                  <c:v>555600</c:v>
                </c:pt>
                <c:pt idx="194">
                  <c:v>553400</c:v>
                </c:pt>
                <c:pt idx="195">
                  <c:v>541800</c:v>
                </c:pt>
                <c:pt idx="196">
                  <c:v>537500</c:v>
                </c:pt>
                <c:pt idx="197">
                  <c:v>531900</c:v>
                </c:pt>
                <c:pt idx="198">
                  <c:v>531800</c:v>
                </c:pt>
                <c:pt idx="199">
                  <c:v>525600</c:v>
                </c:pt>
                <c:pt idx="200">
                  <c:v>521400</c:v>
                </c:pt>
                <c:pt idx="201">
                  <c:v>521000</c:v>
                </c:pt>
                <c:pt idx="202">
                  <c:v>518000</c:v>
                </c:pt>
                <c:pt idx="203">
                  <c:v>509800</c:v>
                </c:pt>
                <c:pt idx="204">
                  <c:v>509500</c:v>
                </c:pt>
                <c:pt idx="205">
                  <c:v>502900</c:v>
                </c:pt>
                <c:pt idx="206">
                  <c:v>500800</c:v>
                </c:pt>
                <c:pt idx="207">
                  <c:v>499700</c:v>
                </c:pt>
                <c:pt idx="208">
                  <c:v>495300</c:v>
                </c:pt>
                <c:pt idx="209">
                  <c:v>488000</c:v>
                </c:pt>
                <c:pt idx="210">
                  <c:v>484000</c:v>
                </c:pt>
                <c:pt idx="211">
                  <c:v>483700</c:v>
                </c:pt>
                <c:pt idx="212">
                  <c:v>482900</c:v>
                </c:pt>
                <c:pt idx="213">
                  <c:v>472400</c:v>
                </c:pt>
                <c:pt idx="214">
                  <c:v>472100</c:v>
                </c:pt>
                <c:pt idx="215">
                  <c:v>449100</c:v>
                </c:pt>
                <c:pt idx="216">
                  <c:v>441400</c:v>
                </c:pt>
                <c:pt idx="217">
                  <c:v>440800</c:v>
                </c:pt>
                <c:pt idx="218">
                  <c:v>426100</c:v>
                </c:pt>
                <c:pt idx="219">
                  <c:v>423200</c:v>
                </c:pt>
                <c:pt idx="220">
                  <c:v>418900</c:v>
                </c:pt>
                <c:pt idx="221">
                  <c:v>415600</c:v>
                </c:pt>
                <c:pt idx="222">
                  <c:v>411300</c:v>
                </c:pt>
                <c:pt idx="223">
                  <c:v>404000</c:v>
                </c:pt>
                <c:pt idx="224">
                  <c:v>403900</c:v>
                </c:pt>
                <c:pt idx="225">
                  <c:v>391800</c:v>
                </c:pt>
                <c:pt idx="226">
                  <c:v>389200</c:v>
                </c:pt>
                <c:pt idx="227">
                  <c:v>385600</c:v>
                </c:pt>
                <c:pt idx="228">
                  <c:v>382100</c:v>
                </c:pt>
                <c:pt idx="229">
                  <c:v>379457</c:v>
                </c:pt>
                <c:pt idx="230">
                  <c:v>378900</c:v>
                </c:pt>
                <c:pt idx="231">
                  <c:v>373500</c:v>
                </c:pt>
                <c:pt idx="232">
                  <c:v>365000</c:v>
                </c:pt>
                <c:pt idx="233">
                  <c:v>358924</c:v>
                </c:pt>
                <c:pt idx="234">
                  <c:v>356900</c:v>
                </c:pt>
                <c:pt idx="235">
                  <c:v>347000</c:v>
                </c:pt>
                <c:pt idx="236">
                  <c:v>335000</c:v>
                </c:pt>
                <c:pt idx="237">
                  <c:v>334600</c:v>
                </c:pt>
                <c:pt idx="238">
                  <c:v>334553</c:v>
                </c:pt>
                <c:pt idx="239">
                  <c:v>321800</c:v>
                </c:pt>
                <c:pt idx="240">
                  <c:v>319700</c:v>
                </c:pt>
                <c:pt idx="241">
                  <c:v>319200</c:v>
                </c:pt>
                <c:pt idx="242">
                  <c:v>312400</c:v>
                </c:pt>
                <c:pt idx="243">
                  <c:v>312400</c:v>
                </c:pt>
                <c:pt idx="244">
                  <c:v>307000</c:v>
                </c:pt>
                <c:pt idx="245">
                  <c:v>305900</c:v>
                </c:pt>
                <c:pt idx="246">
                  <c:v>297300</c:v>
                </c:pt>
                <c:pt idx="247">
                  <c:v>293000</c:v>
                </c:pt>
                <c:pt idx="248">
                  <c:v>289000</c:v>
                </c:pt>
                <c:pt idx="249">
                  <c:v>285700</c:v>
                </c:pt>
                <c:pt idx="250">
                  <c:v>281000</c:v>
                </c:pt>
                <c:pt idx="251">
                  <c:v>276000</c:v>
                </c:pt>
                <c:pt idx="252">
                  <c:v>269000</c:v>
                </c:pt>
                <c:pt idx="253">
                  <c:v>266381</c:v>
                </c:pt>
                <c:pt idx="254">
                  <c:v>266100</c:v>
                </c:pt>
                <c:pt idx="255">
                  <c:v>265400</c:v>
                </c:pt>
                <c:pt idx="256">
                  <c:v>265300</c:v>
                </c:pt>
                <c:pt idx="257">
                  <c:v>260200</c:v>
                </c:pt>
                <c:pt idx="258">
                  <c:v>256600</c:v>
                </c:pt>
                <c:pt idx="259">
                  <c:v>252000</c:v>
                </c:pt>
                <c:pt idx="260">
                  <c:v>247000</c:v>
                </c:pt>
                <c:pt idx="261">
                  <c:v>246000</c:v>
                </c:pt>
                <c:pt idx="262">
                  <c:v>243300</c:v>
                </c:pt>
                <c:pt idx="263">
                  <c:v>240900</c:v>
                </c:pt>
                <c:pt idx="264">
                  <c:v>234200</c:v>
                </c:pt>
                <c:pt idx="265">
                  <c:v>231600</c:v>
                </c:pt>
                <c:pt idx="266">
                  <c:v>231200</c:v>
                </c:pt>
                <c:pt idx="267">
                  <c:v>225900</c:v>
                </c:pt>
                <c:pt idx="268">
                  <c:v>223900</c:v>
                </c:pt>
                <c:pt idx="269">
                  <c:v>223400</c:v>
                </c:pt>
                <c:pt idx="270">
                  <c:v>221300</c:v>
                </c:pt>
                <c:pt idx="271">
                  <c:v>219100</c:v>
                </c:pt>
                <c:pt idx="272">
                  <c:v>217400</c:v>
                </c:pt>
                <c:pt idx="273">
                  <c:v>212066</c:v>
                </c:pt>
                <c:pt idx="274">
                  <c:v>207100</c:v>
                </c:pt>
                <c:pt idx="275">
                  <c:v>202500</c:v>
                </c:pt>
                <c:pt idx="276">
                  <c:v>201600</c:v>
                </c:pt>
                <c:pt idx="277">
                  <c:v>195600</c:v>
                </c:pt>
                <c:pt idx="278">
                  <c:v>194300</c:v>
                </c:pt>
                <c:pt idx="279">
                  <c:v>192900</c:v>
                </c:pt>
                <c:pt idx="280">
                  <c:v>190100</c:v>
                </c:pt>
                <c:pt idx="281">
                  <c:v>185700</c:v>
                </c:pt>
                <c:pt idx="282">
                  <c:v>182000</c:v>
                </c:pt>
                <c:pt idx="283">
                  <c:v>177900</c:v>
                </c:pt>
                <c:pt idx="284">
                  <c:v>177900</c:v>
                </c:pt>
                <c:pt idx="285">
                  <c:v>173600</c:v>
                </c:pt>
                <c:pt idx="286">
                  <c:v>169000</c:v>
                </c:pt>
                <c:pt idx="287">
                  <c:v>168700</c:v>
                </c:pt>
                <c:pt idx="288">
                  <c:v>166100</c:v>
                </c:pt>
                <c:pt idx="289">
                  <c:v>163800</c:v>
                </c:pt>
                <c:pt idx="290">
                  <c:v>163500</c:v>
                </c:pt>
                <c:pt idx="291">
                  <c:v>163300</c:v>
                </c:pt>
                <c:pt idx="292">
                  <c:v>163200</c:v>
                </c:pt>
                <c:pt idx="293">
                  <c:v>154700</c:v>
                </c:pt>
                <c:pt idx="294">
                  <c:v>154600</c:v>
                </c:pt>
                <c:pt idx="295">
                  <c:v>150600</c:v>
                </c:pt>
                <c:pt idx="296">
                  <c:v>150379</c:v>
                </c:pt>
                <c:pt idx="297">
                  <c:v>149800</c:v>
                </c:pt>
                <c:pt idx="298">
                  <c:v>148200</c:v>
                </c:pt>
                <c:pt idx="299">
                  <c:v>143400</c:v>
                </c:pt>
                <c:pt idx="300">
                  <c:v>143300</c:v>
                </c:pt>
                <c:pt idx="301">
                  <c:v>143200</c:v>
                </c:pt>
                <c:pt idx="302">
                  <c:v>143000</c:v>
                </c:pt>
                <c:pt idx="303">
                  <c:v>139600</c:v>
                </c:pt>
                <c:pt idx="304">
                  <c:v>138100</c:v>
                </c:pt>
                <c:pt idx="305">
                  <c:v>137700</c:v>
                </c:pt>
                <c:pt idx="306">
                  <c:v>137400</c:v>
                </c:pt>
                <c:pt idx="307">
                  <c:v>134800</c:v>
                </c:pt>
                <c:pt idx="308">
                  <c:v>134200</c:v>
                </c:pt>
                <c:pt idx="309">
                  <c:v>130200</c:v>
                </c:pt>
                <c:pt idx="310">
                  <c:v>129200</c:v>
                </c:pt>
                <c:pt idx="311">
                  <c:v>125800</c:v>
                </c:pt>
                <c:pt idx="312">
                  <c:v>125400</c:v>
                </c:pt>
                <c:pt idx="313">
                  <c:v>121300</c:v>
                </c:pt>
                <c:pt idx="314">
                  <c:v>120400</c:v>
                </c:pt>
                <c:pt idx="315">
                  <c:v>117800</c:v>
                </c:pt>
                <c:pt idx="316">
                  <c:v>111400</c:v>
                </c:pt>
                <c:pt idx="317">
                  <c:v>111000</c:v>
                </c:pt>
                <c:pt idx="318">
                  <c:v>110900</c:v>
                </c:pt>
                <c:pt idx="319">
                  <c:v>110500</c:v>
                </c:pt>
                <c:pt idx="320">
                  <c:v>108122</c:v>
                </c:pt>
                <c:pt idx="321">
                  <c:v>106677</c:v>
                </c:pt>
                <c:pt idx="322">
                  <c:v>105800</c:v>
                </c:pt>
                <c:pt idx="323">
                  <c:v>105300</c:v>
                </c:pt>
                <c:pt idx="324">
                  <c:v>104400</c:v>
                </c:pt>
                <c:pt idx="325">
                  <c:v>103400</c:v>
                </c:pt>
                <c:pt idx="326">
                  <c:v>103000</c:v>
                </c:pt>
                <c:pt idx="327">
                  <c:v>101400</c:v>
                </c:pt>
                <c:pt idx="328">
                  <c:v>99400</c:v>
                </c:pt>
                <c:pt idx="329">
                  <c:v>97800</c:v>
                </c:pt>
                <c:pt idx="330">
                  <c:v>97100</c:v>
                </c:pt>
                <c:pt idx="331">
                  <c:v>88300</c:v>
                </c:pt>
                <c:pt idx="332">
                  <c:v>83700</c:v>
                </c:pt>
                <c:pt idx="333">
                  <c:v>83400</c:v>
                </c:pt>
                <c:pt idx="334">
                  <c:v>83200</c:v>
                </c:pt>
                <c:pt idx="335">
                  <c:v>81637</c:v>
                </c:pt>
                <c:pt idx="336">
                  <c:v>79000</c:v>
                </c:pt>
                <c:pt idx="337">
                  <c:v>78300</c:v>
                </c:pt>
                <c:pt idx="338">
                  <c:v>70300</c:v>
                </c:pt>
                <c:pt idx="339">
                  <c:v>66700</c:v>
                </c:pt>
                <c:pt idx="340">
                  <c:v>62900</c:v>
                </c:pt>
                <c:pt idx="341">
                  <c:v>62200</c:v>
                </c:pt>
                <c:pt idx="342">
                  <c:v>61000</c:v>
                </c:pt>
                <c:pt idx="343">
                  <c:v>59100</c:v>
                </c:pt>
                <c:pt idx="344">
                  <c:v>58800</c:v>
                </c:pt>
                <c:pt idx="345">
                  <c:v>57200</c:v>
                </c:pt>
                <c:pt idx="346">
                  <c:v>52600</c:v>
                </c:pt>
                <c:pt idx="347">
                  <c:v>50781</c:v>
                </c:pt>
                <c:pt idx="348">
                  <c:v>50100</c:v>
                </c:pt>
                <c:pt idx="349">
                  <c:v>47400</c:v>
                </c:pt>
                <c:pt idx="350">
                  <c:v>47000</c:v>
                </c:pt>
                <c:pt idx="351">
                  <c:v>46220</c:v>
                </c:pt>
                <c:pt idx="352">
                  <c:v>45700</c:v>
                </c:pt>
                <c:pt idx="353">
                  <c:v>42503</c:v>
                </c:pt>
                <c:pt idx="354">
                  <c:v>42200</c:v>
                </c:pt>
                <c:pt idx="355">
                  <c:v>42100</c:v>
                </c:pt>
                <c:pt idx="356">
                  <c:v>40100</c:v>
                </c:pt>
                <c:pt idx="357">
                  <c:v>36600</c:v>
                </c:pt>
                <c:pt idx="358">
                  <c:v>36000</c:v>
                </c:pt>
                <c:pt idx="359">
                  <c:v>35007</c:v>
                </c:pt>
                <c:pt idx="360">
                  <c:v>31600</c:v>
                </c:pt>
                <c:pt idx="361">
                  <c:v>31400</c:v>
                </c:pt>
                <c:pt idx="362">
                  <c:v>29600</c:v>
                </c:pt>
                <c:pt idx="363">
                  <c:v>29500</c:v>
                </c:pt>
                <c:pt idx="364">
                  <c:v>26900</c:v>
                </c:pt>
                <c:pt idx="365">
                  <c:v>26300</c:v>
                </c:pt>
                <c:pt idx="366">
                  <c:v>26300</c:v>
                </c:pt>
                <c:pt idx="367">
                  <c:v>26200</c:v>
                </c:pt>
                <c:pt idx="368">
                  <c:v>26000</c:v>
                </c:pt>
                <c:pt idx="369">
                  <c:v>25100</c:v>
                </c:pt>
                <c:pt idx="370">
                  <c:v>24000</c:v>
                </c:pt>
                <c:pt idx="371">
                  <c:v>19700</c:v>
                </c:pt>
                <c:pt idx="372">
                  <c:v>18600</c:v>
                </c:pt>
                <c:pt idx="373">
                  <c:v>18100</c:v>
                </c:pt>
                <c:pt idx="374">
                  <c:v>17500</c:v>
                </c:pt>
                <c:pt idx="375">
                  <c:v>17400</c:v>
                </c:pt>
                <c:pt idx="376">
                  <c:v>16800</c:v>
                </c:pt>
                <c:pt idx="377">
                  <c:v>16500</c:v>
                </c:pt>
                <c:pt idx="378">
                  <c:v>16300</c:v>
                </c:pt>
                <c:pt idx="379">
                  <c:v>16300</c:v>
                </c:pt>
                <c:pt idx="380">
                  <c:v>15400</c:v>
                </c:pt>
                <c:pt idx="381">
                  <c:v>15400</c:v>
                </c:pt>
                <c:pt idx="382">
                  <c:v>15000</c:v>
                </c:pt>
                <c:pt idx="383">
                  <c:v>14800</c:v>
                </c:pt>
                <c:pt idx="384">
                  <c:v>14500</c:v>
                </c:pt>
                <c:pt idx="385">
                  <c:v>13995</c:v>
                </c:pt>
                <c:pt idx="386">
                  <c:v>13800</c:v>
                </c:pt>
                <c:pt idx="387">
                  <c:v>13400</c:v>
                </c:pt>
                <c:pt idx="388">
                  <c:v>12700</c:v>
                </c:pt>
                <c:pt idx="389">
                  <c:v>12100</c:v>
                </c:pt>
                <c:pt idx="390">
                  <c:v>11500</c:v>
                </c:pt>
                <c:pt idx="391">
                  <c:v>11500</c:v>
                </c:pt>
                <c:pt idx="392">
                  <c:v>11300</c:v>
                </c:pt>
                <c:pt idx="393">
                  <c:v>11100</c:v>
                </c:pt>
                <c:pt idx="394">
                  <c:v>10800</c:v>
                </c:pt>
                <c:pt idx="395">
                  <c:v>10600</c:v>
                </c:pt>
                <c:pt idx="396">
                  <c:v>10500</c:v>
                </c:pt>
                <c:pt idx="397">
                  <c:v>10261</c:v>
                </c:pt>
                <c:pt idx="398">
                  <c:v>9924</c:v>
                </c:pt>
                <c:pt idx="399">
                  <c:v>9568</c:v>
                </c:pt>
                <c:pt idx="400">
                  <c:v>9257</c:v>
                </c:pt>
                <c:pt idx="401">
                  <c:v>9230</c:v>
                </c:pt>
                <c:pt idx="402">
                  <c:v>9213</c:v>
                </c:pt>
                <c:pt idx="403">
                  <c:v>8935</c:v>
                </c:pt>
                <c:pt idx="404">
                  <c:v>8529</c:v>
                </c:pt>
                <c:pt idx="405">
                  <c:v>8452</c:v>
                </c:pt>
                <c:pt idx="406">
                  <c:v>8366</c:v>
                </c:pt>
                <c:pt idx="407">
                  <c:v>7930</c:v>
                </c:pt>
                <c:pt idx="408">
                  <c:v>7746</c:v>
                </c:pt>
                <c:pt idx="409">
                  <c:v>7664</c:v>
                </c:pt>
                <c:pt idx="410">
                  <c:v>7529</c:v>
                </c:pt>
                <c:pt idx="411">
                  <c:v>7199</c:v>
                </c:pt>
                <c:pt idx="412">
                  <c:v>7012</c:v>
                </c:pt>
                <c:pt idx="413">
                  <c:v>6802</c:v>
                </c:pt>
                <c:pt idx="414">
                  <c:v>6796</c:v>
                </c:pt>
                <c:pt idx="415">
                  <c:v>6792</c:v>
                </c:pt>
                <c:pt idx="416">
                  <c:v>6724</c:v>
                </c:pt>
                <c:pt idx="417">
                  <c:v>6434</c:v>
                </c:pt>
                <c:pt idx="418">
                  <c:v>6295</c:v>
                </c:pt>
                <c:pt idx="419">
                  <c:v>6139</c:v>
                </c:pt>
                <c:pt idx="420">
                  <c:v>6068</c:v>
                </c:pt>
                <c:pt idx="421">
                  <c:v>5121</c:v>
                </c:pt>
                <c:pt idx="422">
                  <c:v>4764</c:v>
                </c:pt>
                <c:pt idx="423">
                  <c:v>4707</c:v>
                </c:pt>
                <c:pt idx="424">
                  <c:v>4682</c:v>
                </c:pt>
                <c:pt idx="425">
                  <c:v>4653</c:v>
                </c:pt>
                <c:pt idx="426">
                  <c:v>4284</c:v>
                </c:pt>
                <c:pt idx="427">
                  <c:v>4064</c:v>
                </c:pt>
                <c:pt idx="428">
                  <c:v>3744</c:v>
                </c:pt>
                <c:pt idx="429">
                  <c:v>3635</c:v>
                </c:pt>
                <c:pt idx="430">
                  <c:v>3523</c:v>
                </c:pt>
                <c:pt idx="431">
                  <c:v>3516</c:v>
                </c:pt>
                <c:pt idx="432">
                  <c:v>3165</c:v>
                </c:pt>
                <c:pt idx="433">
                  <c:v>3039</c:v>
                </c:pt>
                <c:pt idx="434">
                  <c:v>2933</c:v>
                </c:pt>
                <c:pt idx="435">
                  <c:v>2889</c:v>
                </c:pt>
                <c:pt idx="436">
                  <c:v>2880</c:v>
                </c:pt>
                <c:pt idx="437">
                  <c:v>2812</c:v>
                </c:pt>
                <c:pt idx="438">
                  <c:v>2516</c:v>
                </c:pt>
                <c:pt idx="439">
                  <c:v>2343</c:v>
                </c:pt>
                <c:pt idx="440">
                  <c:v>2254</c:v>
                </c:pt>
                <c:pt idx="441">
                  <c:v>2194</c:v>
                </c:pt>
                <c:pt idx="442">
                  <c:v>2133</c:v>
                </c:pt>
                <c:pt idx="443">
                  <c:v>2058</c:v>
                </c:pt>
                <c:pt idx="444">
                  <c:v>2033</c:v>
                </c:pt>
                <c:pt idx="445">
                  <c:v>1952</c:v>
                </c:pt>
                <c:pt idx="446">
                  <c:v>1860</c:v>
                </c:pt>
                <c:pt idx="447">
                  <c:v>1848</c:v>
                </c:pt>
                <c:pt idx="448">
                  <c:v>1774</c:v>
                </c:pt>
                <c:pt idx="449">
                  <c:v>1636</c:v>
                </c:pt>
                <c:pt idx="450">
                  <c:v>1487</c:v>
                </c:pt>
                <c:pt idx="451">
                  <c:v>1435</c:v>
                </c:pt>
                <c:pt idx="452">
                  <c:v>1420</c:v>
                </c:pt>
                <c:pt idx="453">
                  <c:v>1336</c:v>
                </c:pt>
                <c:pt idx="454">
                  <c:v>1257</c:v>
                </c:pt>
                <c:pt idx="455">
                  <c:v>1087</c:v>
                </c:pt>
                <c:pt idx="456">
                  <c:v>1042</c:v>
                </c:pt>
                <c:pt idx="457">
                  <c:v>1006</c:v>
                </c:pt>
                <c:pt idx="458">
                  <c:v>958</c:v>
                </c:pt>
                <c:pt idx="459">
                  <c:v>937</c:v>
                </c:pt>
                <c:pt idx="460">
                  <c:v>921</c:v>
                </c:pt>
                <c:pt idx="461">
                  <c:v>919</c:v>
                </c:pt>
                <c:pt idx="462">
                  <c:v>895</c:v>
                </c:pt>
                <c:pt idx="463">
                  <c:v>873</c:v>
                </c:pt>
                <c:pt idx="464">
                  <c:v>850</c:v>
                </c:pt>
                <c:pt idx="465">
                  <c:v>830</c:v>
                </c:pt>
                <c:pt idx="466">
                  <c:v>749</c:v>
                </c:pt>
                <c:pt idx="467">
                  <c:v>732</c:v>
                </c:pt>
                <c:pt idx="468">
                  <c:v>640</c:v>
                </c:pt>
                <c:pt idx="469">
                  <c:v>609</c:v>
                </c:pt>
                <c:pt idx="470">
                  <c:v>589</c:v>
                </c:pt>
                <c:pt idx="471">
                  <c:v>572</c:v>
                </c:pt>
                <c:pt idx="472">
                  <c:v>555</c:v>
                </c:pt>
                <c:pt idx="473">
                  <c:v>449</c:v>
                </c:pt>
                <c:pt idx="474">
                  <c:v>366</c:v>
                </c:pt>
                <c:pt idx="475">
                  <c:v>340</c:v>
                </c:pt>
                <c:pt idx="476">
                  <c:v>335</c:v>
                </c:pt>
                <c:pt idx="477">
                  <c:v>331</c:v>
                </c:pt>
                <c:pt idx="478">
                  <c:v>319</c:v>
                </c:pt>
                <c:pt idx="479">
                  <c:v>302</c:v>
                </c:pt>
                <c:pt idx="480">
                  <c:v>230</c:v>
                </c:pt>
                <c:pt idx="481">
                  <c:v>220</c:v>
                </c:pt>
                <c:pt idx="482">
                  <c:v>201</c:v>
                </c:pt>
                <c:pt idx="483">
                  <c:v>167</c:v>
                </c:pt>
                <c:pt idx="484">
                  <c:v>162</c:v>
                </c:pt>
                <c:pt idx="485">
                  <c:v>161</c:v>
                </c:pt>
                <c:pt idx="486">
                  <c:v>153</c:v>
                </c:pt>
                <c:pt idx="487">
                  <c:v>147</c:v>
                </c:pt>
                <c:pt idx="488">
                  <c:v>141</c:v>
                </c:pt>
                <c:pt idx="489">
                  <c:v>126</c:v>
                </c:pt>
                <c:pt idx="490">
                  <c:v>123</c:v>
                </c:pt>
                <c:pt idx="491">
                  <c:v>120</c:v>
                </c:pt>
                <c:pt idx="492">
                  <c:v>112</c:v>
                </c:pt>
                <c:pt idx="493">
                  <c:v>109</c:v>
                </c:pt>
                <c:pt idx="494">
                  <c:v>106</c:v>
                </c:pt>
                <c:pt idx="495">
                  <c:v>90</c:v>
                </c:pt>
                <c:pt idx="496">
                  <c:v>88</c:v>
                </c:pt>
                <c:pt idx="497">
                  <c:v>86</c:v>
                </c:pt>
                <c:pt idx="498">
                  <c:v>77</c:v>
                </c:pt>
                <c:pt idx="499">
                  <c:v>70</c:v>
                </c:pt>
                <c:pt idx="500">
                  <c:v>67</c:v>
                </c:pt>
                <c:pt idx="501">
                  <c:v>64</c:v>
                </c:pt>
                <c:pt idx="502">
                  <c:v>63</c:v>
                </c:pt>
                <c:pt idx="503">
                  <c:v>58</c:v>
                </c:pt>
                <c:pt idx="504">
                  <c:v>53</c:v>
                </c:pt>
                <c:pt idx="505">
                  <c:v>51</c:v>
                </c:pt>
                <c:pt idx="506">
                  <c:v>50</c:v>
                </c:pt>
                <c:pt idx="507">
                  <c:v>50</c:v>
                </c:pt>
                <c:pt idx="508">
                  <c:v>49</c:v>
                </c:pt>
                <c:pt idx="509">
                  <c:v>47</c:v>
                </c:pt>
                <c:pt idx="510">
                  <c:v>42</c:v>
                </c:pt>
                <c:pt idx="511">
                  <c:v>41</c:v>
                </c:pt>
                <c:pt idx="512">
                  <c:v>41</c:v>
                </c:pt>
                <c:pt idx="513">
                  <c:v>40</c:v>
                </c:pt>
                <c:pt idx="514">
                  <c:v>36</c:v>
                </c:pt>
                <c:pt idx="515">
                  <c:v>35</c:v>
                </c:pt>
                <c:pt idx="516">
                  <c:v>31</c:v>
                </c:pt>
                <c:pt idx="517">
                  <c:v>31</c:v>
                </c:pt>
                <c:pt idx="518">
                  <c:v>29</c:v>
                </c:pt>
                <c:pt idx="519">
                  <c:v>23</c:v>
                </c:pt>
                <c:pt idx="520">
                  <c:v>21</c:v>
                </c:pt>
                <c:pt idx="521">
                  <c:v>20</c:v>
                </c:pt>
                <c:pt idx="522">
                  <c:v>17</c:v>
                </c:pt>
                <c:pt idx="523">
                  <c:v>15</c:v>
                </c:pt>
                <c:pt idx="524">
                  <c:v>14</c:v>
                </c:pt>
                <c:pt idx="525">
                  <c:v>14</c:v>
                </c:pt>
                <c:pt idx="526">
                  <c:v>11</c:v>
                </c:pt>
                <c:pt idx="527">
                  <c:v>11</c:v>
                </c:pt>
                <c:pt idx="528">
                  <c:v>8</c:v>
                </c:pt>
                <c:pt idx="529">
                  <c:v>8</c:v>
                </c:pt>
                <c:pt idx="530">
                  <c:v>7</c:v>
                </c:pt>
                <c:pt idx="531">
                  <c:v>7</c:v>
                </c:pt>
                <c:pt idx="532">
                  <c:v>6</c:v>
                </c:pt>
                <c:pt idx="533">
                  <c:v>5</c:v>
                </c:pt>
                <c:pt idx="534">
                  <c:v>5</c:v>
                </c:pt>
                <c:pt idx="535">
                  <c:v>3</c:v>
                </c:pt>
                <c:pt idx="536">
                  <c:v>3</c:v>
                </c:pt>
                <c:pt idx="537">
                  <c:v>3</c:v>
                </c:pt>
                <c:pt idx="538">
                  <c:v>3</c:v>
                </c:pt>
                <c:pt idx="539">
                  <c:v>3</c:v>
                </c:pt>
                <c:pt idx="540">
                  <c:v>3</c:v>
                </c:pt>
                <c:pt idx="541">
                  <c:v>2</c:v>
                </c:pt>
                <c:pt idx="542">
                  <c:v>1</c:v>
                </c:pt>
                <c:pt idx="543">
                  <c:v>1</c:v>
                </c:pt>
                <c:pt idx="544">
                  <c:v>1</c:v>
                </c:pt>
                <c:pt idx="545">
                  <c:v>1</c:v>
                </c:pt>
                <c:pt idx="546">
                  <c:v>1</c:v>
                </c:pt>
                <c:pt idx="547">
                  <c:v>1</c:v>
                </c:pt>
                <c:pt idx="548">
                  <c:v>1</c:v>
                </c:pt>
                <c:pt idx="549">
                  <c:v>1</c:v>
                </c:pt>
                <c:pt idx="550">
                  <c:v>1</c:v>
                </c:pt>
                <c:pt idx="551">
                  <c:v>1</c:v>
                </c:pt>
                <c:pt idx="552">
                  <c:v>1</c:v>
                </c:pt>
                <c:pt idx="553">
                  <c:v>1</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numCache>
            </c:numRef>
          </c:val>
          <c:extLst>
            <c:ext xmlns:c16="http://schemas.microsoft.com/office/drawing/2014/chart" uri="{C3380CC4-5D6E-409C-BE32-E72D297353CC}">
              <c16:uniqueId val="{00000000-7B20-4731-9799-AEBB37B8F296}"/>
            </c:ext>
          </c:extLst>
        </c:ser>
        <c:dLbls>
          <c:showLegendKey val="0"/>
          <c:showVal val="0"/>
          <c:showCatName val="0"/>
          <c:showSerName val="0"/>
          <c:showPercent val="0"/>
          <c:showBubbleSize val="0"/>
        </c:dLbls>
        <c:gapWidth val="219"/>
        <c:overlap val="-27"/>
        <c:axId val="119946687"/>
        <c:axId val="1655964096"/>
      </c:barChart>
      <c:catAx>
        <c:axId val="119946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5964096"/>
        <c:crosses val="autoZero"/>
        <c:auto val="1"/>
        <c:lblAlgn val="ctr"/>
        <c:lblOffset val="100"/>
        <c:noMultiLvlLbl val="0"/>
      </c:catAx>
      <c:valAx>
        <c:axId val="1655964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946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Graphs!$AD$20</c:f>
              <c:strCache>
                <c:ptCount val="1"/>
                <c:pt idx="0">
                  <c:v>Total</c:v>
                </c:pt>
              </c:strCache>
            </c:strRef>
          </c:tx>
          <c:spPr>
            <a:solidFill>
              <a:schemeClr val="accent1"/>
            </a:solidFill>
            <a:ln>
              <a:noFill/>
            </a:ln>
            <a:effectLst/>
          </c:spPr>
          <c:invertIfNegative val="0"/>
          <c:cat>
            <c:strRef>
              <c:f>Graphs!$AC$21:$AC$25</c:f>
              <c:strCache>
                <c:ptCount val="4"/>
                <c:pt idx="0">
                  <c:v>1st Quartile</c:v>
                </c:pt>
                <c:pt idx="1">
                  <c:v>2nd Quartile</c:v>
                </c:pt>
                <c:pt idx="2">
                  <c:v>3rd Quartile</c:v>
                </c:pt>
                <c:pt idx="3">
                  <c:v>4th Quartile</c:v>
                </c:pt>
              </c:strCache>
            </c:strRef>
          </c:cat>
          <c:val>
            <c:numRef>
              <c:f>Graphs!$AD$21:$AD$25</c:f>
              <c:numCache>
                <c:formatCode>General</c:formatCode>
                <c:ptCount val="4"/>
                <c:pt idx="0">
                  <c:v>241</c:v>
                </c:pt>
                <c:pt idx="1">
                  <c:v>241</c:v>
                </c:pt>
                <c:pt idx="2">
                  <c:v>241</c:v>
                </c:pt>
                <c:pt idx="3">
                  <c:v>241</c:v>
                </c:pt>
              </c:numCache>
            </c:numRef>
          </c:val>
          <c:extLst>
            <c:ext xmlns:c16="http://schemas.microsoft.com/office/drawing/2014/chart" uri="{C3380CC4-5D6E-409C-BE32-E72D297353CC}">
              <c16:uniqueId val="{00000000-5DD8-416D-968A-47B179EF6C43}"/>
            </c:ext>
          </c:extLst>
        </c:ser>
        <c:dLbls>
          <c:showLegendKey val="0"/>
          <c:showVal val="0"/>
          <c:showCatName val="0"/>
          <c:showSerName val="0"/>
          <c:showPercent val="0"/>
          <c:showBubbleSize val="0"/>
        </c:dLbls>
        <c:gapWidth val="219"/>
        <c:overlap val="-27"/>
        <c:axId val="1761040127"/>
        <c:axId val="514123535"/>
      </c:barChart>
      <c:catAx>
        <c:axId val="176104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23535"/>
        <c:crosses val="autoZero"/>
        <c:auto val="1"/>
        <c:lblAlgn val="ctr"/>
        <c:lblOffset val="100"/>
        <c:noMultiLvlLbl val="0"/>
      </c:catAx>
      <c:valAx>
        <c:axId val="514123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1040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Graphs!$T$20</c:f>
              <c:strCache>
                <c:ptCount val="1"/>
                <c:pt idx="0">
                  <c:v>Total</c:v>
                </c:pt>
              </c:strCache>
            </c:strRef>
          </c:tx>
          <c:spPr>
            <a:solidFill>
              <a:schemeClr val="accent1"/>
            </a:solidFill>
            <a:ln>
              <a:noFill/>
            </a:ln>
            <a:effectLst/>
          </c:spPr>
          <c:invertIfNegative val="0"/>
          <c:cat>
            <c:strRef>
              <c:f>Graphs!$S$21:$S$23</c:f>
              <c:strCache>
                <c:ptCount val="2"/>
                <c:pt idx="0">
                  <c:v>0</c:v>
                </c:pt>
                <c:pt idx="1">
                  <c:v>1</c:v>
                </c:pt>
              </c:strCache>
            </c:strRef>
          </c:cat>
          <c:val>
            <c:numRef>
              <c:f>Graphs!$T$21:$T$23</c:f>
              <c:numCache>
                <c:formatCode>General</c:formatCode>
                <c:ptCount val="2"/>
                <c:pt idx="0">
                  <c:v>344277491</c:v>
                </c:pt>
                <c:pt idx="1">
                  <c:v>474540465</c:v>
                </c:pt>
              </c:numCache>
            </c:numRef>
          </c:val>
          <c:extLst>
            <c:ext xmlns:c16="http://schemas.microsoft.com/office/drawing/2014/chart" uri="{C3380CC4-5D6E-409C-BE32-E72D297353CC}">
              <c16:uniqueId val="{00000000-E41B-4EC6-B97A-6F3ABA287416}"/>
            </c:ext>
          </c:extLst>
        </c:ser>
        <c:dLbls>
          <c:showLegendKey val="0"/>
          <c:showVal val="0"/>
          <c:showCatName val="0"/>
          <c:showSerName val="0"/>
          <c:showPercent val="0"/>
          <c:showBubbleSize val="0"/>
        </c:dLbls>
        <c:gapWidth val="219"/>
        <c:overlap val="-27"/>
        <c:axId val="1795254383"/>
        <c:axId val="562145551"/>
      </c:barChart>
      <c:catAx>
        <c:axId val="1795254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145551"/>
        <c:crosses val="autoZero"/>
        <c:auto val="1"/>
        <c:lblAlgn val="ctr"/>
        <c:lblOffset val="100"/>
        <c:noMultiLvlLbl val="0"/>
      </c:catAx>
      <c:valAx>
        <c:axId val="562145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54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[BC2407_Dashboard (4).xlsm]Graphs!PivotTable4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Graphs!$W$20</c:f>
              <c:strCache>
                <c:ptCount val="1"/>
                <c:pt idx="0">
                  <c:v>Total</c:v>
                </c:pt>
              </c:strCache>
            </c:strRef>
          </c:tx>
          <c:spPr>
            <a:solidFill>
              <a:schemeClr val="accent1"/>
            </a:solidFill>
            <a:ln>
              <a:noFill/>
            </a:ln>
            <a:effectLst/>
          </c:spPr>
          <c:invertIfNegative val="0"/>
          <c:cat>
            <c:strRef>
              <c:f>Graphs!$V$21:$V$486</c:f>
              <c:strCache>
                <c:ptCount val="465"/>
                <c:pt idx="0">
                  <c:v>0.0194</c:v>
                </c:pt>
                <c:pt idx="1">
                  <c:v>0.0219</c:v>
                </c:pt>
                <c:pt idx="2">
                  <c:v>0.0265</c:v>
                </c:pt>
                <c:pt idx="3">
                  <c:v>0.03</c:v>
                </c:pt>
                <c:pt idx="4">
                  <c:v>0.0311</c:v>
                </c:pt>
                <c:pt idx="5">
                  <c:v>0.0319</c:v>
                </c:pt>
                <c:pt idx="6">
                  <c:v>0.033</c:v>
                </c:pt>
                <c:pt idx="7">
                  <c:v>0.0338</c:v>
                </c:pt>
                <c:pt idx="8">
                  <c:v>0.0389</c:v>
                </c:pt>
                <c:pt idx="9">
                  <c:v>0.0405</c:v>
                </c:pt>
                <c:pt idx="10">
                  <c:v>0.0425</c:v>
                </c:pt>
                <c:pt idx="11">
                  <c:v>0.0429</c:v>
                </c:pt>
                <c:pt idx="12">
                  <c:v>0.0452</c:v>
                </c:pt>
                <c:pt idx="13">
                  <c:v>0.0461</c:v>
                </c:pt>
                <c:pt idx="14">
                  <c:v>0.0467</c:v>
                </c:pt>
                <c:pt idx="15">
                  <c:v>0.0468</c:v>
                </c:pt>
                <c:pt idx="16">
                  <c:v>0.0486</c:v>
                </c:pt>
                <c:pt idx="17">
                  <c:v>0.0493</c:v>
                </c:pt>
                <c:pt idx="18">
                  <c:v>0.0498</c:v>
                </c:pt>
                <c:pt idx="19">
                  <c:v>0.05</c:v>
                </c:pt>
                <c:pt idx="20">
                  <c:v>0.0501</c:v>
                </c:pt>
                <c:pt idx="21">
                  <c:v>0.0509</c:v>
                </c:pt>
                <c:pt idx="22">
                  <c:v>0.0511</c:v>
                </c:pt>
                <c:pt idx="23">
                  <c:v>0.0516</c:v>
                </c:pt>
                <c:pt idx="24">
                  <c:v>0.0517</c:v>
                </c:pt>
                <c:pt idx="25">
                  <c:v>0.0521</c:v>
                </c:pt>
                <c:pt idx="26">
                  <c:v>0.0523</c:v>
                </c:pt>
                <c:pt idx="27">
                  <c:v>0.0527</c:v>
                </c:pt>
                <c:pt idx="28">
                  <c:v>0.0534</c:v>
                </c:pt>
                <c:pt idx="29">
                  <c:v>0.054</c:v>
                </c:pt>
                <c:pt idx="30">
                  <c:v>0.0541</c:v>
                </c:pt>
                <c:pt idx="31">
                  <c:v>0.0543</c:v>
                </c:pt>
                <c:pt idx="32">
                  <c:v>0.0549</c:v>
                </c:pt>
                <c:pt idx="33">
                  <c:v>0.055</c:v>
                </c:pt>
                <c:pt idx="34">
                  <c:v>0.0552</c:v>
                </c:pt>
                <c:pt idx="35">
                  <c:v>0.0561</c:v>
                </c:pt>
                <c:pt idx="36">
                  <c:v>0.0562</c:v>
                </c:pt>
                <c:pt idx="37">
                  <c:v>0.0565</c:v>
                </c:pt>
                <c:pt idx="38">
                  <c:v>0.058</c:v>
                </c:pt>
                <c:pt idx="39">
                  <c:v>0.059</c:v>
                </c:pt>
                <c:pt idx="40">
                  <c:v>0.0596</c:v>
                </c:pt>
                <c:pt idx="41">
                  <c:v>0.06</c:v>
                </c:pt>
                <c:pt idx="42">
                  <c:v>0.0604</c:v>
                </c:pt>
                <c:pt idx="43">
                  <c:v>0.0621</c:v>
                </c:pt>
                <c:pt idx="44">
                  <c:v>0.0626</c:v>
                </c:pt>
                <c:pt idx="45">
                  <c:v>0.063</c:v>
                </c:pt>
                <c:pt idx="46">
                  <c:v>0.0633</c:v>
                </c:pt>
                <c:pt idx="47">
                  <c:v>0.0637</c:v>
                </c:pt>
                <c:pt idx="48">
                  <c:v>0.0648</c:v>
                </c:pt>
                <c:pt idx="49">
                  <c:v>0.065</c:v>
                </c:pt>
                <c:pt idx="50">
                  <c:v>0.0652</c:v>
                </c:pt>
                <c:pt idx="51">
                  <c:v>0.0654</c:v>
                </c:pt>
                <c:pt idx="52">
                  <c:v>0.0657</c:v>
                </c:pt>
                <c:pt idx="53">
                  <c:v>0.0658</c:v>
                </c:pt>
                <c:pt idx="54">
                  <c:v>0.0659</c:v>
                </c:pt>
                <c:pt idx="55">
                  <c:v>0.0663</c:v>
                </c:pt>
                <c:pt idx="56">
                  <c:v>0.0665</c:v>
                </c:pt>
                <c:pt idx="57">
                  <c:v>0.0669</c:v>
                </c:pt>
                <c:pt idx="58">
                  <c:v>0.0672</c:v>
                </c:pt>
                <c:pt idx="59">
                  <c:v>0.0673</c:v>
                </c:pt>
                <c:pt idx="60">
                  <c:v>0.0674</c:v>
                </c:pt>
                <c:pt idx="61">
                  <c:v>0.0675</c:v>
                </c:pt>
                <c:pt idx="62">
                  <c:v>0.0678</c:v>
                </c:pt>
                <c:pt idx="63">
                  <c:v>0.068</c:v>
                </c:pt>
                <c:pt idx="64">
                  <c:v>0.0682</c:v>
                </c:pt>
                <c:pt idx="65">
                  <c:v>0.0683</c:v>
                </c:pt>
                <c:pt idx="66">
                  <c:v>0.0684</c:v>
                </c:pt>
                <c:pt idx="67">
                  <c:v>0.0688</c:v>
                </c:pt>
                <c:pt idx="68">
                  <c:v>0.0689</c:v>
                </c:pt>
                <c:pt idx="69">
                  <c:v>0.0695</c:v>
                </c:pt>
                <c:pt idx="70">
                  <c:v>0.0697</c:v>
                </c:pt>
                <c:pt idx="71">
                  <c:v>0.07</c:v>
                </c:pt>
                <c:pt idx="72">
                  <c:v>0.0706</c:v>
                </c:pt>
                <c:pt idx="73">
                  <c:v>0.0708</c:v>
                </c:pt>
                <c:pt idx="74">
                  <c:v>0.071</c:v>
                </c:pt>
                <c:pt idx="75">
                  <c:v>0.0714</c:v>
                </c:pt>
                <c:pt idx="76">
                  <c:v>0.0723</c:v>
                </c:pt>
                <c:pt idx="77">
                  <c:v>0.073</c:v>
                </c:pt>
                <c:pt idx="78">
                  <c:v>0.0733</c:v>
                </c:pt>
                <c:pt idx="79">
                  <c:v>0.0735</c:v>
                </c:pt>
                <c:pt idx="80">
                  <c:v>0.0736</c:v>
                </c:pt>
                <c:pt idx="81">
                  <c:v>0.0738</c:v>
                </c:pt>
                <c:pt idx="82">
                  <c:v>0.0743</c:v>
                </c:pt>
                <c:pt idx="83">
                  <c:v>0.0745</c:v>
                </c:pt>
                <c:pt idx="84">
                  <c:v>0.0747</c:v>
                </c:pt>
                <c:pt idx="85">
                  <c:v>0.075</c:v>
                </c:pt>
                <c:pt idx="86">
                  <c:v>0.0752</c:v>
                </c:pt>
                <c:pt idx="87">
                  <c:v>0.0754</c:v>
                </c:pt>
                <c:pt idx="88">
                  <c:v>0.0759</c:v>
                </c:pt>
                <c:pt idx="89">
                  <c:v>0.0763</c:v>
                </c:pt>
                <c:pt idx="90">
                  <c:v>0.0765</c:v>
                </c:pt>
                <c:pt idx="91">
                  <c:v>0.0767</c:v>
                </c:pt>
                <c:pt idx="92">
                  <c:v>0.0769</c:v>
                </c:pt>
                <c:pt idx="93">
                  <c:v>0.0774</c:v>
                </c:pt>
                <c:pt idx="94">
                  <c:v>0.0775</c:v>
                </c:pt>
                <c:pt idx="95">
                  <c:v>0.0778</c:v>
                </c:pt>
                <c:pt idx="96">
                  <c:v>0.0779</c:v>
                </c:pt>
                <c:pt idx="97">
                  <c:v>0.0781</c:v>
                </c:pt>
                <c:pt idx="98">
                  <c:v>0.0783</c:v>
                </c:pt>
                <c:pt idx="99">
                  <c:v>0.0784</c:v>
                </c:pt>
                <c:pt idx="100">
                  <c:v>0.0785</c:v>
                </c:pt>
                <c:pt idx="101">
                  <c:v>0.0797</c:v>
                </c:pt>
                <c:pt idx="102">
                  <c:v>0.08</c:v>
                </c:pt>
                <c:pt idx="103">
                  <c:v>0.0801</c:v>
                </c:pt>
                <c:pt idx="104">
                  <c:v>0.0803</c:v>
                </c:pt>
                <c:pt idx="105">
                  <c:v>0.0809</c:v>
                </c:pt>
                <c:pt idx="106">
                  <c:v>0.0813</c:v>
                </c:pt>
                <c:pt idx="107">
                  <c:v>0.0816</c:v>
                </c:pt>
                <c:pt idx="108">
                  <c:v>0.0817</c:v>
                </c:pt>
                <c:pt idx="109">
                  <c:v>0.082</c:v>
                </c:pt>
                <c:pt idx="110">
                  <c:v>0.0821</c:v>
                </c:pt>
                <c:pt idx="111">
                  <c:v>0.0824</c:v>
                </c:pt>
                <c:pt idx="112">
                  <c:v>0.0825</c:v>
                </c:pt>
                <c:pt idx="113">
                  <c:v>0.0829</c:v>
                </c:pt>
                <c:pt idx="114">
                  <c:v>0.0832</c:v>
                </c:pt>
                <c:pt idx="115">
                  <c:v>0.0833</c:v>
                </c:pt>
                <c:pt idx="116">
                  <c:v>0.0836</c:v>
                </c:pt>
                <c:pt idx="117">
                  <c:v>0.0839</c:v>
                </c:pt>
                <c:pt idx="118">
                  <c:v>0.0845</c:v>
                </c:pt>
                <c:pt idx="119">
                  <c:v>0.0848</c:v>
                </c:pt>
                <c:pt idx="120">
                  <c:v>0.0849</c:v>
                </c:pt>
                <c:pt idx="121">
                  <c:v>0.0851</c:v>
                </c:pt>
                <c:pt idx="122">
                  <c:v>0.0853</c:v>
                </c:pt>
                <c:pt idx="123">
                  <c:v>0.0855</c:v>
                </c:pt>
                <c:pt idx="124">
                  <c:v>0.0857</c:v>
                </c:pt>
                <c:pt idx="125">
                  <c:v>0.0864</c:v>
                </c:pt>
                <c:pt idx="126">
                  <c:v>0.0865</c:v>
                </c:pt>
                <c:pt idx="127">
                  <c:v>0.0867</c:v>
                </c:pt>
                <c:pt idx="128">
                  <c:v>0.0869</c:v>
                </c:pt>
                <c:pt idx="129">
                  <c:v>0.0871</c:v>
                </c:pt>
                <c:pt idx="130">
                  <c:v>0.0874</c:v>
                </c:pt>
                <c:pt idx="131">
                  <c:v>0.0876</c:v>
                </c:pt>
                <c:pt idx="132">
                  <c:v>0.0881</c:v>
                </c:pt>
                <c:pt idx="133">
                  <c:v>0.0884</c:v>
                </c:pt>
                <c:pt idx="134">
                  <c:v>0.0887</c:v>
                </c:pt>
                <c:pt idx="135">
                  <c:v>0.0889</c:v>
                </c:pt>
                <c:pt idx="136">
                  <c:v>0.089</c:v>
                </c:pt>
                <c:pt idx="137">
                  <c:v>0.0892</c:v>
                </c:pt>
                <c:pt idx="138">
                  <c:v>0.0894</c:v>
                </c:pt>
                <c:pt idx="139">
                  <c:v>0.0895</c:v>
                </c:pt>
                <c:pt idx="140">
                  <c:v>0.0897</c:v>
                </c:pt>
                <c:pt idx="141">
                  <c:v>0.0901</c:v>
                </c:pt>
                <c:pt idx="142">
                  <c:v>0.0902</c:v>
                </c:pt>
                <c:pt idx="143">
                  <c:v>0.0903</c:v>
                </c:pt>
                <c:pt idx="144">
                  <c:v>0.0904</c:v>
                </c:pt>
                <c:pt idx="145">
                  <c:v>0.0906</c:v>
                </c:pt>
                <c:pt idx="146">
                  <c:v>0.0912</c:v>
                </c:pt>
                <c:pt idx="147">
                  <c:v>0.0914</c:v>
                </c:pt>
                <c:pt idx="148">
                  <c:v>0.0915</c:v>
                </c:pt>
                <c:pt idx="149">
                  <c:v>0.0916</c:v>
                </c:pt>
                <c:pt idx="150">
                  <c:v>0.0917</c:v>
                </c:pt>
                <c:pt idx="151">
                  <c:v>0.0919</c:v>
                </c:pt>
                <c:pt idx="152">
                  <c:v>0.092</c:v>
                </c:pt>
                <c:pt idx="153">
                  <c:v>0.0921</c:v>
                </c:pt>
                <c:pt idx="154">
                  <c:v>0.0922</c:v>
                </c:pt>
                <c:pt idx="155">
                  <c:v>0.0924</c:v>
                </c:pt>
                <c:pt idx="156">
                  <c:v>0.0926</c:v>
                </c:pt>
                <c:pt idx="157">
                  <c:v>0.0927</c:v>
                </c:pt>
                <c:pt idx="158">
                  <c:v>0.0928</c:v>
                </c:pt>
                <c:pt idx="159">
                  <c:v>0.093</c:v>
                </c:pt>
                <c:pt idx="160">
                  <c:v>0.0931</c:v>
                </c:pt>
                <c:pt idx="161">
                  <c:v>0.0932</c:v>
                </c:pt>
                <c:pt idx="162">
                  <c:v>0.0935</c:v>
                </c:pt>
                <c:pt idx="163">
                  <c:v>0.0936</c:v>
                </c:pt>
                <c:pt idx="164">
                  <c:v>0.0937</c:v>
                </c:pt>
                <c:pt idx="165">
                  <c:v>0.0938</c:v>
                </c:pt>
                <c:pt idx="166">
                  <c:v>0.0939</c:v>
                </c:pt>
                <c:pt idx="167">
                  <c:v>0.094</c:v>
                </c:pt>
                <c:pt idx="168">
                  <c:v>0.0943</c:v>
                </c:pt>
                <c:pt idx="169">
                  <c:v>0.0944</c:v>
                </c:pt>
                <c:pt idx="170">
                  <c:v>0.0946</c:v>
                </c:pt>
                <c:pt idx="171">
                  <c:v>0.0948</c:v>
                </c:pt>
                <c:pt idx="172">
                  <c:v>0.0949</c:v>
                </c:pt>
                <c:pt idx="173">
                  <c:v>0.0951</c:v>
                </c:pt>
                <c:pt idx="174">
                  <c:v>0.0952</c:v>
                </c:pt>
                <c:pt idx="175">
                  <c:v>0.0953</c:v>
                </c:pt>
                <c:pt idx="176">
                  <c:v>0.0954</c:v>
                </c:pt>
                <c:pt idx="177">
                  <c:v>0.0957</c:v>
                </c:pt>
                <c:pt idx="178">
                  <c:v>0.096</c:v>
                </c:pt>
                <c:pt idx="179">
                  <c:v>0.0963</c:v>
                </c:pt>
                <c:pt idx="180">
                  <c:v>0.0964</c:v>
                </c:pt>
                <c:pt idx="181">
                  <c:v>0.0965</c:v>
                </c:pt>
                <c:pt idx="182">
                  <c:v>0.0967</c:v>
                </c:pt>
                <c:pt idx="183">
                  <c:v>0.0968</c:v>
                </c:pt>
                <c:pt idx="184">
                  <c:v>0.097</c:v>
                </c:pt>
                <c:pt idx="185">
                  <c:v>0.0972</c:v>
                </c:pt>
                <c:pt idx="186">
                  <c:v>0.0975</c:v>
                </c:pt>
                <c:pt idx="187">
                  <c:v>0.0978</c:v>
                </c:pt>
                <c:pt idx="188">
                  <c:v>0.0979</c:v>
                </c:pt>
                <c:pt idx="189">
                  <c:v>0.0981</c:v>
                </c:pt>
                <c:pt idx="190">
                  <c:v>0.0982</c:v>
                </c:pt>
                <c:pt idx="191">
                  <c:v>0.0987</c:v>
                </c:pt>
                <c:pt idx="192">
                  <c:v>0.0989</c:v>
                </c:pt>
                <c:pt idx="193">
                  <c:v>0.0996</c:v>
                </c:pt>
                <c:pt idx="194">
                  <c:v>0.1</c:v>
                </c:pt>
                <c:pt idx="195">
                  <c:v>0.101</c:v>
                </c:pt>
                <c:pt idx="196">
                  <c:v>0.102</c:v>
                </c:pt>
                <c:pt idx="197">
                  <c:v>0.103</c:v>
                </c:pt>
                <c:pt idx="198">
                  <c:v>0.104</c:v>
                </c:pt>
                <c:pt idx="199">
                  <c:v>0.105</c:v>
                </c:pt>
                <c:pt idx="200">
                  <c:v>0.106</c:v>
                </c:pt>
                <c:pt idx="201">
                  <c:v>0.107</c:v>
                </c:pt>
                <c:pt idx="202">
                  <c:v>0.108</c:v>
                </c:pt>
                <c:pt idx="203">
                  <c:v>0.109</c:v>
                </c:pt>
                <c:pt idx="204">
                  <c:v>0.11</c:v>
                </c:pt>
                <c:pt idx="205">
                  <c:v>0.111</c:v>
                </c:pt>
                <c:pt idx="206">
                  <c:v>0.112</c:v>
                </c:pt>
                <c:pt idx="207">
                  <c:v>0.113</c:v>
                </c:pt>
                <c:pt idx="208">
                  <c:v>0.114</c:v>
                </c:pt>
                <c:pt idx="209">
                  <c:v>0.115</c:v>
                </c:pt>
                <c:pt idx="210">
                  <c:v>0.116</c:v>
                </c:pt>
                <c:pt idx="211">
                  <c:v>0.117</c:v>
                </c:pt>
                <c:pt idx="212">
                  <c:v>0.118</c:v>
                </c:pt>
                <c:pt idx="213">
                  <c:v>0.119</c:v>
                </c:pt>
                <c:pt idx="214">
                  <c:v>0.12</c:v>
                </c:pt>
                <c:pt idx="215">
                  <c:v>0.121</c:v>
                </c:pt>
                <c:pt idx="216">
                  <c:v>0.122</c:v>
                </c:pt>
                <c:pt idx="217">
                  <c:v>0.123</c:v>
                </c:pt>
                <c:pt idx="218">
                  <c:v>0.124</c:v>
                </c:pt>
                <c:pt idx="219">
                  <c:v>0.125</c:v>
                </c:pt>
                <c:pt idx="220">
                  <c:v>0.126</c:v>
                </c:pt>
                <c:pt idx="221">
                  <c:v>0.127</c:v>
                </c:pt>
                <c:pt idx="222">
                  <c:v>0.128</c:v>
                </c:pt>
                <c:pt idx="223">
                  <c:v>0.129</c:v>
                </c:pt>
                <c:pt idx="224">
                  <c:v>0.13</c:v>
                </c:pt>
                <c:pt idx="225">
                  <c:v>0.131</c:v>
                </c:pt>
                <c:pt idx="226">
                  <c:v>0.132</c:v>
                </c:pt>
                <c:pt idx="227">
                  <c:v>0.133</c:v>
                </c:pt>
                <c:pt idx="228">
                  <c:v>0.134</c:v>
                </c:pt>
                <c:pt idx="229">
                  <c:v>0.135</c:v>
                </c:pt>
                <c:pt idx="230">
                  <c:v>0.136</c:v>
                </c:pt>
                <c:pt idx="231">
                  <c:v>0.137</c:v>
                </c:pt>
                <c:pt idx="232">
                  <c:v>0.138</c:v>
                </c:pt>
                <c:pt idx="233">
                  <c:v>0.139</c:v>
                </c:pt>
                <c:pt idx="234">
                  <c:v>0.14</c:v>
                </c:pt>
                <c:pt idx="235">
                  <c:v>0.141</c:v>
                </c:pt>
                <c:pt idx="236">
                  <c:v>0.142</c:v>
                </c:pt>
                <c:pt idx="237">
                  <c:v>0.143</c:v>
                </c:pt>
                <c:pt idx="238">
                  <c:v>0.144</c:v>
                </c:pt>
                <c:pt idx="239">
                  <c:v>0.145</c:v>
                </c:pt>
                <c:pt idx="240">
                  <c:v>0.146</c:v>
                </c:pt>
                <c:pt idx="241">
                  <c:v>0.147</c:v>
                </c:pt>
                <c:pt idx="242">
                  <c:v>0.148</c:v>
                </c:pt>
                <c:pt idx="243">
                  <c:v>0.149</c:v>
                </c:pt>
                <c:pt idx="244">
                  <c:v>0.15</c:v>
                </c:pt>
                <c:pt idx="245">
                  <c:v>0.152</c:v>
                </c:pt>
                <c:pt idx="246">
                  <c:v>0.153</c:v>
                </c:pt>
                <c:pt idx="247">
                  <c:v>0.154</c:v>
                </c:pt>
                <c:pt idx="248">
                  <c:v>0.155</c:v>
                </c:pt>
                <c:pt idx="249">
                  <c:v>0.156</c:v>
                </c:pt>
                <c:pt idx="250">
                  <c:v>0.157</c:v>
                </c:pt>
                <c:pt idx="251">
                  <c:v>0.158</c:v>
                </c:pt>
                <c:pt idx="252">
                  <c:v>0.159</c:v>
                </c:pt>
                <c:pt idx="253">
                  <c:v>0.161</c:v>
                </c:pt>
                <c:pt idx="254">
                  <c:v>0.162</c:v>
                </c:pt>
                <c:pt idx="255">
                  <c:v>0.163</c:v>
                </c:pt>
                <c:pt idx="256">
                  <c:v>0.164</c:v>
                </c:pt>
                <c:pt idx="257">
                  <c:v>0.165</c:v>
                </c:pt>
                <c:pt idx="258">
                  <c:v>0.166</c:v>
                </c:pt>
                <c:pt idx="259">
                  <c:v>0.167</c:v>
                </c:pt>
                <c:pt idx="260">
                  <c:v>0.168</c:v>
                </c:pt>
                <c:pt idx="261">
                  <c:v>0.169</c:v>
                </c:pt>
                <c:pt idx="262">
                  <c:v>0.17</c:v>
                </c:pt>
                <c:pt idx="263">
                  <c:v>0.172</c:v>
                </c:pt>
                <c:pt idx="264">
                  <c:v>0.173</c:v>
                </c:pt>
                <c:pt idx="265">
                  <c:v>0.174</c:v>
                </c:pt>
                <c:pt idx="266">
                  <c:v>0.175</c:v>
                </c:pt>
                <c:pt idx="267">
                  <c:v>0.176</c:v>
                </c:pt>
                <c:pt idx="268">
                  <c:v>0.178</c:v>
                </c:pt>
                <c:pt idx="269">
                  <c:v>0.18</c:v>
                </c:pt>
                <c:pt idx="270">
                  <c:v>0.181</c:v>
                </c:pt>
                <c:pt idx="271">
                  <c:v>0.183</c:v>
                </c:pt>
                <c:pt idx="272">
                  <c:v>0.184</c:v>
                </c:pt>
                <c:pt idx="273">
                  <c:v>0.186</c:v>
                </c:pt>
                <c:pt idx="274">
                  <c:v>0.19</c:v>
                </c:pt>
                <c:pt idx="275">
                  <c:v>0.191</c:v>
                </c:pt>
                <c:pt idx="276">
                  <c:v>0.192</c:v>
                </c:pt>
                <c:pt idx="277">
                  <c:v>0.193</c:v>
                </c:pt>
                <c:pt idx="278">
                  <c:v>0.194</c:v>
                </c:pt>
                <c:pt idx="279">
                  <c:v>0.196</c:v>
                </c:pt>
                <c:pt idx="280">
                  <c:v>0.198</c:v>
                </c:pt>
                <c:pt idx="281">
                  <c:v>0.199</c:v>
                </c:pt>
                <c:pt idx="282">
                  <c:v>0.2</c:v>
                </c:pt>
                <c:pt idx="283">
                  <c:v>0.201</c:v>
                </c:pt>
                <c:pt idx="284">
                  <c:v>0.202</c:v>
                </c:pt>
                <c:pt idx="285">
                  <c:v>0.203</c:v>
                </c:pt>
                <c:pt idx="286">
                  <c:v>0.205</c:v>
                </c:pt>
                <c:pt idx="287">
                  <c:v>0.206</c:v>
                </c:pt>
                <c:pt idx="288">
                  <c:v>0.207</c:v>
                </c:pt>
                <c:pt idx="289">
                  <c:v>0.209</c:v>
                </c:pt>
                <c:pt idx="290">
                  <c:v>0.212</c:v>
                </c:pt>
                <c:pt idx="291">
                  <c:v>0.213</c:v>
                </c:pt>
                <c:pt idx="292">
                  <c:v>0.214</c:v>
                </c:pt>
                <c:pt idx="293">
                  <c:v>0.215</c:v>
                </c:pt>
                <c:pt idx="294">
                  <c:v>0.216</c:v>
                </c:pt>
                <c:pt idx="295">
                  <c:v>0.217</c:v>
                </c:pt>
                <c:pt idx="296">
                  <c:v>0.221</c:v>
                </c:pt>
                <c:pt idx="297">
                  <c:v>0.224</c:v>
                </c:pt>
                <c:pt idx="298">
                  <c:v>0.225</c:v>
                </c:pt>
                <c:pt idx="299">
                  <c:v>0.228</c:v>
                </c:pt>
                <c:pt idx="300">
                  <c:v>0.229</c:v>
                </c:pt>
                <c:pt idx="301">
                  <c:v>0.23</c:v>
                </c:pt>
                <c:pt idx="302">
                  <c:v>0.232</c:v>
                </c:pt>
                <c:pt idx="303">
                  <c:v>0.234</c:v>
                </c:pt>
                <c:pt idx="304">
                  <c:v>0.235</c:v>
                </c:pt>
                <c:pt idx="305">
                  <c:v>0.236</c:v>
                </c:pt>
                <c:pt idx="306">
                  <c:v>0.237</c:v>
                </c:pt>
                <c:pt idx="307">
                  <c:v>0.239</c:v>
                </c:pt>
                <c:pt idx="308">
                  <c:v>0.24</c:v>
                </c:pt>
                <c:pt idx="309">
                  <c:v>0.241</c:v>
                </c:pt>
                <c:pt idx="310">
                  <c:v>0.242</c:v>
                </c:pt>
                <c:pt idx="311">
                  <c:v>0.243</c:v>
                </c:pt>
                <c:pt idx="312">
                  <c:v>0.245</c:v>
                </c:pt>
                <c:pt idx="313">
                  <c:v>0.246</c:v>
                </c:pt>
                <c:pt idx="314">
                  <c:v>0.247</c:v>
                </c:pt>
                <c:pt idx="315">
                  <c:v>0.248</c:v>
                </c:pt>
                <c:pt idx="316">
                  <c:v>0.25</c:v>
                </c:pt>
                <c:pt idx="317">
                  <c:v>0.251</c:v>
                </c:pt>
                <c:pt idx="318">
                  <c:v>0.253</c:v>
                </c:pt>
                <c:pt idx="319">
                  <c:v>0.254</c:v>
                </c:pt>
                <c:pt idx="320">
                  <c:v>0.255</c:v>
                </c:pt>
                <c:pt idx="321">
                  <c:v>0.256</c:v>
                </c:pt>
                <c:pt idx="322">
                  <c:v>0.259</c:v>
                </c:pt>
                <c:pt idx="323">
                  <c:v>0.26</c:v>
                </c:pt>
                <c:pt idx="324">
                  <c:v>0.261</c:v>
                </c:pt>
                <c:pt idx="325">
                  <c:v>0.262</c:v>
                </c:pt>
                <c:pt idx="326">
                  <c:v>0.263</c:v>
                </c:pt>
                <c:pt idx="327">
                  <c:v>0.266</c:v>
                </c:pt>
                <c:pt idx="328">
                  <c:v>0.267</c:v>
                </c:pt>
                <c:pt idx="329">
                  <c:v>0.268</c:v>
                </c:pt>
                <c:pt idx="330">
                  <c:v>0.269</c:v>
                </c:pt>
                <c:pt idx="331">
                  <c:v>0.271</c:v>
                </c:pt>
                <c:pt idx="332">
                  <c:v>0.272</c:v>
                </c:pt>
                <c:pt idx="333">
                  <c:v>0.273</c:v>
                </c:pt>
                <c:pt idx="334">
                  <c:v>0.274</c:v>
                </c:pt>
                <c:pt idx="335">
                  <c:v>0.277</c:v>
                </c:pt>
                <c:pt idx="336">
                  <c:v>0.278</c:v>
                </c:pt>
                <c:pt idx="337">
                  <c:v>0.279</c:v>
                </c:pt>
                <c:pt idx="338">
                  <c:v>0.281</c:v>
                </c:pt>
                <c:pt idx="339">
                  <c:v>0.283</c:v>
                </c:pt>
                <c:pt idx="340">
                  <c:v>0.285</c:v>
                </c:pt>
                <c:pt idx="341">
                  <c:v>0.286</c:v>
                </c:pt>
                <c:pt idx="342">
                  <c:v>0.289</c:v>
                </c:pt>
                <c:pt idx="343">
                  <c:v>0.29</c:v>
                </c:pt>
                <c:pt idx="344">
                  <c:v>0.291</c:v>
                </c:pt>
                <c:pt idx="345">
                  <c:v>0.293</c:v>
                </c:pt>
                <c:pt idx="346">
                  <c:v>0.294</c:v>
                </c:pt>
                <c:pt idx="347">
                  <c:v>0.298</c:v>
                </c:pt>
                <c:pt idx="348">
                  <c:v>0.299</c:v>
                </c:pt>
                <c:pt idx="349">
                  <c:v>0.3</c:v>
                </c:pt>
                <c:pt idx="350">
                  <c:v>0.303</c:v>
                </c:pt>
                <c:pt idx="351">
                  <c:v>0.304</c:v>
                </c:pt>
                <c:pt idx="352">
                  <c:v>0.306</c:v>
                </c:pt>
                <c:pt idx="353">
                  <c:v>0.307</c:v>
                </c:pt>
                <c:pt idx="354">
                  <c:v>0.308</c:v>
                </c:pt>
                <c:pt idx="355">
                  <c:v>0.309</c:v>
                </c:pt>
                <c:pt idx="356">
                  <c:v>0.31</c:v>
                </c:pt>
                <c:pt idx="357">
                  <c:v>0.311</c:v>
                </c:pt>
                <c:pt idx="358">
                  <c:v>0.313</c:v>
                </c:pt>
                <c:pt idx="359">
                  <c:v>0.316</c:v>
                </c:pt>
                <c:pt idx="360">
                  <c:v>0.318</c:v>
                </c:pt>
                <c:pt idx="361">
                  <c:v>0.319</c:v>
                </c:pt>
                <c:pt idx="362">
                  <c:v>0.321</c:v>
                </c:pt>
                <c:pt idx="363">
                  <c:v>0.322</c:v>
                </c:pt>
                <c:pt idx="364">
                  <c:v>0.323</c:v>
                </c:pt>
                <c:pt idx="365">
                  <c:v>0.324</c:v>
                </c:pt>
                <c:pt idx="366">
                  <c:v>0.325</c:v>
                </c:pt>
                <c:pt idx="367">
                  <c:v>0.329</c:v>
                </c:pt>
                <c:pt idx="368">
                  <c:v>0.33</c:v>
                </c:pt>
                <c:pt idx="369">
                  <c:v>0.332</c:v>
                </c:pt>
                <c:pt idx="370">
                  <c:v>0.333</c:v>
                </c:pt>
                <c:pt idx="371">
                  <c:v>0.334</c:v>
                </c:pt>
                <c:pt idx="372">
                  <c:v>0.335</c:v>
                </c:pt>
                <c:pt idx="373">
                  <c:v>0.337</c:v>
                </c:pt>
                <c:pt idx="374">
                  <c:v>0.338</c:v>
                </c:pt>
                <c:pt idx="375">
                  <c:v>0.339</c:v>
                </c:pt>
                <c:pt idx="376">
                  <c:v>0.342</c:v>
                </c:pt>
                <c:pt idx="377">
                  <c:v>0.346</c:v>
                </c:pt>
                <c:pt idx="378">
                  <c:v>0.347</c:v>
                </c:pt>
                <c:pt idx="379">
                  <c:v>0.348</c:v>
                </c:pt>
                <c:pt idx="380">
                  <c:v>0.349</c:v>
                </c:pt>
                <c:pt idx="381">
                  <c:v>0.35</c:v>
                </c:pt>
                <c:pt idx="382">
                  <c:v>0.351</c:v>
                </c:pt>
                <c:pt idx="383">
                  <c:v>0.353</c:v>
                </c:pt>
                <c:pt idx="384">
                  <c:v>0.354</c:v>
                </c:pt>
                <c:pt idx="385">
                  <c:v>0.356</c:v>
                </c:pt>
                <c:pt idx="386">
                  <c:v>0.359</c:v>
                </c:pt>
                <c:pt idx="387">
                  <c:v>0.36</c:v>
                </c:pt>
                <c:pt idx="388">
                  <c:v>0.361</c:v>
                </c:pt>
                <c:pt idx="389">
                  <c:v>0.363</c:v>
                </c:pt>
                <c:pt idx="390">
                  <c:v>0.364</c:v>
                </c:pt>
                <c:pt idx="391">
                  <c:v>0.366</c:v>
                </c:pt>
                <c:pt idx="392">
                  <c:v>0.367</c:v>
                </c:pt>
                <c:pt idx="393">
                  <c:v>0.369</c:v>
                </c:pt>
                <c:pt idx="394">
                  <c:v>0.37</c:v>
                </c:pt>
                <c:pt idx="395">
                  <c:v>0.372</c:v>
                </c:pt>
                <c:pt idx="396">
                  <c:v>0.374</c:v>
                </c:pt>
                <c:pt idx="397">
                  <c:v>0.375</c:v>
                </c:pt>
                <c:pt idx="398">
                  <c:v>0.376</c:v>
                </c:pt>
                <c:pt idx="399">
                  <c:v>0.382</c:v>
                </c:pt>
                <c:pt idx="400">
                  <c:v>0.384</c:v>
                </c:pt>
                <c:pt idx="401">
                  <c:v>0.386</c:v>
                </c:pt>
                <c:pt idx="402">
                  <c:v>0.387</c:v>
                </c:pt>
                <c:pt idx="403">
                  <c:v>0.393</c:v>
                </c:pt>
                <c:pt idx="404">
                  <c:v>0.397</c:v>
                </c:pt>
                <c:pt idx="405">
                  <c:v>0.399</c:v>
                </c:pt>
                <c:pt idx="406">
                  <c:v>0.4</c:v>
                </c:pt>
                <c:pt idx="407">
                  <c:v>0.402</c:v>
                </c:pt>
                <c:pt idx="408">
                  <c:v>0.405</c:v>
                </c:pt>
                <c:pt idx="409">
                  <c:v>0.408</c:v>
                </c:pt>
                <c:pt idx="410">
                  <c:v>0.41</c:v>
                </c:pt>
                <c:pt idx="411">
                  <c:v>0.415</c:v>
                </c:pt>
                <c:pt idx="412">
                  <c:v>0.42</c:v>
                </c:pt>
                <c:pt idx="413">
                  <c:v>0.426</c:v>
                </c:pt>
                <c:pt idx="414">
                  <c:v>0.427</c:v>
                </c:pt>
                <c:pt idx="415">
                  <c:v>0.43</c:v>
                </c:pt>
                <c:pt idx="416">
                  <c:v>0.434</c:v>
                </c:pt>
                <c:pt idx="417">
                  <c:v>0.436</c:v>
                </c:pt>
                <c:pt idx="418">
                  <c:v>0.439</c:v>
                </c:pt>
                <c:pt idx="419">
                  <c:v>0.44</c:v>
                </c:pt>
                <c:pt idx="420">
                  <c:v>0.442</c:v>
                </c:pt>
                <c:pt idx="421">
                  <c:v>0.444</c:v>
                </c:pt>
                <c:pt idx="422">
                  <c:v>0.445</c:v>
                </c:pt>
                <c:pt idx="423">
                  <c:v>0.446</c:v>
                </c:pt>
                <c:pt idx="424">
                  <c:v>0.46</c:v>
                </c:pt>
                <c:pt idx="425">
                  <c:v>0.461</c:v>
                </c:pt>
                <c:pt idx="426">
                  <c:v>0.465</c:v>
                </c:pt>
                <c:pt idx="427">
                  <c:v>0.471</c:v>
                </c:pt>
                <c:pt idx="428">
                  <c:v>0.474</c:v>
                </c:pt>
                <c:pt idx="429">
                  <c:v>0.477</c:v>
                </c:pt>
                <c:pt idx="430">
                  <c:v>0.479</c:v>
                </c:pt>
                <c:pt idx="431">
                  <c:v>0.48</c:v>
                </c:pt>
                <c:pt idx="432">
                  <c:v>0.484</c:v>
                </c:pt>
                <c:pt idx="433">
                  <c:v>0.486</c:v>
                </c:pt>
                <c:pt idx="434">
                  <c:v>0.509</c:v>
                </c:pt>
                <c:pt idx="435">
                  <c:v>0.513</c:v>
                </c:pt>
                <c:pt idx="436">
                  <c:v>0.519</c:v>
                </c:pt>
                <c:pt idx="437">
                  <c:v>0.525</c:v>
                </c:pt>
                <c:pt idx="438">
                  <c:v>0.533</c:v>
                </c:pt>
                <c:pt idx="439">
                  <c:v>0.54</c:v>
                </c:pt>
                <c:pt idx="440">
                  <c:v>0.543</c:v>
                </c:pt>
                <c:pt idx="441">
                  <c:v>0.555</c:v>
                </c:pt>
                <c:pt idx="442">
                  <c:v>0.561</c:v>
                </c:pt>
                <c:pt idx="443">
                  <c:v>0.569</c:v>
                </c:pt>
                <c:pt idx="444">
                  <c:v>0.571</c:v>
                </c:pt>
                <c:pt idx="445">
                  <c:v>0.581</c:v>
                </c:pt>
                <c:pt idx="446">
                  <c:v>0.584</c:v>
                </c:pt>
                <c:pt idx="447">
                  <c:v>0.595</c:v>
                </c:pt>
                <c:pt idx="448">
                  <c:v>0.596</c:v>
                </c:pt>
                <c:pt idx="449">
                  <c:v>0.603</c:v>
                </c:pt>
                <c:pt idx="450">
                  <c:v>0.606</c:v>
                </c:pt>
                <c:pt idx="451">
                  <c:v>0.613</c:v>
                </c:pt>
                <c:pt idx="452">
                  <c:v>0.631</c:v>
                </c:pt>
                <c:pt idx="453">
                  <c:v>0.635</c:v>
                </c:pt>
                <c:pt idx="454">
                  <c:v>0.65</c:v>
                </c:pt>
                <c:pt idx="455">
                  <c:v>0.653</c:v>
                </c:pt>
                <c:pt idx="456">
                  <c:v>0.688</c:v>
                </c:pt>
                <c:pt idx="457">
                  <c:v>0.692</c:v>
                </c:pt>
                <c:pt idx="458">
                  <c:v>0.696</c:v>
                </c:pt>
                <c:pt idx="459">
                  <c:v>0.714</c:v>
                </c:pt>
                <c:pt idx="460">
                  <c:v>0.79</c:v>
                </c:pt>
                <c:pt idx="461">
                  <c:v>0.825</c:v>
                </c:pt>
                <c:pt idx="462">
                  <c:v>0.826</c:v>
                </c:pt>
                <c:pt idx="463">
                  <c:v>0.847</c:v>
                </c:pt>
                <c:pt idx="464">
                  <c:v>0.944</c:v>
                </c:pt>
              </c:strCache>
            </c:strRef>
          </c:cat>
          <c:val>
            <c:numRef>
              <c:f>Graphs!$W$21:$W$486</c:f>
              <c:numCache>
                <c:formatCode>General</c:formatCode>
                <c:ptCount val="465"/>
                <c:pt idx="0">
                  <c:v>0</c:v>
                </c:pt>
                <c:pt idx="1">
                  <c:v>12400</c:v>
                </c:pt>
                <c:pt idx="2">
                  <c:v>62200</c:v>
                </c:pt>
                <c:pt idx="3">
                  <c:v>83200</c:v>
                </c:pt>
                <c:pt idx="4">
                  <c:v>1400000</c:v>
                </c:pt>
                <c:pt idx="5">
                  <c:v>0</c:v>
                </c:pt>
                <c:pt idx="6">
                  <c:v>16300</c:v>
                </c:pt>
                <c:pt idx="7">
                  <c:v>5600000</c:v>
                </c:pt>
                <c:pt idx="8">
                  <c:v>1257</c:v>
                </c:pt>
                <c:pt idx="9">
                  <c:v>1400000</c:v>
                </c:pt>
                <c:pt idx="10">
                  <c:v>252000</c:v>
                </c:pt>
                <c:pt idx="11">
                  <c:v>1435</c:v>
                </c:pt>
                <c:pt idx="12">
                  <c:v>10600000</c:v>
                </c:pt>
                <c:pt idx="13">
                  <c:v>1300000</c:v>
                </c:pt>
                <c:pt idx="14">
                  <c:v>18100</c:v>
                </c:pt>
                <c:pt idx="15">
                  <c:v>11100</c:v>
                </c:pt>
                <c:pt idx="16">
                  <c:v>1539100</c:v>
                </c:pt>
                <c:pt idx="17">
                  <c:v>3618600</c:v>
                </c:pt>
                <c:pt idx="18">
                  <c:v>75500</c:v>
                </c:pt>
                <c:pt idx="19">
                  <c:v>1</c:v>
                </c:pt>
                <c:pt idx="20">
                  <c:v>8400007</c:v>
                </c:pt>
                <c:pt idx="21">
                  <c:v>403800</c:v>
                </c:pt>
                <c:pt idx="22">
                  <c:v>202500</c:v>
                </c:pt>
                <c:pt idx="23">
                  <c:v>23900</c:v>
                </c:pt>
                <c:pt idx="24">
                  <c:v>7012</c:v>
                </c:pt>
                <c:pt idx="25">
                  <c:v>598400</c:v>
                </c:pt>
                <c:pt idx="26">
                  <c:v>70300</c:v>
                </c:pt>
                <c:pt idx="27">
                  <c:v>825200</c:v>
                </c:pt>
                <c:pt idx="28">
                  <c:v>7942</c:v>
                </c:pt>
                <c:pt idx="29">
                  <c:v>0</c:v>
                </c:pt>
                <c:pt idx="30">
                  <c:v>312400</c:v>
                </c:pt>
                <c:pt idx="31">
                  <c:v>154700</c:v>
                </c:pt>
                <c:pt idx="32">
                  <c:v>11500</c:v>
                </c:pt>
                <c:pt idx="33">
                  <c:v>1900000</c:v>
                </c:pt>
                <c:pt idx="34">
                  <c:v>2400000</c:v>
                </c:pt>
                <c:pt idx="35">
                  <c:v>172996</c:v>
                </c:pt>
                <c:pt idx="36">
                  <c:v>518000</c:v>
                </c:pt>
                <c:pt idx="37">
                  <c:v>611500</c:v>
                </c:pt>
                <c:pt idx="38">
                  <c:v>9924</c:v>
                </c:pt>
                <c:pt idx="39">
                  <c:v>54220</c:v>
                </c:pt>
                <c:pt idx="40">
                  <c:v>377</c:v>
                </c:pt>
                <c:pt idx="41">
                  <c:v>20000</c:v>
                </c:pt>
                <c:pt idx="42">
                  <c:v>2400000</c:v>
                </c:pt>
                <c:pt idx="43">
                  <c:v>50</c:v>
                </c:pt>
                <c:pt idx="44">
                  <c:v>15447</c:v>
                </c:pt>
                <c:pt idx="45">
                  <c:v>1722100</c:v>
                </c:pt>
                <c:pt idx="46">
                  <c:v>256600</c:v>
                </c:pt>
                <c:pt idx="47">
                  <c:v>78400</c:v>
                </c:pt>
                <c:pt idx="48">
                  <c:v>140400</c:v>
                </c:pt>
                <c:pt idx="49">
                  <c:v>382100</c:v>
                </c:pt>
                <c:pt idx="50">
                  <c:v>2000000</c:v>
                </c:pt>
                <c:pt idx="51">
                  <c:v>26300</c:v>
                </c:pt>
                <c:pt idx="52">
                  <c:v>93</c:v>
                </c:pt>
                <c:pt idx="53">
                  <c:v>526200</c:v>
                </c:pt>
                <c:pt idx="54">
                  <c:v>247000</c:v>
                </c:pt>
                <c:pt idx="55">
                  <c:v>728100</c:v>
                </c:pt>
                <c:pt idx="56">
                  <c:v>658300</c:v>
                </c:pt>
                <c:pt idx="57">
                  <c:v>24400</c:v>
                </c:pt>
                <c:pt idx="58">
                  <c:v>1116800</c:v>
                </c:pt>
                <c:pt idx="59">
                  <c:v>3</c:v>
                </c:pt>
                <c:pt idx="60">
                  <c:v>518600</c:v>
                </c:pt>
                <c:pt idx="61">
                  <c:v>222300</c:v>
                </c:pt>
                <c:pt idx="62">
                  <c:v>15800</c:v>
                </c:pt>
                <c:pt idx="63">
                  <c:v>728100</c:v>
                </c:pt>
                <c:pt idx="64">
                  <c:v>749</c:v>
                </c:pt>
                <c:pt idx="65">
                  <c:v>0</c:v>
                </c:pt>
                <c:pt idx="66">
                  <c:v>3800000</c:v>
                </c:pt>
                <c:pt idx="67">
                  <c:v>1400000</c:v>
                </c:pt>
                <c:pt idx="68">
                  <c:v>394200</c:v>
                </c:pt>
                <c:pt idx="69">
                  <c:v>3396</c:v>
                </c:pt>
                <c:pt idx="70">
                  <c:v>42400</c:v>
                </c:pt>
                <c:pt idx="71">
                  <c:v>42</c:v>
                </c:pt>
                <c:pt idx="72">
                  <c:v>561700</c:v>
                </c:pt>
                <c:pt idx="73">
                  <c:v>13300000</c:v>
                </c:pt>
                <c:pt idx="74">
                  <c:v>6295</c:v>
                </c:pt>
                <c:pt idx="75">
                  <c:v>1088477</c:v>
                </c:pt>
                <c:pt idx="76">
                  <c:v>1000000</c:v>
                </c:pt>
                <c:pt idx="77">
                  <c:v>0</c:v>
                </c:pt>
                <c:pt idx="78">
                  <c:v>16400554</c:v>
                </c:pt>
                <c:pt idx="79">
                  <c:v>1700921</c:v>
                </c:pt>
                <c:pt idx="80">
                  <c:v>355500</c:v>
                </c:pt>
                <c:pt idx="81">
                  <c:v>4218</c:v>
                </c:pt>
                <c:pt idx="82">
                  <c:v>394600</c:v>
                </c:pt>
                <c:pt idx="83">
                  <c:v>732</c:v>
                </c:pt>
                <c:pt idx="84">
                  <c:v>1</c:v>
                </c:pt>
                <c:pt idx="85">
                  <c:v>0</c:v>
                </c:pt>
                <c:pt idx="86">
                  <c:v>266100</c:v>
                </c:pt>
                <c:pt idx="87">
                  <c:v>5629700</c:v>
                </c:pt>
                <c:pt idx="88">
                  <c:v>0</c:v>
                </c:pt>
                <c:pt idx="89">
                  <c:v>855500</c:v>
                </c:pt>
                <c:pt idx="90">
                  <c:v>66700</c:v>
                </c:pt>
                <c:pt idx="91">
                  <c:v>11000000</c:v>
                </c:pt>
                <c:pt idx="92">
                  <c:v>97800</c:v>
                </c:pt>
                <c:pt idx="93">
                  <c:v>15162</c:v>
                </c:pt>
                <c:pt idx="94">
                  <c:v>67</c:v>
                </c:pt>
                <c:pt idx="95">
                  <c:v>1300000</c:v>
                </c:pt>
                <c:pt idx="96">
                  <c:v>0</c:v>
                </c:pt>
                <c:pt idx="97">
                  <c:v>2900000</c:v>
                </c:pt>
                <c:pt idx="98">
                  <c:v>958</c:v>
                </c:pt>
                <c:pt idx="99">
                  <c:v>3600574</c:v>
                </c:pt>
                <c:pt idx="100">
                  <c:v>231600</c:v>
                </c:pt>
                <c:pt idx="101">
                  <c:v>578</c:v>
                </c:pt>
                <c:pt idx="102">
                  <c:v>310200</c:v>
                </c:pt>
                <c:pt idx="103">
                  <c:v>310500</c:v>
                </c:pt>
                <c:pt idx="104">
                  <c:v>125400</c:v>
                </c:pt>
                <c:pt idx="105">
                  <c:v>2018500</c:v>
                </c:pt>
                <c:pt idx="106">
                  <c:v>3516</c:v>
                </c:pt>
                <c:pt idx="107">
                  <c:v>11989</c:v>
                </c:pt>
                <c:pt idx="108">
                  <c:v>149800</c:v>
                </c:pt>
                <c:pt idx="109">
                  <c:v>23100</c:v>
                </c:pt>
                <c:pt idx="110">
                  <c:v>153</c:v>
                </c:pt>
                <c:pt idx="111">
                  <c:v>7054595</c:v>
                </c:pt>
                <c:pt idx="112">
                  <c:v>0</c:v>
                </c:pt>
                <c:pt idx="113">
                  <c:v>937</c:v>
                </c:pt>
                <c:pt idx="114">
                  <c:v>788500</c:v>
                </c:pt>
                <c:pt idx="115">
                  <c:v>396800</c:v>
                </c:pt>
                <c:pt idx="116">
                  <c:v>615600</c:v>
                </c:pt>
                <c:pt idx="117">
                  <c:v>742300</c:v>
                </c:pt>
                <c:pt idx="118">
                  <c:v>12322200</c:v>
                </c:pt>
                <c:pt idx="119">
                  <c:v>747402</c:v>
                </c:pt>
                <c:pt idx="120">
                  <c:v>13300</c:v>
                </c:pt>
                <c:pt idx="121">
                  <c:v>9230</c:v>
                </c:pt>
                <c:pt idx="122">
                  <c:v>70</c:v>
                </c:pt>
                <c:pt idx="123">
                  <c:v>233</c:v>
                </c:pt>
                <c:pt idx="124">
                  <c:v>391761</c:v>
                </c:pt>
                <c:pt idx="125">
                  <c:v>1361200</c:v>
                </c:pt>
                <c:pt idx="126">
                  <c:v>0</c:v>
                </c:pt>
                <c:pt idx="127">
                  <c:v>2616100</c:v>
                </c:pt>
                <c:pt idx="128">
                  <c:v>271</c:v>
                </c:pt>
                <c:pt idx="129">
                  <c:v>9</c:v>
                </c:pt>
                <c:pt idx="130">
                  <c:v>61000</c:v>
                </c:pt>
                <c:pt idx="131">
                  <c:v>356900</c:v>
                </c:pt>
                <c:pt idx="132">
                  <c:v>323100</c:v>
                </c:pt>
                <c:pt idx="133">
                  <c:v>451600</c:v>
                </c:pt>
                <c:pt idx="134">
                  <c:v>10927200</c:v>
                </c:pt>
                <c:pt idx="135">
                  <c:v>8</c:v>
                </c:pt>
                <c:pt idx="136">
                  <c:v>0</c:v>
                </c:pt>
                <c:pt idx="137">
                  <c:v>2400000</c:v>
                </c:pt>
                <c:pt idx="138">
                  <c:v>431300</c:v>
                </c:pt>
                <c:pt idx="139">
                  <c:v>225900</c:v>
                </c:pt>
                <c:pt idx="140">
                  <c:v>3400012</c:v>
                </c:pt>
                <c:pt idx="141">
                  <c:v>87200</c:v>
                </c:pt>
                <c:pt idx="142">
                  <c:v>8529</c:v>
                </c:pt>
                <c:pt idx="143">
                  <c:v>1800000</c:v>
                </c:pt>
                <c:pt idx="144">
                  <c:v>19696800</c:v>
                </c:pt>
                <c:pt idx="145">
                  <c:v>1700000</c:v>
                </c:pt>
                <c:pt idx="146">
                  <c:v>291500</c:v>
                </c:pt>
                <c:pt idx="147">
                  <c:v>2200000</c:v>
                </c:pt>
                <c:pt idx="148">
                  <c:v>29</c:v>
                </c:pt>
                <c:pt idx="149">
                  <c:v>10</c:v>
                </c:pt>
                <c:pt idx="150">
                  <c:v>103400</c:v>
                </c:pt>
                <c:pt idx="151">
                  <c:v>9213</c:v>
                </c:pt>
                <c:pt idx="152">
                  <c:v>509800</c:v>
                </c:pt>
                <c:pt idx="153">
                  <c:v>1851602</c:v>
                </c:pt>
                <c:pt idx="154">
                  <c:v>14800</c:v>
                </c:pt>
                <c:pt idx="155">
                  <c:v>36000</c:v>
                </c:pt>
                <c:pt idx="156">
                  <c:v>1633851</c:v>
                </c:pt>
                <c:pt idx="157">
                  <c:v>3000000</c:v>
                </c:pt>
                <c:pt idx="158">
                  <c:v>1000000</c:v>
                </c:pt>
                <c:pt idx="159">
                  <c:v>39</c:v>
                </c:pt>
                <c:pt idx="160">
                  <c:v>170700</c:v>
                </c:pt>
                <c:pt idx="161">
                  <c:v>2600000</c:v>
                </c:pt>
                <c:pt idx="162">
                  <c:v>42100</c:v>
                </c:pt>
                <c:pt idx="163">
                  <c:v>5358100</c:v>
                </c:pt>
                <c:pt idx="164">
                  <c:v>12</c:v>
                </c:pt>
                <c:pt idx="165">
                  <c:v>1704284</c:v>
                </c:pt>
                <c:pt idx="166">
                  <c:v>319</c:v>
                </c:pt>
                <c:pt idx="167">
                  <c:v>170700</c:v>
                </c:pt>
                <c:pt idx="168">
                  <c:v>0</c:v>
                </c:pt>
                <c:pt idx="169">
                  <c:v>638000</c:v>
                </c:pt>
                <c:pt idx="170">
                  <c:v>384541</c:v>
                </c:pt>
                <c:pt idx="171">
                  <c:v>42443</c:v>
                </c:pt>
                <c:pt idx="172">
                  <c:v>3500000</c:v>
                </c:pt>
                <c:pt idx="173">
                  <c:v>2000000</c:v>
                </c:pt>
                <c:pt idx="174">
                  <c:v>1899400</c:v>
                </c:pt>
                <c:pt idx="175">
                  <c:v>525600</c:v>
                </c:pt>
                <c:pt idx="176">
                  <c:v>7</c:v>
                </c:pt>
                <c:pt idx="177">
                  <c:v>11372</c:v>
                </c:pt>
                <c:pt idx="178">
                  <c:v>28200000</c:v>
                </c:pt>
                <c:pt idx="179">
                  <c:v>329800</c:v>
                </c:pt>
                <c:pt idx="180">
                  <c:v>1300000</c:v>
                </c:pt>
                <c:pt idx="181">
                  <c:v>3278000</c:v>
                </c:pt>
                <c:pt idx="182">
                  <c:v>10</c:v>
                </c:pt>
                <c:pt idx="183">
                  <c:v>3002</c:v>
                </c:pt>
                <c:pt idx="184">
                  <c:v>404000</c:v>
                </c:pt>
                <c:pt idx="185">
                  <c:v>1</c:v>
                </c:pt>
                <c:pt idx="186">
                  <c:v>20</c:v>
                </c:pt>
                <c:pt idx="187">
                  <c:v>875510</c:v>
                </c:pt>
                <c:pt idx="188">
                  <c:v>169000</c:v>
                </c:pt>
                <c:pt idx="189">
                  <c:v>12100</c:v>
                </c:pt>
                <c:pt idx="190">
                  <c:v>214400</c:v>
                </c:pt>
                <c:pt idx="191">
                  <c:v>57200</c:v>
                </c:pt>
                <c:pt idx="192">
                  <c:v>1644700</c:v>
                </c:pt>
                <c:pt idx="193">
                  <c:v>13895300</c:v>
                </c:pt>
                <c:pt idx="194">
                  <c:v>2403819</c:v>
                </c:pt>
                <c:pt idx="195">
                  <c:v>7139305</c:v>
                </c:pt>
                <c:pt idx="196">
                  <c:v>6284767</c:v>
                </c:pt>
                <c:pt idx="197">
                  <c:v>113391</c:v>
                </c:pt>
                <c:pt idx="198">
                  <c:v>226871</c:v>
                </c:pt>
                <c:pt idx="199">
                  <c:v>5338852</c:v>
                </c:pt>
                <c:pt idx="200">
                  <c:v>5291368</c:v>
                </c:pt>
                <c:pt idx="201">
                  <c:v>6043152</c:v>
                </c:pt>
                <c:pt idx="202">
                  <c:v>7356635</c:v>
                </c:pt>
                <c:pt idx="203">
                  <c:v>4810669</c:v>
                </c:pt>
                <c:pt idx="204">
                  <c:v>8463230</c:v>
                </c:pt>
                <c:pt idx="205">
                  <c:v>6216961</c:v>
                </c:pt>
                <c:pt idx="206">
                  <c:v>3973045</c:v>
                </c:pt>
                <c:pt idx="207">
                  <c:v>11680546</c:v>
                </c:pt>
                <c:pt idx="208">
                  <c:v>5755915</c:v>
                </c:pt>
                <c:pt idx="209">
                  <c:v>4894433</c:v>
                </c:pt>
                <c:pt idx="210">
                  <c:v>2722411</c:v>
                </c:pt>
                <c:pt idx="211">
                  <c:v>62006900</c:v>
                </c:pt>
                <c:pt idx="212">
                  <c:v>4054082</c:v>
                </c:pt>
                <c:pt idx="213">
                  <c:v>25</c:v>
                </c:pt>
                <c:pt idx="214">
                  <c:v>2001358</c:v>
                </c:pt>
                <c:pt idx="215">
                  <c:v>140450</c:v>
                </c:pt>
                <c:pt idx="216">
                  <c:v>486862</c:v>
                </c:pt>
                <c:pt idx="217">
                  <c:v>17703678</c:v>
                </c:pt>
                <c:pt idx="218">
                  <c:v>9314610</c:v>
                </c:pt>
                <c:pt idx="219">
                  <c:v>601470</c:v>
                </c:pt>
                <c:pt idx="220">
                  <c:v>5568700</c:v>
                </c:pt>
                <c:pt idx="221">
                  <c:v>5226744</c:v>
                </c:pt>
                <c:pt idx="222">
                  <c:v>4034341</c:v>
                </c:pt>
                <c:pt idx="223">
                  <c:v>1279986</c:v>
                </c:pt>
                <c:pt idx="224">
                  <c:v>586422</c:v>
                </c:pt>
                <c:pt idx="225">
                  <c:v>3205249</c:v>
                </c:pt>
                <c:pt idx="226">
                  <c:v>2588200</c:v>
                </c:pt>
                <c:pt idx="227">
                  <c:v>12210600</c:v>
                </c:pt>
                <c:pt idx="228">
                  <c:v>2162600</c:v>
                </c:pt>
                <c:pt idx="229">
                  <c:v>4920800</c:v>
                </c:pt>
                <c:pt idx="230">
                  <c:v>3</c:v>
                </c:pt>
                <c:pt idx="231">
                  <c:v>3617500</c:v>
                </c:pt>
                <c:pt idx="232">
                  <c:v>250024</c:v>
                </c:pt>
                <c:pt idx="233">
                  <c:v>346466</c:v>
                </c:pt>
                <c:pt idx="234">
                  <c:v>5700172</c:v>
                </c:pt>
                <c:pt idx="235">
                  <c:v>1000000</c:v>
                </c:pt>
                <c:pt idx="236">
                  <c:v>746700</c:v>
                </c:pt>
                <c:pt idx="237">
                  <c:v>3808366</c:v>
                </c:pt>
                <c:pt idx="238">
                  <c:v>356568</c:v>
                </c:pt>
                <c:pt idx="239">
                  <c:v>2108324</c:v>
                </c:pt>
                <c:pt idx="240">
                  <c:v>14500</c:v>
                </c:pt>
                <c:pt idx="241">
                  <c:v>0</c:v>
                </c:pt>
                <c:pt idx="242">
                  <c:v>221300</c:v>
                </c:pt>
                <c:pt idx="243">
                  <c:v>285700</c:v>
                </c:pt>
                <c:pt idx="244">
                  <c:v>25208005</c:v>
                </c:pt>
                <c:pt idx="245">
                  <c:v>4278300</c:v>
                </c:pt>
                <c:pt idx="246">
                  <c:v>150</c:v>
                </c:pt>
                <c:pt idx="247">
                  <c:v>27300</c:v>
                </c:pt>
                <c:pt idx="248">
                  <c:v>577223</c:v>
                </c:pt>
                <c:pt idx="249">
                  <c:v>2438103</c:v>
                </c:pt>
                <c:pt idx="250">
                  <c:v>297100</c:v>
                </c:pt>
                <c:pt idx="251">
                  <c:v>1152</c:v>
                </c:pt>
                <c:pt idx="252">
                  <c:v>8</c:v>
                </c:pt>
                <c:pt idx="253">
                  <c:v>8200000</c:v>
                </c:pt>
                <c:pt idx="254">
                  <c:v>531500</c:v>
                </c:pt>
                <c:pt idx="255">
                  <c:v>6459900</c:v>
                </c:pt>
                <c:pt idx="256">
                  <c:v>1848</c:v>
                </c:pt>
                <c:pt idx="257">
                  <c:v>11948500</c:v>
                </c:pt>
                <c:pt idx="258">
                  <c:v>870900</c:v>
                </c:pt>
                <c:pt idx="259">
                  <c:v>611100</c:v>
                </c:pt>
                <c:pt idx="260">
                  <c:v>3547</c:v>
                </c:pt>
                <c:pt idx="261">
                  <c:v>1700000</c:v>
                </c:pt>
                <c:pt idx="262">
                  <c:v>1534200</c:v>
                </c:pt>
                <c:pt idx="263">
                  <c:v>6796</c:v>
                </c:pt>
                <c:pt idx="264">
                  <c:v>3980300</c:v>
                </c:pt>
                <c:pt idx="265">
                  <c:v>627200</c:v>
                </c:pt>
                <c:pt idx="266">
                  <c:v>11200</c:v>
                </c:pt>
                <c:pt idx="267">
                  <c:v>615200</c:v>
                </c:pt>
                <c:pt idx="268">
                  <c:v>341200</c:v>
                </c:pt>
                <c:pt idx="269">
                  <c:v>18900</c:v>
                </c:pt>
                <c:pt idx="270">
                  <c:v>0</c:v>
                </c:pt>
                <c:pt idx="271">
                  <c:v>571621</c:v>
                </c:pt>
                <c:pt idx="272">
                  <c:v>59660</c:v>
                </c:pt>
                <c:pt idx="273">
                  <c:v>5266</c:v>
                </c:pt>
                <c:pt idx="274">
                  <c:v>1100000</c:v>
                </c:pt>
                <c:pt idx="275">
                  <c:v>891300</c:v>
                </c:pt>
                <c:pt idx="276">
                  <c:v>7746</c:v>
                </c:pt>
                <c:pt idx="277">
                  <c:v>210091</c:v>
                </c:pt>
                <c:pt idx="278">
                  <c:v>930600</c:v>
                </c:pt>
                <c:pt idx="279">
                  <c:v>16600000</c:v>
                </c:pt>
                <c:pt idx="280">
                  <c:v>194240</c:v>
                </c:pt>
                <c:pt idx="281">
                  <c:v>128964</c:v>
                </c:pt>
                <c:pt idx="282">
                  <c:v>629900</c:v>
                </c:pt>
                <c:pt idx="283">
                  <c:v>15400</c:v>
                </c:pt>
                <c:pt idx="284">
                  <c:v>1148100</c:v>
                </c:pt>
                <c:pt idx="285">
                  <c:v>1400000</c:v>
                </c:pt>
                <c:pt idx="286">
                  <c:v>1861616</c:v>
                </c:pt>
                <c:pt idx="287">
                  <c:v>1000000</c:v>
                </c:pt>
                <c:pt idx="288">
                  <c:v>585800</c:v>
                </c:pt>
                <c:pt idx="289">
                  <c:v>329112</c:v>
                </c:pt>
                <c:pt idx="290">
                  <c:v>190100</c:v>
                </c:pt>
                <c:pt idx="291">
                  <c:v>867200</c:v>
                </c:pt>
                <c:pt idx="292">
                  <c:v>353900</c:v>
                </c:pt>
                <c:pt idx="293">
                  <c:v>18515</c:v>
                </c:pt>
                <c:pt idx="294">
                  <c:v>2300000</c:v>
                </c:pt>
                <c:pt idx="295">
                  <c:v>415600</c:v>
                </c:pt>
                <c:pt idx="296">
                  <c:v>203400</c:v>
                </c:pt>
                <c:pt idx="297">
                  <c:v>10383808</c:v>
                </c:pt>
                <c:pt idx="298">
                  <c:v>3466</c:v>
                </c:pt>
                <c:pt idx="299">
                  <c:v>4543200</c:v>
                </c:pt>
                <c:pt idx="300">
                  <c:v>2800000</c:v>
                </c:pt>
                <c:pt idx="301">
                  <c:v>11300</c:v>
                </c:pt>
                <c:pt idx="302">
                  <c:v>1400000</c:v>
                </c:pt>
                <c:pt idx="303">
                  <c:v>4682</c:v>
                </c:pt>
                <c:pt idx="304">
                  <c:v>26300</c:v>
                </c:pt>
                <c:pt idx="305">
                  <c:v>2254</c:v>
                </c:pt>
                <c:pt idx="306">
                  <c:v>10214</c:v>
                </c:pt>
                <c:pt idx="307">
                  <c:v>391803</c:v>
                </c:pt>
                <c:pt idx="308">
                  <c:v>1151</c:v>
                </c:pt>
                <c:pt idx="309">
                  <c:v>1031574</c:v>
                </c:pt>
                <c:pt idx="310">
                  <c:v>472574</c:v>
                </c:pt>
                <c:pt idx="311">
                  <c:v>0</c:v>
                </c:pt>
                <c:pt idx="312">
                  <c:v>6</c:v>
                </c:pt>
                <c:pt idx="313">
                  <c:v>35</c:v>
                </c:pt>
                <c:pt idx="314">
                  <c:v>587000</c:v>
                </c:pt>
                <c:pt idx="315">
                  <c:v>592800</c:v>
                </c:pt>
                <c:pt idx="316">
                  <c:v>751300</c:v>
                </c:pt>
                <c:pt idx="317">
                  <c:v>752300</c:v>
                </c:pt>
                <c:pt idx="318">
                  <c:v>844700</c:v>
                </c:pt>
                <c:pt idx="319">
                  <c:v>365001</c:v>
                </c:pt>
                <c:pt idx="320">
                  <c:v>1103700</c:v>
                </c:pt>
                <c:pt idx="321">
                  <c:v>4753</c:v>
                </c:pt>
                <c:pt idx="322">
                  <c:v>393897</c:v>
                </c:pt>
                <c:pt idx="323">
                  <c:v>562034</c:v>
                </c:pt>
                <c:pt idx="324">
                  <c:v>0</c:v>
                </c:pt>
                <c:pt idx="325">
                  <c:v>13800</c:v>
                </c:pt>
                <c:pt idx="326">
                  <c:v>59100</c:v>
                </c:pt>
                <c:pt idx="327">
                  <c:v>11</c:v>
                </c:pt>
                <c:pt idx="328">
                  <c:v>4581</c:v>
                </c:pt>
                <c:pt idx="329">
                  <c:v>58</c:v>
                </c:pt>
                <c:pt idx="330">
                  <c:v>606601</c:v>
                </c:pt>
                <c:pt idx="331">
                  <c:v>47400</c:v>
                </c:pt>
                <c:pt idx="332">
                  <c:v>5640834</c:v>
                </c:pt>
                <c:pt idx="333">
                  <c:v>563200</c:v>
                </c:pt>
                <c:pt idx="334">
                  <c:v>2918700</c:v>
                </c:pt>
                <c:pt idx="335">
                  <c:v>148200</c:v>
                </c:pt>
                <c:pt idx="336">
                  <c:v>0</c:v>
                </c:pt>
                <c:pt idx="337">
                  <c:v>340</c:v>
                </c:pt>
                <c:pt idx="338">
                  <c:v>1000049</c:v>
                </c:pt>
                <c:pt idx="339">
                  <c:v>868600</c:v>
                </c:pt>
                <c:pt idx="340">
                  <c:v>6800000</c:v>
                </c:pt>
                <c:pt idx="341">
                  <c:v>1243000</c:v>
                </c:pt>
                <c:pt idx="342">
                  <c:v>2601336</c:v>
                </c:pt>
                <c:pt idx="343">
                  <c:v>948400</c:v>
                </c:pt>
                <c:pt idx="344">
                  <c:v>29500</c:v>
                </c:pt>
                <c:pt idx="345">
                  <c:v>18700</c:v>
                </c:pt>
                <c:pt idx="346">
                  <c:v>52600</c:v>
                </c:pt>
                <c:pt idx="347">
                  <c:v>555</c:v>
                </c:pt>
                <c:pt idx="348">
                  <c:v>0</c:v>
                </c:pt>
                <c:pt idx="349">
                  <c:v>102900</c:v>
                </c:pt>
                <c:pt idx="350">
                  <c:v>514500</c:v>
                </c:pt>
                <c:pt idx="351">
                  <c:v>4700000</c:v>
                </c:pt>
                <c:pt idx="352">
                  <c:v>177900</c:v>
                </c:pt>
                <c:pt idx="353">
                  <c:v>45533</c:v>
                </c:pt>
                <c:pt idx="354">
                  <c:v>775859</c:v>
                </c:pt>
                <c:pt idx="355">
                  <c:v>0</c:v>
                </c:pt>
                <c:pt idx="356">
                  <c:v>161</c:v>
                </c:pt>
                <c:pt idx="357">
                  <c:v>577800</c:v>
                </c:pt>
                <c:pt idx="358">
                  <c:v>2961</c:v>
                </c:pt>
                <c:pt idx="359">
                  <c:v>616200</c:v>
                </c:pt>
                <c:pt idx="360">
                  <c:v>36700106</c:v>
                </c:pt>
                <c:pt idx="361">
                  <c:v>89123</c:v>
                </c:pt>
                <c:pt idx="362">
                  <c:v>350400</c:v>
                </c:pt>
                <c:pt idx="363">
                  <c:v>902500</c:v>
                </c:pt>
                <c:pt idx="364">
                  <c:v>412177</c:v>
                </c:pt>
                <c:pt idx="365">
                  <c:v>2629600</c:v>
                </c:pt>
                <c:pt idx="366">
                  <c:v>2200000</c:v>
                </c:pt>
                <c:pt idx="367">
                  <c:v>3800000</c:v>
                </c:pt>
                <c:pt idx="368">
                  <c:v>8</c:v>
                </c:pt>
                <c:pt idx="369">
                  <c:v>449200</c:v>
                </c:pt>
                <c:pt idx="370">
                  <c:v>123001</c:v>
                </c:pt>
                <c:pt idx="371">
                  <c:v>79000</c:v>
                </c:pt>
                <c:pt idx="372">
                  <c:v>8181700</c:v>
                </c:pt>
                <c:pt idx="373">
                  <c:v>1500032</c:v>
                </c:pt>
                <c:pt idx="374">
                  <c:v>109</c:v>
                </c:pt>
                <c:pt idx="375">
                  <c:v>1200000</c:v>
                </c:pt>
                <c:pt idx="376">
                  <c:v>293000</c:v>
                </c:pt>
                <c:pt idx="377">
                  <c:v>36</c:v>
                </c:pt>
                <c:pt idx="378">
                  <c:v>861700</c:v>
                </c:pt>
                <c:pt idx="379">
                  <c:v>58800</c:v>
                </c:pt>
                <c:pt idx="380">
                  <c:v>1761600</c:v>
                </c:pt>
                <c:pt idx="381">
                  <c:v>1000053</c:v>
                </c:pt>
                <c:pt idx="382">
                  <c:v>15</c:v>
                </c:pt>
                <c:pt idx="383">
                  <c:v>1900000</c:v>
                </c:pt>
                <c:pt idx="384">
                  <c:v>217600</c:v>
                </c:pt>
                <c:pt idx="385">
                  <c:v>654291</c:v>
                </c:pt>
                <c:pt idx="386">
                  <c:v>19500000</c:v>
                </c:pt>
                <c:pt idx="387">
                  <c:v>1500000</c:v>
                </c:pt>
                <c:pt idx="388">
                  <c:v>778100</c:v>
                </c:pt>
                <c:pt idx="389">
                  <c:v>1700000</c:v>
                </c:pt>
                <c:pt idx="390">
                  <c:v>2200000</c:v>
                </c:pt>
                <c:pt idx="391">
                  <c:v>265400</c:v>
                </c:pt>
                <c:pt idx="392">
                  <c:v>2129600</c:v>
                </c:pt>
                <c:pt idx="393">
                  <c:v>120400</c:v>
                </c:pt>
                <c:pt idx="394">
                  <c:v>300</c:v>
                </c:pt>
                <c:pt idx="395">
                  <c:v>3401000</c:v>
                </c:pt>
                <c:pt idx="396">
                  <c:v>143400</c:v>
                </c:pt>
                <c:pt idx="397">
                  <c:v>31</c:v>
                </c:pt>
                <c:pt idx="398">
                  <c:v>0</c:v>
                </c:pt>
                <c:pt idx="399">
                  <c:v>271823</c:v>
                </c:pt>
                <c:pt idx="400">
                  <c:v>5014</c:v>
                </c:pt>
                <c:pt idx="401">
                  <c:v>65900</c:v>
                </c:pt>
                <c:pt idx="402">
                  <c:v>1042</c:v>
                </c:pt>
                <c:pt idx="403">
                  <c:v>1487</c:v>
                </c:pt>
                <c:pt idx="404">
                  <c:v>1</c:v>
                </c:pt>
                <c:pt idx="405">
                  <c:v>790500</c:v>
                </c:pt>
                <c:pt idx="406">
                  <c:v>20</c:v>
                </c:pt>
                <c:pt idx="407">
                  <c:v>682400</c:v>
                </c:pt>
                <c:pt idx="408">
                  <c:v>173600</c:v>
                </c:pt>
                <c:pt idx="409">
                  <c:v>43101</c:v>
                </c:pt>
                <c:pt idx="410">
                  <c:v>1200000</c:v>
                </c:pt>
                <c:pt idx="411">
                  <c:v>77300</c:v>
                </c:pt>
                <c:pt idx="412">
                  <c:v>0</c:v>
                </c:pt>
                <c:pt idx="413">
                  <c:v>260471</c:v>
                </c:pt>
                <c:pt idx="414">
                  <c:v>1420</c:v>
                </c:pt>
                <c:pt idx="415">
                  <c:v>101400</c:v>
                </c:pt>
                <c:pt idx="416">
                  <c:v>110500</c:v>
                </c:pt>
                <c:pt idx="417">
                  <c:v>11300090</c:v>
                </c:pt>
                <c:pt idx="418">
                  <c:v>351500</c:v>
                </c:pt>
                <c:pt idx="419">
                  <c:v>0</c:v>
                </c:pt>
                <c:pt idx="420">
                  <c:v>231200</c:v>
                </c:pt>
                <c:pt idx="421">
                  <c:v>0</c:v>
                </c:pt>
                <c:pt idx="422">
                  <c:v>0</c:v>
                </c:pt>
                <c:pt idx="423">
                  <c:v>1</c:v>
                </c:pt>
                <c:pt idx="424">
                  <c:v>3500000</c:v>
                </c:pt>
                <c:pt idx="425">
                  <c:v>378900</c:v>
                </c:pt>
                <c:pt idx="426">
                  <c:v>87500</c:v>
                </c:pt>
                <c:pt idx="427">
                  <c:v>163800</c:v>
                </c:pt>
                <c:pt idx="428">
                  <c:v>1200000</c:v>
                </c:pt>
                <c:pt idx="429">
                  <c:v>147700</c:v>
                </c:pt>
                <c:pt idx="430">
                  <c:v>103</c:v>
                </c:pt>
                <c:pt idx="431">
                  <c:v>0</c:v>
                </c:pt>
                <c:pt idx="432">
                  <c:v>4653</c:v>
                </c:pt>
                <c:pt idx="433">
                  <c:v>137400</c:v>
                </c:pt>
                <c:pt idx="434">
                  <c:v>167</c:v>
                </c:pt>
                <c:pt idx="435">
                  <c:v>1500000</c:v>
                </c:pt>
                <c:pt idx="436">
                  <c:v>0</c:v>
                </c:pt>
                <c:pt idx="437">
                  <c:v>1</c:v>
                </c:pt>
                <c:pt idx="438">
                  <c:v>7</c:v>
                </c:pt>
                <c:pt idx="439">
                  <c:v>80</c:v>
                </c:pt>
                <c:pt idx="440">
                  <c:v>547200</c:v>
                </c:pt>
                <c:pt idx="441">
                  <c:v>2200000</c:v>
                </c:pt>
                <c:pt idx="442">
                  <c:v>42100</c:v>
                </c:pt>
                <c:pt idx="443">
                  <c:v>0</c:v>
                </c:pt>
                <c:pt idx="444">
                  <c:v>211600</c:v>
                </c:pt>
                <c:pt idx="445">
                  <c:v>0</c:v>
                </c:pt>
                <c:pt idx="446">
                  <c:v>0</c:v>
                </c:pt>
                <c:pt idx="447">
                  <c:v>3000000</c:v>
                </c:pt>
                <c:pt idx="448">
                  <c:v>3</c:v>
                </c:pt>
                <c:pt idx="449">
                  <c:v>430200</c:v>
                </c:pt>
                <c:pt idx="450">
                  <c:v>873</c:v>
                </c:pt>
                <c:pt idx="451">
                  <c:v>1420</c:v>
                </c:pt>
                <c:pt idx="452">
                  <c:v>0</c:v>
                </c:pt>
                <c:pt idx="453">
                  <c:v>6</c:v>
                </c:pt>
                <c:pt idx="454">
                  <c:v>240900</c:v>
                </c:pt>
                <c:pt idx="455">
                  <c:v>2033</c:v>
                </c:pt>
                <c:pt idx="456">
                  <c:v>198900</c:v>
                </c:pt>
                <c:pt idx="457">
                  <c:v>2300000</c:v>
                </c:pt>
                <c:pt idx="458">
                  <c:v>8200000</c:v>
                </c:pt>
                <c:pt idx="459">
                  <c:v>126</c:v>
                </c:pt>
                <c:pt idx="460">
                  <c:v>2600000</c:v>
                </c:pt>
                <c:pt idx="461">
                  <c:v>131000</c:v>
                </c:pt>
                <c:pt idx="462">
                  <c:v>0</c:v>
                </c:pt>
                <c:pt idx="463">
                  <c:v>211600</c:v>
                </c:pt>
                <c:pt idx="464">
                  <c:v>32000</c:v>
                </c:pt>
              </c:numCache>
            </c:numRef>
          </c:val>
          <c:extLst>
            <c:ext xmlns:c16="http://schemas.microsoft.com/office/drawing/2014/chart" uri="{C3380CC4-5D6E-409C-BE32-E72D297353CC}">
              <c16:uniqueId val="{00000002-CEDA-4EC0-8058-206651279161}"/>
            </c:ext>
          </c:extLst>
        </c:ser>
        <c:dLbls>
          <c:showLegendKey val="0"/>
          <c:showVal val="0"/>
          <c:showCatName val="0"/>
          <c:showSerName val="0"/>
          <c:showPercent val="0"/>
          <c:showBubbleSize val="0"/>
        </c:dLbls>
        <c:gapWidth val="219"/>
        <c:overlap val="-27"/>
        <c:axId val="993947791"/>
        <c:axId val="1762455503"/>
      </c:barChart>
      <c:catAx>
        <c:axId val="993947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2455503"/>
        <c:crosses val="autoZero"/>
        <c:auto val="1"/>
        <c:lblAlgn val="ctr"/>
        <c:lblOffset val="100"/>
        <c:noMultiLvlLbl val="0"/>
      </c:catAx>
      <c:valAx>
        <c:axId val="1762455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947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R$2" max="1200" noThreeD="1" page="10" val="0"/>
</file>

<file path=xl/ctrlProps/ctrlProp2.xml><?xml version="1.0" encoding="utf-8"?>
<formControlPr xmlns="http://schemas.microsoft.com/office/spreadsheetml/2009/9/main" objectType="Scroll" dx="22" fmlaLink="$R$3" horiz="1" max="25" page="10" val="0"/>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25</xdr:col>
      <xdr:colOff>13025</xdr:colOff>
      <xdr:row>18</xdr:row>
      <xdr:rowOff>0</xdr:rowOff>
    </xdr:from>
    <xdr:to>
      <xdr:col>29</xdr:col>
      <xdr:colOff>27561</xdr:colOff>
      <xdr:row>19</xdr:row>
      <xdr:rowOff>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2014525" y="3048000"/>
          <a:ext cx="2414836" cy="190500"/>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editAs="oneCell">
    <xdr:from>
      <xdr:col>1</xdr:col>
      <xdr:colOff>148738</xdr:colOff>
      <xdr:row>1</xdr:row>
      <xdr:rowOff>53687</xdr:rowOff>
    </xdr:from>
    <xdr:to>
      <xdr:col>3</xdr:col>
      <xdr:colOff>296012</xdr:colOff>
      <xdr:row>3</xdr:row>
      <xdr:rowOff>85183</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3988" y="148937"/>
          <a:ext cx="1290274" cy="412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24</xdr:col>
      <xdr:colOff>566853</xdr:colOff>
      <xdr:row>41</xdr:row>
      <xdr:rowOff>161789</xdr:rowOff>
    </xdr:from>
    <xdr:to>
      <xdr:col>27</xdr:col>
      <xdr:colOff>77439</xdr:colOff>
      <xdr:row>43</xdr:row>
      <xdr:rowOff>22398</xdr:rowOff>
    </xdr:to>
    <xdr:sp macro="[0]!Update_scores.Update_scores" textlink="">
      <xdr:nvSpPr>
        <xdr:cNvPr id="4" name="Rectangle: Rounded Corners 3">
          <a:extLst>
            <a:ext uri="{FF2B5EF4-FFF2-40B4-BE49-F238E27FC236}">
              <a16:creationId xmlns:a16="http://schemas.microsoft.com/office/drawing/2014/main" id="{00000000-0008-0000-0000-000004000000}"/>
            </a:ext>
          </a:extLst>
        </xdr:cNvPr>
        <xdr:cNvSpPr/>
      </xdr:nvSpPr>
      <xdr:spPr>
        <a:xfrm>
          <a:off x="11425353" y="7334847"/>
          <a:ext cx="1261721" cy="226955"/>
        </a:xfrm>
        <a:prstGeom prst="roundRect">
          <a:avLst>
            <a:gd name="adj" fmla="val 50000"/>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100"/>
            <a:t>Calculate Score</a:t>
          </a:r>
        </a:p>
      </xdr:txBody>
    </xdr:sp>
    <xdr:clientData/>
  </xdr:twoCellAnchor>
  <xdr:twoCellAnchor>
    <xdr:from>
      <xdr:col>25</xdr:col>
      <xdr:colOff>0</xdr:colOff>
      <xdr:row>21</xdr:row>
      <xdr:rowOff>0</xdr:rowOff>
    </xdr:from>
    <xdr:to>
      <xdr:col>29</xdr:col>
      <xdr:colOff>12987</xdr:colOff>
      <xdr:row>22</xdr:row>
      <xdr:rowOff>0</xdr:rowOff>
    </xdr:to>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2001500" y="3429000"/>
          <a:ext cx="2413287" cy="180975"/>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25</xdr:col>
      <xdr:colOff>0</xdr:colOff>
      <xdr:row>23</xdr:row>
      <xdr:rowOff>0</xdr:rowOff>
    </xdr:from>
    <xdr:to>
      <xdr:col>29</xdr:col>
      <xdr:colOff>12987</xdr:colOff>
      <xdr:row>24</xdr:row>
      <xdr:rowOff>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2001500" y="3790950"/>
          <a:ext cx="2413287" cy="190500"/>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25</xdr:col>
      <xdr:colOff>0</xdr:colOff>
      <xdr:row>25</xdr:row>
      <xdr:rowOff>0</xdr:rowOff>
    </xdr:from>
    <xdr:to>
      <xdr:col>29</xdr:col>
      <xdr:colOff>12987</xdr:colOff>
      <xdr:row>26</xdr:row>
      <xdr:rowOff>0</xdr:rowOff>
    </xdr:to>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12001500" y="4171950"/>
          <a:ext cx="2413287" cy="180975"/>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25</xdr:col>
      <xdr:colOff>0</xdr:colOff>
      <xdr:row>27</xdr:row>
      <xdr:rowOff>0</xdr:rowOff>
    </xdr:from>
    <xdr:to>
      <xdr:col>29</xdr:col>
      <xdr:colOff>12987</xdr:colOff>
      <xdr:row>28</xdr:row>
      <xdr:rowOff>0</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12001500" y="4543425"/>
          <a:ext cx="2413287" cy="190500"/>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25</xdr:col>
      <xdr:colOff>0</xdr:colOff>
      <xdr:row>29</xdr:row>
      <xdr:rowOff>0</xdr:rowOff>
    </xdr:from>
    <xdr:to>
      <xdr:col>29</xdr:col>
      <xdr:colOff>12987</xdr:colOff>
      <xdr:row>30</xdr:row>
      <xdr:rowOff>0</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1430000" y="5114925"/>
          <a:ext cx="2432337" cy="190500"/>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25</xdr:col>
      <xdr:colOff>0</xdr:colOff>
      <xdr:row>31</xdr:row>
      <xdr:rowOff>0</xdr:rowOff>
    </xdr:from>
    <xdr:to>
      <xdr:col>29</xdr:col>
      <xdr:colOff>12987</xdr:colOff>
      <xdr:row>32</xdr:row>
      <xdr:rowOff>0</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12001500" y="5295900"/>
          <a:ext cx="2413287" cy="180975"/>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25</xdr:col>
      <xdr:colOff>0</xdr:colOff>
      <xdr:row>34</xdr:row>
      <xdr:rowOff>0</xdr:rowOff>
    </xdr:from>
    <xdr:to>
      <xdr:col>29</xdr:col>
      <xdr:colOff>12987</xdr:colOff>
      <xdr:row>35</xdr:row>
      <xdr:rowOff>0</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12001500" y="5657850"/>
          <a:ext cx="2413287" cy="180975"/>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25</xdr:col>
      <xdr:colOff>0</xdr:colOff>
      <xdr:row>36</xdr:row>
      <xdr:rowOff>0</xdr:rowOff>
    </xdr:from>
    <xdr:to>
      <xdr:col>29</xdr:col>
      <xdr:colOff>12987</xdr:colOff>
      <xdr:row>37</xdr:row>
      <xdr:rowOff>0</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12001500" y="6019800"/>
          <a:ext cx="2413287" cy="190500"/>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25</xdr:col>
      <xdr:colOff>0</xdr:colOff>
      <xdr:row>38</xdr:row>
      <xdr:rowOff>0</xdr:rowOff>
    </xdr:from>
    <xdr:to>
      <xdr:col>29</xdr:col>
      <xdr:colOff>12987</xdr:colOff>
      <xdr:row>39</xdr:row>
      <xdr:rowOff>0</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12001500" y="6400800"/>
          <a:ext cx="2413287" cy="190500"/>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25</xdr:col>
      <xdr:colOff>0</xdr:colOff>
      <xdr:row>40</xdr:row>
      <xdr:rowOff>0</xdr:rowOff>
    </xdr:from>
    <xdr:to>
      <xdr:col>29</xdr:col>
      <xdr:colOff>12987</xdr:colOff>
      <xdr:row>41</xdr:row>
      <xdr:rowOff>0</xdr:rowOff>
    </xdr:to>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12001500" y="6772275"/>
          <a:ext cx="2413287" cy="180975"/>
        </a:xfrm>
        <a:prstGeom prst="roundRect">
          <a:avLst>
            <a:gd name="adj" fmla="val 22251"/>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editAs="oneCell">
    <xdr:from>
      <xdr:col>5</xdr:col>
      <xdr:colOff>15488</xdr:colOff>
      <xdr:row>1</xdr:row>
      <xdr:rowOff>95195</xdr:rowOff>
    </xdr:from>
    <xdr:to>
      <xdr:col>7</xdr:col>
      <xdr:colOff>0</xdr:colOff>
      <xdr:row>3</xdr:row>
      <xdr:rowOff>126680</xdr:rowOff>
    </xdr:to>
    <xdr:pic>
      <xdr:nvPicPr>
        <xdr:cNvPr id="20" name="Picture 19">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20488" y="190445"/>
          <a:ext cx="1127512" cy="412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512380</xdr:colOff>
      <xdr:row>1</xdr:row>
      <xdr:rowOff>91966</xdr:rowOff>
    </xdr:from>
    <xdr:to>
      <xdr:col>3</xdr:col>
      <xdr:colOff>512380</xdr:colOff>
      <xdr:row>3</xdr:row>
      <xdr:rowOff>124811</xdr:rowOff>
    </xdr:to>
    <xdr:cxnSp macro="">
      <xdr:nvCxnSpPr>
        <xdr:cNvPr id="21" name="Straight Connector 20">
          <a:extLst>
            <a:ext uri="{FF2B5EF4-FFF2-40B4-BE49-F238E27FC236}">
              <a16:creationId xmlns:a16="http://schemas.microsoft.com/office/drawing/2014/main" id="{00000000-0008-0000-0000-000015000000}"/>
            </a:ext>
          </a:extLst>
        </xdr:cNvPr>
        <xdr:cNvCxnSpPr/>
      </xdr:nvCxnSpPr>
      <xdr:spPr>
        <a:xfrm>
          <a:off x="1750630" y="187216"/>
          <a:ext cx="0" cy="41384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181648</xdr:colOff>
      <xdr:row>1</xdr:row>
      <xdr:rowOff>171450</xdr:rowOff>
    </xdr:from>
    <xdr:to>
      <xdr:col>24</xdr:col>
      <xdr:colOff>410248</xdr:colOff>
      <xdr:row>3</xdr:row>
      <xdr:rowOff>19050</xdr:rowOff>
    </xdr:to>
    <xdr:pic macro="[0]!Refresh_db_macro">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063008" y="270510"/>
          <a:ext cx="228600" cy="228600"/>
        </a:xfrm>
        <a:prstGeom prst="rect">
          <a:avLst/>
        </a:prstGeom>
      </xdr:spPr>
    </xdr:pic>
    <xdr:clientData/>
  </xdr:twoCellAnchor>
  <xdr:twoCellAnchor>
    <xdr:from>
      <xdr:col>18</xdr:col>
      <xdr:colOff>485775</xdr:colOff>
      <xdr:row>1</xdr:row>
      <xdr:rowOff>28575</xdr:rowOff>
    </xdr:from>
    <xdr:to>
      <xdr:col>20</xdr:col>
      <xdr:colOff>533400</xdr:colOff>
      <xdr:row>3</xdr:row>
      <xdr:rowOff>152400</xdr:rowOff>
    </xdr:to>
    <xdr:sp macro="[0]!HideStuff_db" textlink="">
      <xdr:nvSpPr>
        <xdr:cNvPr id="31" name="Rectangle 30">
          <a:extLst>
            <a:ext uri="{FF2B5EF4-FFF2-40B4-BE49-F238E27FC236}">
              <a16:creationId xmlns:a16="http://schemas.microsoft.com/office/drawing/2014/main" id="{00000000-0008-0000-0000-00001F000000}"/>
            </a:ext>
          </a:extLst>
        </xdr:cNvPr>
        <xdr:cNvSpPr/>
      </xdr:nvSpPr>
      <xdr:spPr>
        <a:xfrm>
          <a:off x="8391525" y="123825"/>
          <a:ext cx="1190625" cy="50482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100" u="sng"/>
            <a:t>Dashboard</a:t>
          </a:r>
        </a:p>
      </xdr:txBody>
    </xdr:sp>
    <xdr:clientData/>
  </xdr:twoCellAnchor>
  <xdr:twoCellAnchor>
    <xdr:from>
      <xdr:col>21</xdr:col>
      <xdr:colOff>19050</xdr:colOff>
      <xdr:row>1</xdr:row>
      <xdr:rowOff>28575</xdr:rowOff>
    </xdr:from>
    <xdr:to>
      <xdr:col>23</xdr:col>
      <xdr:colOff>66675</xdr:colOff>
      <xdr:row>3</xdr:row>
      <xdr:rowOff>152400</xdr:rowOff>
    </xdr:to>
    <xdr:sp macro="[0]!HideStuff_data" textlink="">
      <xdr:nvSpPr>
        <xdr:cNvPr id="32" name="Rectangle 31">
          <a:extLst>
            <a:ext uri="{FF2B5EF4-FFF2-40B4-BE49-F238E27FC236}">
              <a16:creationId xmlns:a16="http://schemas.microsoft.com/office/drawing/2014/main" id="{00000000-0008-0000-0000-000020000000}"/>
            </a:ext>
          </a:extLst>
        </xdr:cNvPr>
        <xdr:cNvSpPr/>
      </xdr:nvSpPr>
      <xdr:spPr>
        <a:xfrm>
          <a:off x="9639300" y="123825"/>
          <a:ext cx="1190625" cy="504825"/>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100" u="sng">
              <a:solidFill>
                <a:sysClr val="windowText" lastClr="000000"/>
              </a:solidFill>
              <a:latin typeface="SF Pro Bold" pitchFamily="2" charset="0"/>
              <a:ea typeface="SF Pro Bold" pitchFamily="2" charset="0"/>
              <a:cs typeface="SF Pro Bold" pitchFamily="2" charset="0"/>
            </a:rPr>
            <a:t>Data</a:t>
          </a:r>
        </a:p>
      </xdr:txBody>
    </xdr:sp>
    <xdr:clientData/>
  </xdr:twoCellAnchor>
  <xdr:twoCellAnchor>
    <xdr:from>
      <xdr:col>5</xdr:col>
      <xdr:colOff>0</xdr:colOff>
      <xdr:row>7</xdr:row>
      <xdr:rowOff>0</xdr:rowOff>
    </xdr:from>
    <xdr:to>
      <xdr:col>8</xdr:col>
      <xdr:colOff>560294</xdr:colOff>
      <xdr:row>18</xdr:row>
      <xdr:rowOff>168088</xdr:rowOff>
    </xdr:to>
    <xdr:graphicFrame macro="">
      <xdr:nvGraphicFramePr>
        <xdr:cNvPr id="41" name="Chart 40">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44823</xdr:colOff>
      <xdr:row>22</xdr:row>
      <xdr:rowOff>33618</xdr:rowOff>
    </xdr:from>
    <xdr:to>
      <xdr:col>12</xdr:col>
      <xdr:colOff>0</xdr:colOff>
      <xdr:row>31</xdr:row>
      <xdr:rowOff>156883</xdr:rowOff>
    </xdr:to>
    <xdr:graphicFrame macro="">
      <xdr:nvGraphicFramePr>
        <xdr:cNvPr id="42" name="Chart 41">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33617</xdr:colOff>
      <xdr:row>35</xdr:row>
      <xdr:rowOff>11207</xdr:rowOff>
    </xdr:from>
    <xdr:to>
      <xdr:col>11</xdr:col>
      <xdr:colOff>549088</xdr:colOff>
      <xdr:row>45</xdr:row>
      <xdr:rowOff>145677</xdr:rowOff>
    </xdr:to>
    <xdr:graphicFrame macro="">
      <xdr:nvGraphicFramePr>
        <xdr:cNvPr id="43" name="Chart 42">
          <a:extLst>
            <a:ext uri="{FF2B5EF4-FFF2-40B4-BE49-F238E27FC236}">
              <a16:creationId xmlns:a16="http://schemas.microsoft.com/office/drawing/2014/main" id="{00000000-0008-0000-0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61</xdr:row>
      <xdr:rowOff>0</xdr:rowOff>
    </xdr:from>
    <xdr:to>
      <xdr:col>20</xdr:col>
      <xdr:colOff>381000</xdr:colOff>
      <xdr:row>76</xdr:row>
      <xdr:rowOff>28575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0</xdr:colOff>
      <xdr:row>5</xdr:row>
      <xdr:rowOff>9526</xdr:rowOff>
    </xdr:from>
    <xdr:to>
      <xdr:col>3</xdr:col>
      <xdr:colOff>539115</xdr:colOff>
      <xdr:row>8</xdr:row>
      <xdr:rowOff>85725</xdr:rowOff>
    </xdr:to>
    <mc:AlternateContent xmlns:mc="http://schemas.openxmlformats.org/markup-compatibility/2006" xmlns:a14="http://schemas.microsoft.com/office/drawing/2010/main">
      <mc:Choice Requires="a14">
        <xdr:graphicFrame macro="">
          <xdr:nvGraphicFramePr>
            <xdr:cNvPr id="23" name="virality">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virality"/>
            </a:graphicData>
          </a:graphic>
        </xdr:graphicFrame>
      </mc:Choice>
      <mc:Fallback xmlns="">
        <xdr:sp macro="" textlink="">
          <xdr:nvSpPr>
            <xdr:cNvPr id="0" name=""/>
            <xdr:cNvSpPr>
              <a:spLocks noTextEdit="1"/>
            </xdr:cNvSpPr>
          </xdr:nvSpPr>
          <xdr:spPr>
            <a:xfrm>
              <a:off x="99060" y="779146"/>
              <a:ext cx="1685925" cy="647699"/>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9525</xdr:colOff>
      <xdr:row>8</xdr:row>
      <xdr:rowOff>114300</xdr:rowOff>
    </xdr:from>
    <xdr:to>
      <xdr:col>3</xdr:col>
      <xdr:colOff>542925</xdr:colOff>
      <xdr:row>13</xdr:row>
      <xdr:rowOff>123825</xdr:rowOff>
    </xdr:to>
    <mc:AlternateContent xmlns:mc="http://schemas.openxmlformats.org/markup-compatibility/2006" xmlns:a14="http://schemas.microsoft.com/office/drawing/2010/main">
      <mc:Choice Requires="a14">
        <xdr:graphicFrame macro="">
          <xdr:nvGraphicFramePr>
            <xdr:cNvPr id="24" name="Year_of_release">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Year_of_release"/>
            </a:graphicData>
          </a:graphic>
        </xdr:graphicFrame>
      </mc:Choice>
      <mc:Fallback xmlns="">
        <xdr:sp macro="" textlink="">
          <xdr:nvSpPr>
            <xdr:cNvPr id="0" name=""/>
            <xdr:cNvSpPr>
              <a:spLocks noTextEdit="1"/>
            </xdr:cNvSpPr>
          </xdr:nvSpPr>
          <xdr:spPr>
            <a:xfrm>
              <a:off x="108585" y="1455420"/>
              <a:ext cx="1676400" cy="9620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27110</xdr:colOff>
      <xdr:row>13</xdr:row>
      <xdr:rowOff>89387</xdr:rowOff>
    </xdr:from>
    <xdr:to>
      <xdr:col>3</xdr:col>
      <xdr:colOff>541460</xdr:colOff>
      <xdr:row>18</xdr:row>
      <xdr:rowOff>117962</xdr:rowOff>
    </xdr:to>
    <mc:AlternateContent xmlns:mc="http://schemas.openxmlformats.org/markup-compatibility/2006" xmlns:a14="http://schemas.microsoft.com/office/drawing/2010/main">
      <mc:Choice Requires="a14">
        <xdr:graphicFrame macro="">
          <xdr:nvGraphicFramePr>
            <xdr:cNvPr id="26" name="Song Performance">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Song Performance"/>
            </a:graphicData>
          </a:graphic>
        </xdr:graphicFrame>
      </mc:Choice>
      <mc:Fallback xmlns="">
        <xdr:sp macro="" textlink="">
          <xdr:nvSpPr>
            <xdr:cNvPr id="0" name=""/>
            <xdr:cNvSpPr>
              <a:spLocks noTextEdit="1"/>
            </xdr:cNvSpPr>
          </xdr:nvSpPr>
          <xdr:spPr>
            <a:xfrm>
              <a:off x="126170" y="2383007"/>
              <a:ext cx="1657350" cy="98107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68580</xdr:colOff>
      <xdr:row>22</xdr:row>
      <xdr:rowOff>38100</xdr:rowOff>
    </xdr:from>
    <xdr:to>
      <xdr:col>17</xdr:col>
      <xdr:colOff>381000</xdr:colOff>
      <xdr:row>45</xdr:row>
      <xdr:rowOff>114300</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24847</xdr:colOff>
      <xdr:row>22</xdr:row>
      <xdr:rowOff>51289</xdr:rowOff>
    </xdr:from>
    <xdr:to>
      <xdr:col>22</xdr:col>
      <xdr:colOff>528638</xdr:colOff>
      <xdr:row>45</xdr:row>
      <xdr:rowOff>133350</xdr:rowOff>
    </xdr:to>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447259</xdr:colOff>
      <xdr:row>19</xdr:row>
      <xdr:rowOff>41413</xdr:rowOff>
    </xdr:from>
    <xdr:to>
      <xdr:col>17</xdr:col>
      <xdr:colOff>546650</xdr:colOff>
      <xdr:row>46</xdr:row>
      <xdr:rowOff>16566</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7802216" y="3478696"/>
          <a:ext cx="99391" cy="4638261"/>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148738</xdr:colOff>
      <xdr:row>1</xdr:row>
      <xdr:rowOff>53687</xdr:rowOff>
    </xdr:from>
    <xdr:to>
      <xdr:col>3</xdr:col>
      <xdr:colOff>296012</xdr:colOff>
      <xdr:row>3</xdr:row>
      <xdr:rowOff>85183</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3988" y="148937"/>
          <a:ext cx="1290274" cy="412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15488</xdr:colOff>
      <xdr:row>1</xdr:row>
      <xdr:rowOff>95195</xdr:rowOff>
    </xdr:from>
    <xdr:to>
      <xdr:col>7</xdr:col>
      <xdr:colOff>0</xdr:colOff>
      <xdr:row>3</xdr:row>
      <xdr:rowOff>126680</xdr:rowOff>
    </xdr:to>
    <xdr:pic>
      <xdr:nvPicPr>
        <xdr:cNvPr id="15" name="Picture 14">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20488" y="190445"/>
          <a:ext cx="1127512" cy="412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512380</xdr:colOff>
      <xdr:row>1</xdr:row>
      <xdr:rowOff>91966</xdr:rowOff>
    </xdr:from>
    <xdr:to>
      <xdr:col>3</xdr:col>
      <xdr:colOff>512380</xdr:colOff>
      <xdr:row>3</xdr:row>
      <xdr:rowOff>124811</xdr:rowOff>
    </xdr:to>
    <xdr:cxnSp macro="">
      <xdr:nvCxnSpPr>
        <xdr:cNvPr id="16" name="Straight Connector 15">
          <a:extLst>
            <a:ext uri="{FF2B5EF4-FFF2-40B4-BE49-F238E27FC236}">
              <a16:creationId xmlns:a16="http://schemas.microsoft.com/office/drawing/2014/main" id="{00000000-0008-0000-0100-000010000000}"/>
            </a:ext>
          </a:extLst>
        </xdr:cNvPr>
        <xdr:cNvCxnSpPr/>
      </xdr:nvCxnSpPr>
      <xdr:spPr>
        <a:xfrm>
          <a:off x="1750630" y="187216"/>
          <a:ext cx="0" cy="41384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181648</xdr:colOff>
      <xdr:row>1</xdr:row>
      <xdr:rowOff>171450</xdr:rowOff>
    </xdr:from>
    <xdr:to>
      <xdr:col>24</xdr:col>
      <xdr:colOff>410248</xdr:colOff>
      <xdr:row>3</xdr:row>
      <xdr:rowOff>19050</xdr:rowOff>
    </xdr:to>
    <xdr:pic macro="[0]!Refresh_db_macro">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040148" y="266700"/>
          <a:ext cx="228600" cy="228600"/>
        </a:xfrm>
        <a:prstGeom prst="rect">
          <a:avLst/>
        </a:prstGeom>
      </xdr:spPr>
    </xdr:pic>
    <xdr:clientData/>
  </xdr:twoCellAnchor>
  <xdr:twoCellAnchor>
    <xdr:from>
      <xdr:col>18</xdr:col>
      <xdr:colOff>485775</xdr:colOff>
      <xdr:row>1</xdr:row>
      <xdr:rowOff>28575</xdr:rowOff>
    </xdr:from>
    <xdr:to>
      <xdr:col>20</xdr:col>
      <xdr:colOff>533400</xdr:colOff>
      <xdr:row>3</xdr:row>
      <xdr:rowOff>152400</xdr:rowOff>
    </xdr:to>
    <xdr:sp macro="[0]!HideStuff_db" textlink="">
      <xdr:nvSpPr>
        <xdr:cNvPr id="18" name="Rectangle 17">
          <a:extLst>
            <a:ext uri="{FF2B5EF4-FFF2-40B4-BE49-F238E27FC236}">
              <a16:creationId xmlns:a16="http://schemas.microsoft.com/office/drawing/2014/main" id="{00000000-0008-0000-0100-000012000000}"/>
            </a:ext>
          </a:extLst>
        </xdr:cNvPr>
        <xdr:cNvSpPr/>
      </xdr:nvSpPr>
      <xdr:spPr>
        <a:xfrm>
          <a:off x="8391525" y="123825"/>
          <a:ext cx="1190625" cy="504825"/>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100" b="0" u="sng">
              <a:solidFill>
                <a:sysClr val="windowText" lastClr="000000"/>
              </a:solidFill>
              <a:latin typeface="SF Pro Bold" pitchFamily="2" charset="0"/>
              <a:ea typeface="SF Pro Bold" pitchFamily="2" charset="0"/>
              <a:cs typeface="SF Pro Bold" pitchFamily="2" charset="0"/>
            </a:rPr>
            <a:t>Dashboard</a:t>
          </a:r>
        </a:p>
      </xdr:txBody>
    </xdr:sp>
    <xdr:clientData/>
  </xdr:twoCellAnchor>
  <xdr:twoCellAnchor>
    <xdr:from>
      <xdr:col>21</xdr:col>
      <xdr:colOff>19050</xdr:colOff>
      <xdr:row>1</xdr:row>
      <xdr:rowOff>28575</xdr:rowOff>
    </xdr:from>
    <xdr:to>
      <xdr:col>23</xdr:col>
      <xdr:colOff>66675</xdr:colOff>
      <xdr:row>3</xdr:row>
      <xdr:rowOff>152400</xdr:rowOff>
    </xdr:to>
    <xdr:sp macro="[0]!HideStuff_data" textlink="">
      <xdr:nvSpPr>
        <xdr:cNvPr id="19" name="Rectangle 18">
          <a:extLst>
            <a:ext uri="{FF2B5EF4-FFF2-40B4-BE49-F238E27FC236}">
              <a16:creationId xmlns:a16="http://schemas.microsoft.com/office/drawing/2014/main" id="{00000000-0008-0000-0100-000013000000}"/>
            </a:ext>
          </a:extLst>
        </xdr:cNvPr>
        <xdr:cNvSpPr/>
      </xdr:nvSpPr>
      <xdr:spPr>
        <a:xfrm>
          <a:off x="9639300" y="123825"/>
          <a:ext cx="1190625" cy="50482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100" u="sng">
              <a:solidFill>
                <a:schemeClr val="bg1"/>
              </a:solidFill>
              <a:latin typeface="SF Pro Bold" pitchFamily="2" charset="0"/>
              <a:ea typeface="SF Pro Bold" pitchFamily="2" charset="0"/>
              <a:cs typeface="SF Pro Bold" pitchFamily="2" charset="0"/>
            </a:rPr>
            <a:t>Data</a:t>
          </a:r>
        </a:p>
      </xdr:txBody>
    </xdr:sp>
    <xdr:clientData/>
  </xdr:twoCellAnchor>
  <mc:AlternateContent xmlns:mc="http://schemas.openxmlformats.org/markup-compatibility/2006">
    <mc:Choice xmlns:a14="http://schemas.microsoft.com/office/drawing/2010/main" Requires="a14">
      <xdr:twoCellAnchor editAs="oneCell">
        <xdr:from>
          <xdr:col>29</xdr:col>
          <xdr:colOff>428625</xdr:colOff>
          <xdr:row>5</xdr:row>
          <xdr:rowOff>9525</xdr:rowOff>
        </xdr:from>
        <xdr:to>
          <xdr:col>29</xdr:col>
          <xdr:colOff>600075</xdr:colOff>
          <xdr:row>44</xdr:row>
          <xdr:rowOff>123825</xdr:rowOff>
        </xdr:to>
        <xdr:sp macro="" textlink="">
          <xdr:nvSpPr>
            <xdr:cNvPr id="11267" name="Scroll Bar 3" hidden="1">
              <a:extLst>
                <a:ext uri="{63B3BB69-23CF-44E3-9099-C40C66FF867C}">
                  <a14:compatExt spid="_x0000_s11267"/>
                </a:ext>
                <a:ext uri="{FF2B5EF4-FFF2-40B4-BE49-F238E27FC236}">
                  <a16:creationId xmlns:a16="http://schemas.microsoft.com/office/drawing/2014/main" id="{00000000-0008-0000-0100-000003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44</xdr:row>
          <xdr:rowOff>0</xdr:rowOff>
        </xdr:from>
        <xdr:to>
          <xdr:col>29</xdr:col>
          <xdr:colOff>428625</xdr:colOff>
          <xdr:row>45</xdr:row>
          <xdr:rowOff>19050</xdr:rowOff>
        </xdr:to>
        <xdr:sp macro="" textlink="">
          <xdr:nvSpPr>
            <xdr:cNvPr id="11268" name="Scroll Bar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76201</xdr:colOff>
      <xdr:row>0</xdr:row>
      <xdr:rowOff>57150</xdr:rowOff>
    </xdr:from>
    <xdr:to>
      <xdr:col>2</xdr:col>
      <xdr:colOff>257176</xdr:colOff>
      <xdr:row>14</xdr:row>
      <xdr:rowOff>133350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47625</xdr:colOff>
      <xdr:row>0</xdr:row>
      <xdr:rowOff>0</xdr:rowOff>
    </xdr:from>
    <xdr:to>
      <xdr:col>4</xdr:col>
      <xdr:colOff>1447800</xdr:colOff>
      <xdr:row>14</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38100</xdr:colOff>
      <xdr:row>0</xdr:row>
      <xdr:rowOff>0</xdr:rowOff>
    </xdr:from>
    <xdr:to>
      <xdr:col>8</xdr:col>
      <xdr:colOff>0</xdr:colOff>
      <xdr:row>14</xdr:row>
      <xdr:rowOff>76200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9525</xdr:colOff>
      <xdr:row>0</xdr:row>
      <xdr:rowOff>0</xdr:rowOff>
    </xdr:from>
    <xdr:to>
      <xdr:col>10</xdr:col>
      <xdr:colOff>1445559</xdr:colOff>
      <xdr:row>14</xdr:row>
      <xdr:rowOff>76200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554691</xdr:colOff>
      <xdr:row>0</xdr:row>
      <xdr:rowOff>0</xdr:rowOff>
    </xdr:from>
    <xdr:to>
      <xdr:col>14</xdr:col>
      <xdr:colOff>56029</xdr:colOff>
      <xdr:row>14</xdr:row>
      <xdr:rowOff>76200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5601</xdr:colOff>
      <xdr:row>0</xdr:row>
      <xdr:rowOff>0</xdr:rowOff>
    </xdr:from>
    <xdr:to>
      <xdr:col>16</xdr:col>
      <xdr:colOff>1442357</xdr:colOff>
      <xdr:row>14</xdr:row>
      <xdr:rowOff>76200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76200</xdr:colOff>
      <xdr:row>0</xdr:row>
      <xdr:rowOff>0</xdr:rowOff>
    </xdr:from>
    <xdr:to>
      <xdr:col>29</xdr:col>
      <xdr:colOff>904875</xdr:colOff>
      <xdr:row>14</xdr:row>
      <xdr:rowOff>76200</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581025</xdr:colOff>
      <xdr:row>0</xdr:row>
      <xdr:rowOff>0</xdr:rowOff>
    </xdr:from>
    <xdr:to>
      <xdr:col>19</xdr:col>
      <xdr:colOff>1438275</xdr:colOff>
      <xdr:row>14</xdr:row>
      <xdr:rowOff>76200</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4763</xdr:colOff>
      <xdr:row>0</xdr:row>
      <xdr:rowOff>23812</xdr:rowOff>
    </xdr:from>
    <xdr:to>
      <xdr:col>23</xdr:col>
      <xdr:colOff>9526</xdr:colOff>
      <xdr:row>14</xdr:row>
      <xdr:rowOff>100012</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g Wee Kiat" refreshedDate="45018.914305092592" createdVersion="8" refreshedVersion="8" minRefreshableVersion="3" recordCount="964" xr:uid="{374F66E5-643D-4799-A45F-F2D0888C0394}">
  <cacheSource type="worksheet">
    <worksheetSource ref="A1:Z965" sheet="Tiktok Dashboard Data"/>
  </cacheSource>
  <cacheFields count="26">
    <cacheField name="Year_of_release" numFmtId="0">
      <sharedItems containsSemiMixedTypes="0" containsString="0" containsNumber="1" containsInteger="1" minValue="2019" maxValue="2022" count="4">
        <n v="2020"/>
        <n v="2022"/>
        <n v="2019"/>
        <n v="2021"/>
      </sharedItems>
    </cacheField>
    <cacheField name="Videos_created" numFmtId="0">
      <sharedItems containsSemiMixedTypes="0" containsString="0" containsNumber="1" containsInteger="1" minValue="0" maxValue="36700000"/>
    </cacheField>
    <cacheField name="track_name" numFmtId="0">
      <sharedItems containsMixedTypes="1" containsNumber="1" containsInteger="1" minValue="45131" maxValue="45131" count="801">
        <s v="Laxed â€“ Siren Beat"/>
        <s v="Banana (feat. Shaggy) - DJ FLe - Minisiren Remix"/>
        <s v="Lottery (Renegade)"/>
        <s v="Savage"/>
        <s v="All I Want for Christmas Is You"/>
        <s v="CoÃ±o"/>
        <s v="Upside Down"/>
        <s v="Se AcabÃ³ la Cuarentena"/>
        <s v="Woah (feat. D3Mstreet)"/>
        <s v="Say So"/>
        <s v="Sunroof"/>
        <s v="Beggin'"/>
        <s v="OUT WEST (feat. Young Thug)"/>
        <s v="Shower"/>
        <s v="1, 2, 3 (feat. Jason Derulo &amp; De La Ghetto)"/>
        <s v="Party Girl"/>
        <s v="Astronaut In The Ocean"/>
        <s v="Jiggle Jiggle"/>
        <s v="What You Know Bout Love"/>
        <s v="SAD GIRLZ LUV MONEY Remix (feat. Kali Uchis and Moliy)"/>
        <s v="Myself"/>
        <s v="Lose Control"/>
        <s v="The Weekend - Funk Wav Remix"/>
        <s v="Life Goes On"/>
        <s v="Supalonely"/>
        <s v="Supalonely (feat. Gus Dapperton)"/>
        <s v="SugarCrash!"/>
        <s v="Spooky, Scary Skeletons"/>
        <s v="Infinity"/>
        <s v="Way Back Home"/>
        <s v="Kolors"/>
        <s v="MONEY"/>
        <s v="love nwantiti (ah ah ah)"/>
        <s v="death bed (coffee for your head)"/>
        <s v="BOOM"/>
        <s v="No Idea"/>
        <s v="Cannibal"/>
        <s v="M to the B"/>
        <s v="Let's Do It Again"/>
        <s v="WAP (feat. Megan Thee Stallion)"/>
        <s v="Stuck in the Middle"/>
        <s v="Love Songs"/>
        <s v="Ameno Amapiano Remix (You Wanna Bamba)"/>
        <s v="Buss It"/>
        <s v="Obnimi (Remix)"/>
        <s v="At My Worst"/>
        <s v="Candy"/>
        <s v="Rasputin"/>
        <s v="Pepas"/>
        <s v="Toosie Slide"/>
        <s v="Play Date"/>
        <s v="Tap In"/>
        <s v="iSpy (feat. Lil Yachty)"/>
        <s v="Renai Circulation (English Cover) [2012 TV Size]"/>
        <s v="Wet (She Got Thatâ€¦)"/>
        <s v="Todo De Ti"/>
        <s v="Mood (feat. iann dior)"/>
        <s v="Might Be"/>
        <s v="fast"/>
        <s v="Vacation"/>
        <s v="Title"/>
        <s v="Running Up That Hill (A Deal With God)"/>
        <s v="Something New (feat. Ty Dolla $ign)"/>
        <s v="double take"/>
        <s v="Deep End"/>
        <s v="Mad at Disney"/>
        <s v="Envolver"/>
        <s v="Falling"/>
        <s v="Mia Khalifa"/>
        <s v="Big Fun"/>
        <s v="WITHOUT YOU"/>
        <s v="abcdefu"/>
        <s v="TO THE MOON"/>
        <s v="Kiss Me More (feat. SZA)"/>
        <s v="Hood Baby"/>
        <s v="Jingle Bell Rock"/>
        <s v="Woman"/>
        <s v="Therefore I Am"/>
        <s v="Wasabi"/>
        <s v="Roses - Imanbek Remix"/>
        <s v="Go Go Go Who's Next?"/>
        <s v="About Damn Time"/>
        <s v="Pope Is a Rockstar"/>
        <s v="Best Friend (feat. Doja Cat)"/>
        <s v="TKN (feat. Travis Scott)"/>
        <s v="TWINNEM"/>
        <s v="My Heart Went Oops"/>
        <s v="Lalala"/>
        <s v="Ride It"/>
        <s v="INDUSTRY BABY (feat. Jack Harlow)"/>
        <s v="Dinero"/>
        <s v="Blinding Lights"/>
        <s v="Backyard Boy"/>
        <s v="Into Your Arms (feat. Ava Max)"/>
        <s v="Butter"/>
        <s v="Like I Can"/>
        <s v="Be Gone Thot!"/>
        <s v="Skechers"/>
        <s v="Copines"/>
        <s v="Muffins In The Freezer"/>
        <s v="Make You Mine"/>
        <s v="Leave The Door Open"/>
        <s v="The Git Up"/>
        <s v="Permission to Dance"/>
        <s v="Heat Waves"/>
        <s v="Relationship (feat. Future)"/>
        <s v="Freak (feat. REI AMI)"/>
        <s v="Round of Applause"/>
        <s v="Still Don't Know My Name"/>
        <s v="telepatÃ­a"/>
        <s v="Put Your Records On"/>
        <s v="Rockstar"/>
        <s v="Hot N Cold"/>
        <s v="Desce Pro Play (PA PA PA)"/>
        <s v="Get Up (feat. Chamillionaire)"/>
        <s v="Watermelon Sugar"/>
        <s v="Eyes. Lips. Face."/>
        <s v="Up"/>
        <s v="The Box"/>
        <s v="Buttercup"/>
        <s v="Dancing in My Room"/>
        <s v="STUPID (feat. Yung Baby Tate)"/>
        <s v="A Thousand Years"/>
        <s v="Material Girl"/>
        <s v="Bundles (feat. Taylor Girlz)"/>
        <s v="ROXANNE"/>
        <s v="WFM"/>
        <s v="Chinese New Year"/>
        <s v="Blueberry Faygo"/>
        <s v="One Wish"/>
        <s v="Crystal Dolphin"/>
        <s v="Oh No"/>
        <s v="Bad Habits"/>
        <s v="drivers license"/>
        <s v="My Oh My (feat. DaBaby)"/>
        <s v="SUGAR"/>
        <s v="My Type"/>
        <s v="Glimpse of Us"/>
        <s v="INFERNO"/>
        <s v="Gimme More"/>
        <s v="Because Of You"/>
        <s v="No Lie"/>
        <s v="Snowman"/>
        <s v="Lets Link"/>
        <s v="Vibe (If I Back It Up)"/>
        <s v="Marry Me"/>
        <s v="Shh"/>
        <s v="Hatchback"/>
        <s v="Soap"/>
        <s v="Boss Bitch"/>
        <s v="Mine"/>
        <s v="Drugs"/>
        <s v="Don't Start Now"/>
        <s v="Knock at the Door"/>
        <s v="King's Dead (with Kendrick Lamar, Future &amp; James Blake)"/>
        <s v="LALISA"/>
        <s v="Renee"/>
        <s v="Break My Heart"/>
        <s v="Every Summertime"/>
        <s v="Levitating"/>
        <s v="I Hate U"/>
        <s v="Hotel Room Service"/>
        <s v="Take Your Man"/>
        <s v="Stunnin'"/>
        <s v="Old Town Road"/>
        <s v="Lemonade"/>
        <s v="Middle"/>
        <s v="Need to Know"/>
        <s v="HOLIDAY"/>
        <s v="Don't Lose Ur Head"/>
        <s v="Thot Shit"/>
        <s v="They Call Me Tiago (Her Name Is Margo)"/>
        <s v="2 PhÃºt HÆ¡n - KAIZ Remix"/>
        <s v="Famous (I'm The One) (feat. Yo Gotti &amp; DeJ Loaf)"/>
        <s v="SLOW DANCING IN THE DARK"/>
        <s v="A.M."/>
        <s v="happier"/>
        <s v="Paradise"/>
        <s v="Bulletproof"/>
        <s v="Whoopty"/>
        <s v="Bad Habit"/>
        <s v="Dandelions"/>
        <s v="cardigan"/>
        <s v="ROCKSTAR (feat. Roddy Ricch)"/>
        <s v="Tutu"/>
        <s v="Mariposa"/>
        <s v="Yours"/>
        <s v="It's Only Me - Studio Version"/>
        <s v="Running Away"/>
        <s v="Another Love"/>
        <s v="My Universe"/>
        <s v="Polaroid Love"/>
        <s v="The Business"/>
        <s v="I'm Gonna Show You Crazy"/>
        <s v="The Show"/>
        <s v="Until I Found You"/>
        <s v="GOOBA"/>
        <s v="Then Leave (feat. Queendom Come)"/>
        <s v="Psycho!"/>
        <s v="Please Don't Go"/>
        <s v="As It Was"/>
        <s v="Criminal"/>
        <s v="Freak"/>
        <s v="Bad Boy"/>
        <s v="FML"/>
        <s v="Un Poco Loco"/>
        <s v="Mr. Blue Sky"/>
        <s v="Back Up (feat. Big Sean)"/>
        <s v="What They Want"/>
        <s v="First Class"/>
        <s v="Sweater Weather"/>
        <s v="Moon (And It Went Like)"/>
        <s v="Love Story (Taylorâ€™s Version)"/>
        <s v="Levitating (feat. DaBaby)"/>
        <s v="THATS WHAT I WANT"/>
        <s v="Some"/>
        <s v="Vibin'"/>
        <s v="VALENTINO"/>
        <s v="House of Memories"/>
        <s v="Do It"/>
        <s v="Smack a Bitch"/>
        <s v="Crisis"/>
        <s v="The Dice Beat Pt. 1"/>
        <s v="3 Musketeers"/>
        <s v="Sunshine"/>
        <s v="Rover (feat. DTG)"/>
        <s v="Someone To You"/>
        <s v="I AM WOMAN"/>
        <s v="Talking to the Moon"/>
        <s v="Hungry Hippo"/>
        <s v="It's You"/>
        <s v="Island In The Sun"/>
        <s v="Sunday Best"/>
        <s v="GOODMORNINGTOKYO!"/>
        <s v="prom dress"/>
        <s v="After Party"/>
        <s v="Moral of the Story"/>
        <s v="My Ordinary Life"/>
        <s v="sex"/>
        <s v="MICKEY"/>
        <s v="Just The Two of Us"/>
        <s v="Get Down"/>
        <s v="Yellow Hearts"/>
        <s v="ALL IN"/>
        <s v="Interior Crocodile Alligator"/>
        <s v="Ransom"/>
        <s v="Who R U"/>
        <s v="May I"/>
        <s v="Airplane Mode"/>
        <s v="Toxic"/>
        <s v="Walked In"/>
        <s v="Baby Yoda"/>
        <s v="Cash Shit (feat. DaBaby)"/>
        <s v="Dissolve"/>
        <s v="MIDDLE OF THE NIGHT"/>
        <s v="Calling My Phone"/>
        <s v="I Don't Care (with Justin Bieber)"/>
        <s v="Take You Dancing"/>
        <s v="In Your Eyes"/>
        <s v="Sweet but Psycho"/>
        <s v="Myron"/>
        <s v="Build a Bitch"/>
        <s v="Gravity (feat. Tyler, The Creator)"/>
        <s v="Lost"/>
        <s v="Astronomia"/>
        <s v="Kraazy"/>
        <s v="When She Loved Me"/>
        <s v="Gimme Love"/>
        <s v="Light Switch"/>
        <s v="we fell in love in october"/>
        <s v="F2020"/>
        <s v="Paris"/>
        <s v="Crush"/>
        <s v="Heartbreak Anniversary"/>
        <s v="Y U Gotta B Like That"/>
        <s v="Heather"/>
        <s v="Deep End Freestyle"/>
        <s v="Later Bitches"/>
        <s v="All I Want"/>
        <s v="Don't Rush (feat. Headie One)"/>
        <s v="7 rings"/>
        <s v="Figure It Out"/>
        <s v="Stuck with U (with Justin Bieber)"/>
        <s v="Buff Baby"/>
        <s v="Save Your Tears"/>
        <s v="Give Love"/>
        <s v="#BrooklynBloodPop!"/>
        <s v="hot girl bummer"/>
        <s v="Cupid's Chokehold / Breakfast in America"/>
        <s v="Write This Down (Instrumental)"/>
        <s v="Becky"/>
        <s v="VIBEZ"/>
        <s v="Brave"/>
        <s v="Trampoline"/>
        <s v="The Muffin Song (asdfmovie)"/>
        <s v="Ð Ð°Ñ‚Ð°Ñ‚Ð°"/>
        <s v="Paper Planes"/>
        <s v="Borderline"/>
        <s v="Truth Hurts"/>
        <s v="Shop"/>
        <s v="everything sucks"/>
        <s v="Never Ending Story"/>
        <s v="Glitter"/>
        <s v="Be My Baby"/>
        <s v="Afraid To Feel"/>
        <s v="CITY OF ANGELS"/>
        <s v="Ð¯ Ð±ÑƒÐ´Ñƒ ÐµÐ±Ð°Ñ‚ÑŒ"/>
        <s v="Panini"/>
        <s v="WHATS POPPIN"/>
        <s v="Amour plastique"/>
        <s v="Maniac"/>
        <s v="Liar"/>
        <s v="Cheating on You"/>
        <s v="More Than A Woman - From &quot;&quot;Saturday Night Fever&quot;&quot; Soundtrack"/>
        <s v="Friday (feat. Mufasa &amp; Hypeman) - Dopamine Re-Edit"/>
        <s v="For The Night (feat. Lil Baby &amp; DaBaby)"/>
        <s v="Homage"/>
        <s v="Mr. Clean"/>
        <s v="Smile"/>
        <s v="Freaks"/>
        <s v="Savage Love (Laxed - Siren Beat)"/>
        <s v="THICK (feat. Megan Thee Stallion) - Remix"/>
        <s v="Wanna Be Like You"/>
        <s v="Baby"/>
        <s v="Steppin'"/>
        <s v="Love Me"/>
        <s v="Funny Thing"/>
        <s v="I Lived"/>
        <s v="Electric Love"/>
        <s v="No Guidance (feat. Drake)"/>
        <s v="Jalebi Baby (Tesher x Jason Derulo)"/>
        <s v="Partition"/>
        <s v="To the Right"/>
        <s v="Without Me"/>
        <s v="Hips Don't Lie (feat. Wyclef Jean)"/>
        <s v="positions"/>
        <s v="Dá»… Äáº¿n Dá»… Äi"/>
        <s v="Cartier"/>
        <s v="Safe And Sound"/>
        <s v="Thousand Miles"/>
        <s v="WTF"/>
        <s v="Crimewave"/>
        <s v="Sit Still, Look Pretty"/>
        <s v="Asshole"/>
        <s v="Low (feat. T-Pain)"/>
        <s v="Ain't Shit"/>
        <s v="Be Kind (with Halsey)"/>
        <s v="Say It Right"/>
        <s v="Prom Queen"/>
        <s v="Marlboro Nights"/>
        <s v="Lay All Your Love On Me"/>
        <s v="Pumpkins scream in the dead of night"/>
        <s v="motive (with Doja Cat)"/>
        <s v="Down Under (feat. Colin Hay)"/>
        <s v="Me Too"/>
        <s v="Physical"/>
        <s v="Who Says"/>
        <s v="Confident"/>
        <s v="PYRO"/>
        <s v="Griztronics"/>
        <s v="I Just Want to Be the One You Love"/>
        <s v="cheatercheaterbestfriendeater"/>
        <s v="Beggin (original version)"/>
        <s v="Wildest Dreams"/>
        <s v="Classic"/>
        <s v="Are You Bored Yet? (feat. Clairo)"/>
        <s v="Shake It"/>
        <s v="3 Strikes"/>
        <s v="Better Days (NEIKED x Mae Muller x Polo G)"/>
        <s v="The Less I Know The Better"/>
        <s v="Hair (feat. Sean Paul)"/>
        <s v="Needs"/>
        <s v="If the World Was Ending (feat. Julia Michaels)"/>
        <s v="Forget Me Thots"/>
        <s v="Act Up"/>
        <s v="Left and Right (Charlie Puth) [feat. Jung Kook of BTS] - Sped Up Version"/>
        <s v="What A Shame"/>
        <s v="Grow A Pear"/>
        <s v="Something For Your M.I.N.D."/>
        <s v="Panda"/>
        <s v="Working Bitch"/>
        <s v="Betty (Get Money)"/>
        <s v="GUY.exe"/>
        <s v="Enemy (with JID) - from the series Arcane League of Legends"/>
        <s v="I'd Rather Sleep"/>
        <s v="RAPSTAR"/>
        <s v="I Can't Handle Change"/>
        <s v="Where'd You Go (feat. Holly Brook &amp; Jonah Matranga)"/>
        <s v="Always Forever"/>
        <s v="New Flesh"/>
        <s v="Apollo"/>
        <s v="High Fashion (feat. Mustard)"/>
        <s v="Good Girls Bad Guys"/>
        <s v="Daisy"/>
        <s v="Just Give Me a Reason (feat. Nate Ruess)"/>
        <s v="Good Days"/>
        <s v="Young Dumb &amp; Broke"/>
        <s v="Take It Off"/>
        <s v="Pocketful of Sunshine"/>
        <s v="Bam Bam (feat. Ed Sheeran)"/>
        <s v="Bound 2"/>
        <s v="Somebody That I Used To Know"/>
        <s v="SG (with Ozuna, Megan Thee Stallion &amp; LISA of BLACKPINK)"/>
        <s v="BOP"/>
        <s v="Dilemma"/>
        <s v="Rodeo"/>
        <s v="The Motto"/>
        <s v="Still into You"/>
        <s v="She Belongs to the Streets (Toxic)"/>
        <s v="It's The Hard-Knock Life"/>
        <s v="Save Your Tears (with Ariana Grande) (Remix)"/>
        <s v="To Be So Lonely"/>
        <s v="Go Crazy"/>
        <s v="Boys Ain't Shit"/>
        <s v="Addison Rae"/>
        <s v="You Need To Calm Down"/>
        <s v="Life Is Good (feat. Drake)"/>
        <s v="Ghost"/>
        <s v="Boys"/>
        <s v="On A Roll"/>
        <s v="Walk Man"/>
        <s v="That Way"/>
        <s v="Just Fine"/>
        <s v="Plastic Hearts"/>
        <s v="Selfish"/>
        <s v="Faucet Failure"/>
        <s v="You Right"/>
        <s v="Do It Again"/>
        <s v="Wicked Game"/>
        <s v="California Gurls"/>
        <s v="Indigo"/>
        <s v="Electric Feel"/>
        <s v="Cheryl"/>
        <s v="Coffee Breath"/>
        <s v="Aesthetic"/>
        <s v="Maps"/>
        <s v="Let Go"/>
        <s v="Get It Together"/>
        <s v="Pompeii"/>
        <s v="feel something"/>
        <s v="Big And Chunky"/>
        <s v="Outside (feat. Ellie Goulding)"/>
        <s v="Best Friend"/>
        <s v="Reckless"/>
        <s v="Stronger"/>
        <s v="Let Her Go"/>
        <s v="Juicy"/>
        <s v="CRACKHEAD"/>
        <s v="u U U U u U did i mfken stutter?"/>
        <s v="Bored In The House"/>
        <s v="Eenie Meenie"/>
        <s v="So Pretty"/>
        <s v="Let It Happen"/>
        <s v="Replay"/>
        <s v="Never (feat. OMI)"/>
        <s v="edamame (feat. Rich Brian)"/>
        <s v="34+35"/>
        <s v="Cyber Sex"/>
        <s v="I Will Survive - Single Version"/>
        <s v="Walk"/>
        <s v="Beautiful Mistakes (feat. Megan Thee Stallion)"/>
        <s v="Moskau"/>
        <s v="Ain't Your Mama"/>
        <s v="Wannabe"/>
        <s v="All The Stars (with SZA)"/>
        <s v="LEMONS - Demo"/>
        <s v="idfc"/>
        <s v="Hokus Pokus"/>
        <s v="Lucky"/>
        <s v="Never Ever Getting Rid of Me"/>
        <s v="Can't Leave 'Em Alone (feat. 50 Cent)"/>
        <s v="One Time"/>
        <s v="We R Who We R"/>
        <s v="Can't Stop Singing"/>
        <s v="Fuck You"/>
        <s v="Káº» Cáº¯p Gáº·p BÃ  GiÃ  - Remix"/>
        <s v="20 Min"/>
        <s v="Walls Could Talk"/>
        <s v="Beef FloMix"/>
        <s v="Tequila"/>
        <s v="You Make My Dreams (Come True)"/>
        <s v="223's (feat. 9lokknine)"/>
        <s v="True Love (feat. Lily Allen)"/>
        <s v="Rake It Up (feat. Nicki Minaj)"/>
        <s v="Shouldn't Be"/>
        <s v="Good Morning"/>
        <s v="Hello Bitches"/>
        <s v="Die Young"/>
        <s v="Like A G6"/>
        <s v="I'm Sorry"/>
        <s v="Mary Jane (All Night Long)"/>
        <s v="After School"/>
        <s v="Insomnia"/>
        <s v="Put Your Head on My Shoulder"/>
        <s v="Primadonna"/>
        <s v="Here's Your Perfect"/>
        <s v="Caroline"/>
        <s v="Baby Powder"/>
        <s v="good 4 u"/>
        <s v="Legs (From &quot;&quot;RuPaul's Drag Race 8&quot;&quot;)"/>
        <s v="Hard Times"/>
        <s v="hate u love u"/>
        <s v="æ™šå®‰æ™šå®‰ (DJç‰ˆ)"/>
        <s v="Baby Girl"/>
        <s v="Frozen"/>
        <s v="Crank That (Soulja Boy)"/>
        <s v="U Was At The Club (Bottoms Up)"/>
        <s v="Uno"/>
        <s v="Oh Nanana Challenge"/>
        <s v="Leaked"/>
        <s v="I'm Looking for Mrs. Bubblegum"/>
        <s v="Give Your Heart a Break"/>
        <s v="Cooped Up (with Roddy Ricch)"/>
        <s v="Meet Me At Our Spot"/>
        <s v="Ligma"/>
        <s v="Whatever You Like"/>
        <s v="I Don't Mind (feat. Juicy J)"/>
        <s v="Sweet Caroline"/>
        <s v="Photo ID"/>
        <s v="My Lecon"/>
        <s v="Rockefeller Street (New Nightcore) [#Rockefellerstreet Remix]"/>
        <s v="Gordon Ramsay"/>
        <s v="Oh No I Got a Disease"/>
        <s v="You're Perfect"/>
        <s v="Shooting Stars"/>
        <s v="Ghost Duet"/>
        <s v="It Won't Stop (feat. Chris Brown) - EP Version"/>
        <s v="Entropy (2014 Original)"/>
        <s v="Chanel"/>
        <s v="I Wish - Radio Edit"/>
        <s v="ok boomer (feat. Jed Will)"/>
        <s v="Good Looking"/>
        <s v="STAY (with Justin Bieber)"/>
        <s v="Style"/>
        <s v="Corduroy Dreams"/>
        <s v="Violent Crimes"/>
        <s v="In The Bible (with Lil Durk &amp; Giveon)"/>
        <s v="Ophelia"/>
        <s v="Say Hey (I Love You)"/>
        <s v="You Don't Know Me"/>
        <s v="Producer Man"/>
        <s v="I Love It (&amp; Lil Pump)"/>
        <s v="Runway"/>
        <s v="Livin' in the Sunlight, Lovin' in the Moon Light"/>
        <s v="Stereo Hearts (feat. Adam Levine)"/>
        <s v="Sin City"/>
        <s v="Pumped Up Kicks"/>
        <s v="Just Canâ€™t Get Enough"/>
        <s v="Only The Young - Featured in Miss Americana"/>
        <s v="Plug Walk"/>
        <s v="Take You To Hell"/>
        <s v="Disturbia"/>
        <s v="Cherry Cola"/>
        <s v="Fake ID"/>
        <s v="Mr. Sandman"/>
        <s v="Work Out"/>
        <s v="Everybody Talks"/>
        <s v="Rather Be (feat. Jess Glynne)"/>
        <s v="It's Up Freestyle"/>
        <s v="Good Form (feat. Lil Wayne) - Remix"/>
        <s v="Ramalama (Bang Bang)"/>
        <s v="Intentions (feat. Quavo)"/>
        <s v="I Can't Decide"/>
        <s v="MONTERO (Call Me By Your Name)"/>
        <s v="Toy"/>
        <s v="Hall of Fame (feat. will.i.am)"/>
        <s v="Fever - Remix"/>
        <s v="Tonight You Belong To Me"/>
        <s v="Late Night Talking"/>
        <s v="Dangerous"/>
        <s v="I Wanna Love You"/>
        <s v="Babylon"/>
        <s v="Memories"/>
        <s v="We Found Love"/>
        <s v="Ready or Not"/>
        <s v="Love Tonight - David Guetta Remix Edit"/>
        <s v="Jump Up, Super Star!"/>
        <s v="Falling for U"/>
        <s v="The Love Club"/>
        <s v="Only Girl"/>
        <s v="ily (i love you baby) (feat. Emilee)"/>
        <s v="broken"/>
        <s v="Say So (feat. Nicki Minaj)"/>
        <s v="Galactic Mermaid (From &quot;&quot;Carole &amp; Tuesday&quot;&quot;)"/>
        <s v="Dancin (feat. Luvli) - Krono Remix"/>
        <s v="C'Mon"/>
        <s v="Savage Days"/>
        <s v="Don't Wanna Fall In Love"/>
        <s v="Get Busy"/>
        <s v="Hold On"/>
        <s v="Hey Julie! (feat. Lil Yachty)"/>
        <s v="Queen of Disaster"/>
        <s v="Another Day Of Sun"/>
        <s v="To the Bone"/>
        <s v="That Bxtch"/>
        <s v="Habits (Stay High)"/>
        <s v="All I Wanna Do"/>
        <s v="Chucky Cheese"/>
        <s v="YRN - Remix"/>
        <s v="dirty laundry"/>
        <s v="Rain On Me (with Ariana Grande)"/>
        <s v="You Reposted in the Wrong Neighborhood I Glue70 Mashup"/>
        <s v="Baby I Got Issues"/>
        <s v="Baby I'm Yours"/>
        <s v="Day 'n' Nite"/>
        <s v="Savage Remix (feat. BeyoncÃ©)"/>
        <s v="Being Good Is Boring"/>
        <s v="Womp Womp"/>
        <s v="Just Did a Bad Thing"/>
        <s v="What's My Name?"/>
        <s v="I Wanna Know"/>
        <s v="Hurts So Good"/>
        <s v="No More ?'s"/>
        <s v="Cha Cha"/>
        <s v="Sofia the First Main Title Theme - From &quot;&quot;Sofia the First&quot;&quot;"/>
        <s v="Go Stupid (feat. NLE Choppa &amp; Mike WiLL Made-It)"/>
        <s v="When You're Gone"/>
        <s v="Disco Inferno"/>
        <s v="Throw That Back Like a Cadillac"/>
        <s v="Not What I Meant (feat. Lewis Watson)"/>
        <s v="Won't Bite (feat. Smino)"/>
        <s v="Hello?"/>
        <s v="Rags2Riches 2 (feat. Lil Baby)"/>
        <s v="Wouldn't It Be Nice - Remastered 1999"/>
        <s v="deja vu"/>
        <s v="lowkey"/>
        <s v="All You Wanna Do"/>
        <s v="Tell Me Something I Don't Know - Soundtrack"/>
        <s v="Creep"/>
        <s v="Check It Out"/>
        <s v="Somebody To You"/>
        <s v="Moment 4 Life"/>
        <s v="Favorite Girl"/>
        <s v="Tungs"/>
        <s v="Kream (feat. Tyga)"/>
        <s v="Feel Your Love"/>
        <s v="Leave Em Alone"/>
        <s v="MAMIII"/>
        <s v="L.O.V.E."/>
        <s v="Play With Me"/>
        <s v="Girls Like You (feat. Cardi B) - Cardi B Version"/>
        <s v="TROLLZ (with Nicki Minaj)"/>
        <s v="Running To You (feat. Caden)"/>
        <s v="Unlock it (Lock It) - feat. Kim Petras and Jay Park"/>
        <s v="Flamingo"/>
        <s v="æ‹æ„›ã‚µãƒ¼ã‚­ãƒ¥ãƒ¬ãƒ¼ã‚·ãƒ§ãƒ³"/>
        <s v="Out There"/>
        <s v="Payphone"/>
        <s v="Party Party Party (feat. Chris Brown &amp; Dej Loaf)"/>
        <s v="Monster"/>
        <s v="Yellow Hearts (feat. Audrey Mika)"/>
        <s v="Love Me Again"/>
        <s v="The Plan"/>
        <s v="Serenity"/>
        <s v="Forever"/>
        <s v="On My Way!"/>
        <s v="Gm Say It Back"/>
        <s v="Follow Me"/>
        <s v="Lovely"/>
        <s v="Ben 10 - Theme Song"/>
        <s v="Chaa Chaa Chaa (feat. HoodCelebrityy)"/>
        <s v="On My Way"/>
        <s v="Fly Me To The Moon (In Other Words)"/>
        <s v="Hot Dog!"/>
        <s v="Part of Your World - From &quot;&quot;The Little Mermaid&quot;&quot; / Soundtrack Version"/>
        <s v="HawÃ¡i"/>
        <s v="successful"/>
        <s v="Flex On My Ex (with Bankrol Hayden)"/>
        <s v="La La La"/>
        <s v="Jimmy Cooks (feat. 21 Savage)"/>
        <s v="Counting Stars"/>
        <s v="BANG BANG BANG"/>
        <s v="Eyes Blue Like The Atlantic"/>
        <s v="Apologize"/>
        <s v="Desperado"/>
        <s v="Cold Heart - PNAU Remix"/>
        <s v="Heart of Glass"/>
        <s v="Moi... Lolita"/>
        <s v="American Boy"/>
        <s v="Long Road"/>
        <s v="Paint It Black"/>
        <s v="Lost on You"/>
        <s v="Ultralight Beam"/>
        <s v="When Hello Means Goodbye"/>
        <s v="Why"/>
        <s v="Glad You Came"/>
        <s v="Complicated"/>
        <s v="Work from Home"/>
        <s v="Fly"/>
        <s v="No Role Modelz"/>
        <s v="credit union"/>
        <s v="Free Falling Love"/>
        <s v="Cool for the Summer"/>
        <s v="Like That (feat. Gucci Mane)"/>
        <s v="Heal Me"/>
        <s v="Let It Go"/>
        <s v="Dreamer"/>
        <s v="Tainted Love"/>
        <s v="Crazy"/>
        <s v="Say So - Japanese Version"/>
        <s v="We Know"/>
        <s v="The Hills"/>
        <s v="Paid"/>
        <s v="Breathe"/>
        <s v="AMG"/>
        <s v="K Boy Bye"/>
        <s v="Say My Name"/>
        <s v="Up (feat. Demi Lovato)"/>
        <s v="Opaul"/>
        <s v="Poker Face"/>
        <s v="She Wolf (Falling to Pieces)"/>
        <s v="Looking for Love"/>
        <s v="Beauty And A Beat"/>
        <s v="Wellerman - Sea Shanty / 220 KID x Billen Ted Remix"/>
        <s v="The Boss"/>
        <s v="Hey, Soul Sister"/>
        <s v="FACK"/>
        <s v="Monsters, Inc."/>
        <s v="Rude Boy"/>
        <s v="Mood Swings (feat. Lil Tjay)"/>
        <s v="SNAP"/>
        <s v="Can't Get You Out of My Head"/>
        <s v="Over You"/>
        <s v="Red Flag"/>
        <s v="Fashion Week"/>
        <s v="No Guidance, Remake"/>
        <s v="Shoota (feat. Lil Uzi Vert)"/>
        <s v="Mi Pan Su Su Sum"/>
        <s v="Tunnel of Love"/>
        <s v="How You Feel? (Freestyle) (feat. Lil Yachty &amp; Ski Mask The Slump God)"/>
        <s v="Change Ya Life"/>
        <s v="Riptide"/>
        <s v="Leap of Faith"/>
        <s v="Ocean Eyes"/>
        <s v="Warning / Signs"/>
        <s v="Would I Lie to You"/>
        <s v="Pieces"/>
        <s v="Ocean Drive"/>
        <s v="When You Were Young"/>
        <s v="Mr. Saxobeat"/>
        <s v="Moves Like Jagger"/>
        <s v="Lies"/>
        <s v="Ready 4 Luv - TMLH Summer Mix"/>
        <s v="Peaches (feat. Daniel Caesar &amp; Giveon)"/>
        <s v="Slow Down"/>
        <s v="What If"/>
        <s v="Wild &amp; Free"/>
        <s v="Falling Down"/>
        <s v="Wait a Minute!"/>
        <s v="FLIP THE SWITCH (feat. Drake)"/>
        <s v="Right Here Waiting"/>
        <s v="THE SCOTTS"/>
        <s v="Kiss Me"/>
        <s v="One too Many Times"/>
        <s v="Rather Be"/>
        <s v="What's up?"/>
        <s v="Old Times"/>
        <s v="DÃKITI"/>
        <s v="When the Sun Goes Down"/>
        <s v="Demons"/>
        <s v="Know Me Too Well"/>
        <s v="So Big"/>
        <s v="Motive X - Promiscuous Mix"/>
        <s v="Miss Independent"/>
        <s v="Where Them Girls At (feat. Nicki Minaj &amp; Flo Rida)"/>
        <n v="45131"/>
        <s v="æ”¾å€‹å¤§æ‹›çµ¦ä½ çœ‹ (OPPO Reno å®£å‚³æ›²)"/>
        <s v="Teenage Dream"/>
        <s v="LMK"/>
        <s v="Why Is Everything Chrome (Lean Swag Rock Wit It)"/>
        <s v="Money Trees"/>
        <s v="Whatcha Say"/>
        <s v="Rags to Riches"/>
        <s v="All About Cake (feat. Coi Leray &amp; Kaash Paige)"/>
        <s v="Calabria 2008"/>
        <s v="Please Mr. Postman - Single Version / Mono"/>
        <s v="Magic In The Hamptons (feat. Lil Yachty)"/>
        <s v="Heads Will Roll - A-Trak Remix"/>
        <s v="Gangsta"/>
        <s v="Ponteme Despalda"/>
        <s v="Lemonade (feat. Gunna, Don Toliver &amp; NAV)"/>
        <s v="Buttons"/>
        <s v="Wii Shop - Instrumental"/>
        <s v="Midnight City"/>
        <s v="Oh No!"/>
        <s v="Birthday Suit"/>
        <s v="This Could Be Us"/>
        <s v="Video Games"/>
        <s v="You Belong With Me"/>
        <s v="Drip Boy"/>
        <s v="Choices (Yup)"/>
        <s v="Stolen Dance"/>
        <s v="Let Me Hit It - Audiostalkers Original Mix"/>
        <s v="Devil Town"/>
        <s v="Mr. Saxobeat - Radio Edit"/>
        <s v="Kill the Director"/>
        <s v="This Is for Rachel"/>
        <s v="Obsessed"/>
        <s v="Stereo Love"/>
        <s v="Skinny Legend Anthem"/>
        <s v="Woahh"/>
      </sharedItems>
    </cacheField>
    <cacheField name="artist_name" numFmtId="0">
      <sharedItems count="608">
        <s v="Jawsh 685"/>
        <s v="Conkarah"/>
        <s v="K CAMP"/>
        <s v="Megan Thee Stallion"/>
        <s v="Mariah Carey"/>
        <s v="Puri"/>
        <s v="JVKE"/>
        <s v="Jowell &amp; Randy"/>
        <s v="KRYPTO9095"/>
        <s v="Doja Cat"/>
        <s v="Nicky Youre"/>
        <s v="MÃ¥neskin"/>
        <s v="JACKBOYS"/>
        <s v="Becky G"/>
        <s v="SofÃ­a Reyes"/>
        <s v="StaySolidRocky"/>
        <s v="Masked Wolf"/>
        <s v="Duke &amp; Jones"/>
        <s v="Pop Smoke"/>
        <s v="Amaarae"/>
        <s v="Bazzi"/>
        <s v="MEDUZA"/>
        <s v="SZA"/>
        <s v="Oliver Tree"/>
        <s v="BENEE"/>
        <s v="ElyOtto"/>
        <s v="Andrew Gold"/>
        <s v="Jaymes Young"/>
        <s v="SHAUN"/>
        <s v="monte booker"/>
        <s v="LISA"/>
        <s v="CKay"/>
        <s v="Powfu"/>
        <s v="TiÃ«sto"/>
        <s v="Don Toliver"/>
        <s v="Kesha"/>
        <s v="Millie B"/>
        <s v="J Boog"/>
        <s v="Cardi B"/>
        <s v="Tai Verdes"/>
        <s v="Kaash Paige"/>
        <s v="Goya Menor"/>
        <s v="Erica Banks"/>
        <s v="Okean Elzi"/>
        <s v="Pink Sweat$"/>
        <s v="Boney M."/>
        <s v="YES YES"/>
        <s v="Drake"/>
        <s v="Farruko"/>
        <s v="Melanie Martinez"/>
        <s v="Saweetie"/>
        <s v="KYLE"/>
        <s v="Lizz Robinett"/>
        <s v="YFN Lucci"/>
        <s v="Rauw Alejandro"/>
        <s v="24kGoldn"/>
        <s v="DJ Luke Nasty"/>
        <s v="Sueco"/>
        <s v="Dirty Heads"/>
        <s v="Meghan Trainor"/>
        <s v="Kate Bush"/>
        <s v="Wiz Khalifa"/>
        <s v="dhruv"/>
        <s v="FousheÃ©"/>
        <s v="salem ilese"/>
        <s v="Anitta"/>
        <s v="Trevor Daniel"/>
        <s v="iLOVEFRiDAY"/>
        <s v="Jon Eidson"/>
        <s v="The Kid LAROI"/>
        <s v="GAYLE"/>
        <s v="Jnr Choi"/>
        <s v="KBFR"/>
        <s v="Bobby Helms"/>
        <s v="Billie Eilish"/>
        <s v="Little Mix"/>
        <s v="SAINt JHN"/>
        <s v="Hip Hop Harry"/>
        <s v="Lizzo"/>
        <s v="SALES"/>
        <s v="ROSALÃA"/>
        <s v="Coi Leray"/>
        <s v="Tiagz"/>
        <s v="Y2K"/>
        <s v="Regard"/>
        <s v="Lil Nas X"/>
        <s v="Trinidad Cardona"/>
        <s v="The Weeknd"/>
        <s v="Claire Rosinkranz"/>
        <s v="Witt Lowry"/>
        <s v="BTS"/>
        <s v="Sam Smith"/>
        <s v="LIL MAYO"/>
        <s v="DripReport"/>
        <s v="Aya Nakamura"/>
        <s v="PUBLIC"/>
        <s v="Bruno Mars"/>
        <s v="Blanco Brown"/>
        <s v="Glass Animals"/>
        <s v="Young Thug"/>
        <s v="Sub Urban"/>
        <s v="K'ron"/>
        <s v="Labrinth"/>
        <s v="Kali Uchis"/>
        <s v="Ritt Momney"/>
        <s v="Ilkay Sencan"/>
        <s v="Katy Perry"/>
        <s v="ZAAC"/>
        <s v="Ciara"/>
        <s v="Harry Styles"/>
        <s v="iLL Wayno"/>
        <s v="Roddy Ricch"/>
        <s v="Jack Stauber"/>
        <s v="347aidan"/>
        <s v="Ashnikko"/>
        <s v="Christina Perri"/>
        <s v="Madonna"/>
        <s v="Kayla Nicole"/>
        <s v="Arizona Zervas"/>
        <s v="RealestK"/>
        <s v="Lil Mosey"/>
        <s v="Ray J"/>
        <s v="Engelwood"/>
        <s v="Kreepa"/>
        <s v="Ed Sheeran"/>
        <s v="Olivia Rodrigo"/>
        <s v="Camila Cabello"/>
        <s v="BROCKHAMPTON"/>
        <s v="Joji"/>
        <s v="Britney Spears"/>
        <s v="Ne-Yo"/>
        <s v="Sean Paul"/>
        <s v="Sia"/>
        <s v="WhoHeem"/>
        <s v="Cookiee Kawaii"/>
        <s v="Rasheeda"/>
        <s v="Young Fanatic"/>
        <s v="Cochise"/>
        <s v="UPSAHL"/>
        <s v="Dua Lipa"/>
        <s v="Playsongs People"/>
        <s v="Jay Rock"/>
        <s v="NIKI"/>
        <s v="Pitbull"/>
        <s v="Mahogany Lox"/>
        <s v="Curtis Waters"/>
        <s v="Internet Money"/>
        <s v="DJ Snake"/>
        <s v="SIX"/>
        <s v="PhÃ¡o"/>
        <s v="Mozzy"/>
        <s v="Lonr."/>
        <s v="La Roux"/>
        <s v="CJ"/>
        <s v="Steve Lacy"/>
        <s v="Ruth B."/>
        <s v="Taylor Swift"/>
        <s v="DaBaby"/>
        <s v="Camilo"/>
        <s v="Peach Tree Rascals"/>
        <s v="Raiden"/>
        <s v="Kaleb J"/>
        <s v="VANO 3000"/>
        <s v="Tom Odell"/>
        <s v="Coldplay"/>
        <s v="ENHYPEN"/>
        <s v="Bebe Rexha"/>
        <s v="Lenka"/>
        <s v="Stephen Sanchez"/>
        <s v="6ix9ine"/>
        <s v="BeatKing"/>
        <s v="MASN"/>
        <s v="Mike Posner"/>
        <s v="Yung Bae"/>
        <s v="Anthony Gonzalez"/>
        <s v="Electric Light Orchestra"/>
        <s v="DeJ Loaf"/>
        <s v="Russ"/>
        <s v="Jack Harlow"/>
        <s v="The Neighbourhood"/>
        <s v="Kid Francescoli"/>
        <s v="BOL4"/>
        <s v="Kesh Kesh"/>
        <s v="Panic! At The Disco"/>
        <s v="Chloe x Halle"/>
        <s v="Rico Nasty"/>
        <s v="Jasiah"/>
        <s v="Ricky Desktop"/>
        <s v="NextYoungin"/>
        <s v="Ant Beale"/>
        <s v="S1mba"/>
        <s v="BANNERS"/>
        <s v="Emmy Meli"/>
        <s v="Tierra Whack"/>
        <s v="Ali Gatie"/>
        <s v="Weezer"/>
        <s v="Surfaces"/>
        <s v="TOKYOâ€™S REVENGE"/>
        <s v="mxmtoon"/>
        <s v="Ashe"/>
        <s v="The Living Tombstone"/>
        <s v="EDEN"/>
        <s v="Lil Yachty"/>
        <s v="Kauai45"/>
        <s v="Ant Saunders"/>
        <s v="ZaeHD &amp; CEO"/>
        <s v="Chip Tha Ripper"/>
        <s v="Lil Tecca"/>
        <s v="Jufu"/>
        <s v="Flo Milli"/>
        <s v="Limbo"/>
        <s v="BoyWithUke"/>
        <s v="Ultradiox"/>
        <s v="Song a Day"/>
        <s v="Absofacto"/>
        <s v="Elley DuhÃ©"/>
        <s v="Lil Tjay"/>
        <s v="Jason Derulo"/>
        <s v="Ava Max"/>
        <s v="Lil Uzi Vert"/>
        <s v="Bella Poarch"/>
        <s v="Brent Faiyaz"/>
        <s v="Frank Ocean"/>
        <s v="Vicetone"/>
        <s v="Likybo"/>
        <s v="Lyn Lapid"/>
        <s v="Charlie Puth"/>
        <s v="girl in red"/>
        <s v="Avenue Beat"/>
        <s v="Else"/>
        <s v="Tessa Violet"/>
        <s v="Giveon"/>
        <s v="Audrey Mika"/>
        <s v="Conan Gray"/>
        <s v="Sleepy Hallow"/>
        <s v="The Prince Karma"/>
        <s v="Young T &amp; Bugsey"/>
        <s v="Ariana Grande"/>
        <s v="Blu DeTiger"/>
        <s v="tobi lou"/>
        <s v="AKMU"/>
        <s v="SyKo"/>
        <s v="blackbear"/>
        <s v="Gym Class Heroes"/>
        <s v="SoulChef"/>
        <s v="Championxiii"/>
        <s v="Sara Bareilles"/>
        <s v="SHAED"/>
        <s v="The Gregory Brothers"/>
        <s v="Konfuz"/>
        <s v="M.I.A."/>
        <s v="Tame Impala"/>
        <s v="Toby Fox"/>
        <s v="vaultboy"/>
        <s v="Gaten Matarazzo"/>
        <s v="The Ronettes"/>
        <s v="LF SYSTEM"/>
        <s v="Moreart"/>
        <s v="Videoclub"/>
        <s v="BigKlit"/>
        <s v="Bee Gees"/>
        <s v="Riton"/>
        <s v="Mild High Club"/>
        <s v="Yung Gravy"/>
        <s v="Lily Allen"/>
        <s v="Surf Curse"/>
        <s v="DJ Chose"/>
        <s v="Jacob"/>
        <s v="Justin Bieber"/>
        <s v="Supa Dupa Humble"/>
        <s v="Thundercat"/>
        <s v="Kenny Packer"/>
        <s v="BÃ˜RNS"/>
        <s v="Chris Brown"/>
        <s v="Tesher"/>
        <s v="BeyoncÃ©"/>
        <s v="Devour"/>
        <s v="Halsey"/>
        <s v="Shakira"/>
        <s v="Quang HÃ¹ng MasterD"/>
        <s v="Dopebwoy"/>
        <s v="Capital Cities"/>
        <s v="Young Spool"/>
        <s v="Crystal Castles"/>
        <s v="Daya"/>
        <s v="hooligan chase"/>
        <s v="Flo Rida"/>
        <s v="Marshmello"/>
        <s v="Nelly Furtado"/>
        <s v="Beach Bunny"/>
        <s v="Lonely God"/>
        <s v="ABBA"/>
        <s v="Savage Ga$p"/>
        <s v="Luude"/>
        <s v="Selena Gomez &amp; The Scene"/>
        <s v="Chester Young"/>
        <s v="GRiZ"/>
        <s v="Boxout"/>
        <s v="Never Shout Never"/>
        <s v="Madcon"/>
        <s v="MKTO"/>
        <s v="Wallows"/>
        <s v="Metro Station"/>
        <s v="Terror Jr"/>
        <s v="NEIKED"/>
        <s v="Verzache"/>
        <s v="JP Saxe"/>
        <s v="City Girls"/>
        <s v="sped up nightcore"/>
        <s v="Leyla Blue"/>
        <s v="Superorganism"/>
        <s v="Desiigner"/>
        <s v="Superfruit"/>
        <s v="Imagine Dragons"/>
        <s v="Kero Kero Bonito"/>
        <s v="Polo G"/>
        <s v="Roar"/>
        <s v="Fort Minor"/>
        <s v="Cults"/>
        <s v="Current Joys"/>
        <s v="Nightcore High"/>
        <s v="Falling In Reverse"/>
        <s v="P!nk"/>
        <s v="Khalid"/>
        <s v="Natasha Bedingfield"/>
        <s v="Kanye West"/>
        <s v="Gotye"/>
        <s v="Nelly"/>
        <s v="Paramore"/>
        <s v="Rontae Don't Play"/>
        <s v="QuvenzhanÃ© Wallis"/>
        <s v="SAYGRACE"/>
        <s v="Future"/>
        <s v="Ashley O"/>
        <s v="Tiny Meat Gang"/>
        <s v="Mary J. Blige"/>
        <s v="Miley Cyrus"/>
        <s v="Madison Beer"/>
        <s v="Ski Mask The Slump God"/>
        <s v="Pia Mia"/>
        <s v="88rising"/>
        <s v="MGMT"/>
        <s v="Sofia Mills"/>
        <s v="Xilo"/>
        <s v="Maroon 5"/>
        <s v="Ark Patrol"/>
        <s v="Bastille"/>
        <s v="Bea Miller"/>
        <s v="will.i.am"/>
        <s v="Calvin Harris"/>
        <s v="Rex Orange County"/>
        <s v="LANDR"/>
        <s v="swimcoach"/>
        <s v="Tyga"/>
        <s v="Sean Kingston"/>
        <s v="Reyanna Maria"/>
        <s v="Lady Gaga"/>
        <s v="MÃ˜RFI"/>
        <s v="Marcus &amp; Martinus"/>
        <s v="bbno$"/>
        <s v="Gloria Gaynor"/>
        <s v="Comethazine"/>
        <s v="Dschinghis Khan"/>
        <s v="Jennifer Lopez"/>
        <s v="why mona"/>
        <s v="Kendrick Lamar"/>
        <s v="Brye"/>
        <s v="Insane Clown Posse"/>
        <s v="Christopher Fitzgerald"/>
        <s v="Ross Lynch"/>
        <s v="DJ TikTok"/>
        <s v="The Champs"/>
        <s v="Daryl Hall &amp; John Oates"/>
        <s v="YNW Melly"/>
        <s v="Yo Gotti"/>
        <s v="Luke Chiang"/>
        <s v="Mak Sauce"/>
        <s v="CL"/>
        <s v="Far East Movement"/>
        <s v="Swell"/>
        <s v="Weeekly"/>
        <s v="Craig David"/>
        <s v="Paul Anka"/>
        <s v="MARINA"/>
        <s v="Jamie Miller"/>
        <s v="AminÃ©"/>
        <s v="Bandingo YGNE"/>
        <s v="Lucian Piane"/>
        <s v="Olivia O'Brien"/>
        <s v="å°ä¸‰é‡‘"/>
        <s v="Lil Wayne"/>
        <s v="Disco Lines"/>
        <s v="Soulja Boy"/>
        <s v="The Boyboy West Coast"/>
        <s v="Ambjaay"/>
        <s v="Bonde R300"/>
        <s v="Memetown"/>
        <s v="Demi Lovato"/>
        <s v="Post Malone"/>
        <s v="THE ANXIETY"/>
        <s v="Billy Marchiafava"/>
        <s v="DLAY"/>
        <s v="Usher"/>
        <s v="Neil Diamond"/>
        <s v="Remi Wolf"/>
        <s v="JTL"/>
        <s v="Getter Jaani"/>
        <s v="HL Wave"/>
        <s v="Buss Crew"/>
        <s v="Charly Black"/>
        <s v="Bag Raiders"/>
        <s v="Louie Zong"/>
        <s v="Sevyn Streeter"/>
        <s v="Awkward Marina"/>
        <s v="Skee-Lo"/>
        <s v="Peter Kuli"/>
        <s v="Suki Waterhouse"/>
        <s v="The Lumineers"/>
        <s v="Michael Franti &amp; Spearhead"/>
        <s v="Jax Jones"/>
        <s v="Stunna Girl"/>
        <s v="Tiny Tim"/>
        <s v="Chrishan"/>
        <s v="Madism"/>
        <s v="Black Eyed Peas"/>
        <s v="Rich The Kid"/>
        <s v="Rihanna"/>
        <s v="Kuwada"/>
        <s v="The Chordettes"/>
        <s v="J. Cole"/>
        <s v="Neon Trees"/>
        <s v="Clean Bandit"/>
        <s v="Lil Keed"/>
        <s v="Nicki Minaj"/>
        <s v="RÃ³isÃ­n Murphy"/>
        <s v="Scissor Sisters"/>
        <s v="Netta"/>
        <s v="The Script"/>
        <s v="XY&amp;O"/>
        <s v="Patience &amp; Prudence"/>
        <s v="Kardinal Offishall"/>
        <s v="Akon"/>
        <s v="Coopex"/>
        <s v="Bridgit Mendler"/>
        <s v="Shouse"/>
        <s v="VGR"/>
        <s v="Peachy!"/>
        <s v="Lorde"/>
        <s v="Surf Mesa"/>
        <s v="lovelytheband"/>
        <s v="Kuraiinu"/>
        <s v="Aaron Smith"/>
        <s v="Eric D"/>
        <s v="Scarlett Rose"/>
        <s v="La La Land Cast"/>
        <s v="Pamungkas"/>
        <s v="Taylor Watson"/>
        <s v="Tove Lo"/>
        <s v="Jay Park"/>
        <s v="MadeinTYO"/>
        <s v="Eduardo LuzquiÃ±os"/>
        <s v="Shokk"/>
        <s v="U/NITISH"/>
        <s v="Breakbot"/>
        <s v="Kid Cudi"/>
        <s v="Jena Rose"/>
        <s v="Valee"/>
        <s v="Bill Wurtz"/>
        <s v="Alex Alexander"/>
        <s v="Astrid S"/>
        <s v="Eazy-E"/>
        <s v="Freddie Dredd"/>
        <s v="Cast - Sofia the First"/>
        <s v="Paradigm"/>
        <s v="50 Cent"/>
        <s v="El Memer"/>
        <s v="dodie"/>
        <s v="Clairo"/>
        <s v="Rod Wave"/>
        <s v="The Beach Boys"/>
        <s v="Selena Gomez"/>
        <s v="Naeleck"/>
        <s v="The Vamps"/>
        <s v="The Frights"/>
        <s v="Iggy Azalea"/>
        <s v="Yusuf Alev"/>
        <s v="Quality Control"/>
        <s v="Harrison Craig"/>
        <s v="Ana Shine"/>
        <s v="VINAI"/>
        <s v="Charli XCX"/>
        <s v="ç‰©èªžã‚·ãƒªãƒ¼ã‚º"/>
        <s v="Patrick Page"/>
        <s v="Faruk Orman"/>
        <s v="DJ Carisma"/>
        <s v="CPX"/>
        <s v="Arman Aydin"/>
        <s v="Shab"/>
        <s v="Gianni Blu"/>
        <s v="P.S."/>
        <s v="Killua the Pilgrim"/>
        <s v="Senhit"/>
        <s v="Alfons"/>
        <s v="Kids Superstars"/>
        <s v="Girll Codee"/>
        <s v="Frank Sinatra"/>
        <s v="They Might Be Giants (For Kids)"/>
        <s v="Jodi Benson"/>
        <s v="Maluma"/>
        <s v="KillBunk"/>
        <s v="Naughty Boy"/>
        <s v="Farux"/>
        <s v="BIGBANG"/>
        <s v="Sista Prod"/>
        <s v="Elton John"/>
        <s v="Nito-Onna"/>
        <s v="Monaldin"/>
        <s v="Estelle"/>
        <s v="HotBlock Jmoe"/>
        <s v="Dame Dame"/>
        <s v="sad girls"/>
        <s v="Sezairi"/>
        <s v="PadÃ©"/>
        <s v="Braaheim"/>
        <s v="Alex D'Rosso"/>
        <s v="Kinrose"/>
        <s v="Lucas Estrada"/>
        <s v="Astelle"/>
        <s v="Thatsimo"/>
        <s v="Rainych"/>
        <s v="JAM &amp; Philly"/>
        <s v="Years &amp; Years"/>
        <s v="Jt5k"/>
        <s v="Why Not"/>
        <s v="Olly Murs"/>
        <s v="Asketa &amp; Natan Chaim"/>
        <s v="Glamii"/>
        <s v="Nathan Evans"/>
        <s v="Baby Bluu"/>
        <s v="Eminem"/>
        <s v="Randy Newman"/>
        <s v="Nadia Gattas"/>
        <s v="Rosa Linn"/>
        <s v="loafers"/>
        <s v="Michael Shynes"/>
        <s v="Myrrhe"/>
        <s v="Pia Baris"/>
        <s v="cry"/>
        <s v="Litfranse"/>
        <s v="Playboi Carti"/>
        <s v="Miel Pops"/>
        <s v="ilyTOMMY"/>
        <s v="DJ Scheme"/>
        <s v="Haiti Babii"/>
        <s v="Viva La Panda"/>
        <s v="John De Sohn"/>
        <s v="Matvey Emerson"/>
        <s v="MISERO"/>
        <s v="Nippandab"/>
        <s v="Harddope"/>
        <s v="Amero"/>
        <s v="Timemachine"/>
        <s v="CAZZETTE"/>
        <s v="HOURS"/>
        <s v="Nander"/>
        <s v="Andrew Nagy"/>
        <s v="WILLOW"/>
        <s v="Quavo"/>
        <s v="Boostereo"/>
        <s v="THE SCOTTS"/>
        <s v="JRL"/>
        <s v="Cabuizee"/>
        <s v="LeXxÃ¬v"/>
        <s v="Xtinctor"/>
        <s v="Martin van Lectro"/>
        <s v="New Hope Club"/>
        <s v="Iyaz"/>
        <s v="Khlaw"/>
        <s v="David Guetta"/>
        <s v="Celina Sharma"/>
        <s v="Ryan.B"/>
        <s v="Lil Xxel"/>
        <s v="King Critical"/>
        <s v="YoungBoy Never Broke Again"/>
        <s v="KyleYouMadeThat"/>
        <s v="Enur"/>
        <s v="The Marvelettes"/>
        <s v="Social House"/>
        <s v="Lin-Manuel Miranda"/>
        <s v="Yeah Yeah Yeahs"/>
        <s v="Kehlani"/>
        <s v="Nfasis"/>
        <s v="The Pussycat Dolls"/>
        <s v="Iceboy Ben"/>
        <s v="M83"/>
        <s v="Cosmo Sheldrake"/>
        <s v="Rae Sremmurd"/>
        <s v="The Young Professionals"/>
        <s v="Saint Bone"/>
        <s v="E-40"/>
        <s v="Milky Chance"/>
        <s v="Sporty-O"/>
        <s v="Cavetown"/>
        <s v="Alexandra Stan"/>
        <s v="The Wombats"/>
        <s v="Gxrrixon"/>
        <s v="Edward Maya"/>
        <s v="Ava Louise"/>
      </sharedItems>
    </cacheField>
    <cacheField name="artist_pop" numFmtId="0">
      <sharedItems containsSemiMixedTypes="0" containsString="0" containsNumber="1" containsInteger="1" minValue="0" maxValue="95" count="80">
        <n v="63"/>
        <n v="53"/>
        <n v="82"/>
        <n v="76"/>
        <n v="56"/>
        <n v="71"/>
        <n v="69"/>
        <n v="39"/>
        <n v="88"/>
        <n v="73"/>
        <n v="78"/>
        <n v="65"/>
        <n v="81"/>
        <n v="72"/>
        <n v="59"/>
        <n v="68"/>
        <n v="64"/>
        <n v="83"/>
        <n v="74"/>
        <n v="70"/>
        <n v="67"/>
        <n v="57"/>
        <n v="49"/>
        <n v="60"/>
        <n v="47"/>
        <n v="40"/>
        <n v="61"/>
        <n v="52"/>
        <n v="54"/>
        <n v="46"/>
        <n v="95"/>
        <n v="84"/>
        <n v="66"/>
        <n v="58"/>
        <n v="89"/>
        <n v="48"/>
        <n v="80"/>
        <n v="42"/>
        <n v="44"/>
        <n v="36"/>
        <n v="43"/>
        <n v="77"/>
        <n v="21"/>
        <n v="93"/>
        <n v="62"/>
        <n v="91"/>
        <n v="34"/>
        <n v="86"/>
        <n v="28"/>
        <n v="26"/>
        <n v="55"/>
        <n v="50"/>
        <n v="41"/>
        <n v="90"/>
        <n v="85"/>
        <n v="79"/>
        <n v="25"/>
        <n v="75"/>
        <n v="37"/>
        <n v="38"/>
        <n v="87"/>
        <n v="51"/>
        <n v="27"/>
        <n v="45"/>
        <n v="31"/>
        <n v="29"/>
        <n v="4"/>
        <n v="24"/>
        <n v="3"/>
        <n v="33"/>
        <n v="35"/>
        <n v="32"/>
        <n v="20"/>
        <n v="11"/>
        <n v="1"/>
        <n v="30"/>
        <n v="16"/>
        <n v="18"/>
        <n v="0"/>
        <n v="12"/>
      </sharedItems>
    </cacheField>
    <cacheField name="album" numFmtId="0">
      <sharedItems containsMixedTypes="1" containsNumber="1" containsInteger="1" minValue="1989" maxValue="1989"/>
    </cacheField>
    <cacheField name="track_pop" numFmtId="0">
      <sharedItems containsSemiMixedTypes="0" containsString="0" containsNumber="1" containsInteger="1" minValue="0" maxValue="97"/>
    </cacheField>
    <cacheField name="danceability" numFmtId="0">
      <sharedItems containsSemiMixedTypes="0" containsString="0" containsNumber="1" minValue="0.17399999999999999" maxValue="0.98" count="417">
        <n v="0.73599999999999999"/>
        <n v="0.82399999999999995"/>
        <n v="0.91500000000000004"/>
        <n v="0.84299999999999997"/>
        <n v="0.33600000000000002"/>
        <n v="0.84699999999999998"/>
        <n v="0.88"/>
        <n v="0.88600000000000001"/>
        <n v="0.88800000000000001"/>
        <n v="0.78700000000000003"/>
        <n v="0.76800000000000002"/>
        <n v="0.71399999999999997"/>
        <n v="0.80200000000000005"/>
        <n v="0.69899999999999995"/>
        <n v="0.79200000000000004"/>
        <n v="0.72799999999999998"/>
        <n v="0.77800000000000002"/>
        <n v="0.86399999999999999"/>
        <n v="0.70899999999999996"/>
        <n v="0.87"/>
        <n v="0.85899999999999999"/>
        <n v="0.745"/>
        <n v="0.59799999999999998"/>
        <n v="0.77500000000000002"/>
        <n v="0.7"/>
        <n v="0.86299999999999999"/>
        <n v="0.86199999999999999"/>
        <n v="0.80600000000000005"/>
        <n v="0.67100000000000004"/>
        <n v="0.71799999999999997"/>
        <n v="0.83099999999999996"/>
        <n v="0.82599999999999996"/>
        <n v="0.72699999999999998"/>
        <n v="0.72599999999999998"/>
        <n v="0.65100000000000002"/>
        <n v="0.65200000000000002"/>
        <n v="0.71"/>
        <n v="0.89700000000000002"/>
        <n v="0.63100000000000001"/>
        <n v="0.93500000000000005"/>
        <n v="0.84399999999999997"/>
        <n v="0.64"/>
        <n v="0.80700000000000005"/>
        <n v="0.91800000000000004"/>
        <n v="0.81299999999999994"/>
        <n v="0.68899999999999995"/>
        <n v="0.69"/>
        <n v="0.69099999999999995"/>
        <n v="0.83"/>
        <n v="0.76200000000000001"/>
        <n v="0.83399999999999996"/>
        <n v="0.68"/>
        <n v="0.95399999999999996"/>
        <n v="0.746"/>
        <n v="0.89600000000000002"/>
        <n v="0.69499999999999995"/>
        <n v="0.78"/>
        <n v="0.44800000000000001"/>
        <n v="0.70099999999999996"/>
        <n v="0.877"/>
        <n v="0.77900000000000003"/>
        <n v="0.629"/>
        <n v="0.81399999999999995"/>
        <n v="0.65400000000000003"/>
        <n v="0.71099999999999997"/>
        <n v="0.73799999999999999"/>
        <n v="0.81200000000000006"/>
        <n v="0.78500000000000003"/>
        <n v="0.78400000000000003"/>
        <n v="0.66200000000000003"/>
        <n v="0.76400000000000001"/>
        <n v="0.97399999999999998"/>
        <n v="0.754"/>
        <n v="0.88900000000000001"/>
        <n v="0.77"/>
        <n v="0.95"/>
        <n v="0.83599999999999997"/>
        <n v="0.72499999999999998"/>
        <n v="0.84"/>
        <n v="0.77600000000000002"/>
        <n v="0.88500000000000001"/>
        <n v="0.96"/>
        <n v="0.70799999999999996"/>
        <n v="0.51400000000000001"/>
        <n v="0.81899999999999995"/>
        <n v="0.51300000000000001"/>
        <n v="0.504"/>
        <n v="0.75900000000000001"/>
        <n v="0.65600000000000003"/>
        <n v="0.92200000000000004"/>
        <n v="0.90700000000000003"/>
        <n v="0.96499999999999997"/>
        <n v="0.60599999999999998"/>
        <n v="0.58599999999999997"/>
        <n v="0.70199999999999996"/>
        <n v="0.76100000000000001"/>
        <n v="0.84199999999999997"/>
        <n v="0.61899999999999999"/>
        <n v="0.42"/>
        <n v="0.316"/>
        <n v="0.65300000000000002"/>
        <n v="0.39900000000000002"/>
        <n v="0.77100000000000002"/>
        <n v="0.70599999999999996"/>
        <n v="0.96399999999999997"/>
        <n v="0.54800000000000004"/>
        <n v="0.94099999999999995"/>
        <n v="0.86799999999999999"/>
        <n v="0.70499999999999996"/>
        <n v="0.98"/>
        <n v="0.77200000000000002"/>
        <n v="0.42099999999999999"/>
        <n v="0.74199999999999999"/>
        <n v="0.93899999999999995"/>
        <n v="0.621"/>
        <n v="0.437"/>
        <n v="0.74399999999999999"/>
        <n v="0.77400000000000002"/>
        <n v="0.52500000000000002"/>
        <n v="0.55800000000000005"/>
        <n v="0.56699999999999995"/>
        <n v="0.54100000000000004"/>
        <n v="0.80800000000000005"/>
        <n v="0.58499999999999996"/>
        <n v="0.56100000000000005"/>
        <n v="0.72399999999999998"/>
        <n v="0.45300000000000001"/>
        <n v="0.89900000000000002"/>
        <n v="0.44"/>
        <n v="0.82"/>
        <n v="0.78800000000000003"/>
        <n v="0.81"/>
        <n v="0.71599999999999997"/>
        <n v="0.83899999999999997"/>
        <n v="0.76900000000000002"/>
        <n v="0.75800000000000001"/>
        <n v="0.73399999999999999"/>
        <n v="0.59499999999999997"/>
        <n v="0.70699999999999996"/>
        <n v="0.71899999999999997"/>
        <n v="0.88300000000000001"/>
        <n v="0.79400000000000004"/>
        <n v="0.60399999999999998"/>
        <n v="0.64500000000000002"/>
        <n v="0.80400000000000005"/>
        <n v="0.92400000000000004"/>
        <n v="0.73"/>
        <n v="0.628"/>
        <n v="0.53500000000000003"/>
        <n v="0.84899999999999998"/>
        <n v="0.93400000000000005"/>
        <n v="0.90600000000000003"/>
        <n v="0.79900000000000004"/>
        <n v="0.58299999999999996"/>
        <n v="0.66400000000000003"/>
        <n v="0.878"/>
        <n v="0.84499999999999997"/>
        <n v="0.432"/>
        <n v="0.51500000000000001"/>
        <n v="0.74"/>
        <n v="0.39500000000000002"/>
        <n v="0.67400000000000004"/>
        <n v="0.68600000000000005"/>
        <n v="0.60899999999999999"/>
        <n v="0.61299999999999999"/>
        <n v="0.73099999999999998"/>
        <n v="0.67600000000000005"/>
        <n v="0.60199999999999998"/>
        <n v="0.57999999999999996"/>
        <n v="0.44500000000000001"/>
        <n v="0.58799999999999997"/>
        <n v="0.79800000000000004"/>
        <n v="0.47399999999999998"/>
        <n v="0.753"/>
        <n v="0.53900000000000003"/>
        <n v="0.61099999999999999"/>
        <n v="0.91200000000000003"/>
        <n v="0.876"/>
        <n v="0.52"/>
        <n v="0.69599999999999995"/>
        <n v="0.68799999999999994"/>
        <n v="0.86099999999999999"/>
        <n v="0.81599999999999995"/>
        <n v="0.62"/>
        <n v="0.38800000000000001"/>
        <n v="0.90500000000000003"/>
        <n v="0.61199999999999999"/>
        <n v="0.626"/>
        <n v="0.73699999999999999"/>
        <n v="0.65900000000000003"/>
        <n v="0.50600000000000001"/>
        <n v="0.70299999999999996"/>
        <n v="0.76"/>
        <n v="0.94599999999999995"/>
        <n v="0.91"/>
        <n v="0.51100000000000001"/>
        <n v="0.64600000000000002"/>
        <n v="0.498"/>
        <n v="0.89300000000000002"/>
        <n v="0.73199999999999998"/>
        <n v="0.56000000000000005"/>
        <n v="0.57199999999999995"/>
        <n v="0.64800000000000002"/>
        <n v="0.41299999999999998"/>
        <n v="0.97099999999999997"/>
        <n v="0.59199999999999997"/>
        <n v="0.89800000000000002"/>
        <n v="0.44900000000000001"/>
        <n v="0.86599999999999999"/>
        <n v="0.89500000000000002"/>
        <n v="0.92500000000000004"/>
        <n v="0.66500000000000004"/>
        <n v="0.59399999999999997"/>
        <n v="0.89100000000000001"/>
        <n v="0.82199999999999995"/>
        <n v="0.92100000000000004"/>
        <n v="0.41"/>
        <n v="0.78900000000000003"/>
        <n v="0.66700000000000004"/>
        <n v="0.72"/>
        <n v="0.85499999999999998"/>
        <n v="0.91300000000000003"/>
        <n v="0.48399999999999999"/>
        <n v="0.56599999999999995"/>
        <n v="0.35699999999999998"/>
        <n v="0.376"/>
        <n v="0.96099999999999997"/>
        <n v="0.747"/>
        <n v="0.59699999999999998"/>
        <n v="0.79300000000000004"/>
        <n v="0.55100000000000005"/>
        <n v="0.91100000000000003"/>
        <n v="0.44700000000000001"/>
        <n v="0.71499999999999997"/>
        <n v="0.438"/>
        <n v="0.80100000000000005"/>
        <n v="0.51200000000000001"/>
        <n v="0.57799999999999996"/>
        <n v="0.81100000000000005"/>
        <n v="0.92300000000000004"/>
        <n v="0.749"/>
        <n v="0.60099999999999998"/>
        <n v="0.63200000000000001"/>
        <n v="0.82299999999999995"/>
        <n v="0.54600000000000004"/>
        <n v="0.34499999999999997"/>
        <n v="0.76700000000000002"/>
        <n v="0.85"/>
        <n v="0.71199999999999997"/>
        <n v="0.72899999999999998"/>
        <n v="0.63600000000000001"/>
        <n v="0.41799999999999998"/>
        <n v="0.752"/>
        <n v="0.873"/>
        <n v="0.65500000000000003"/>
        <n v="0.65700000000000003"/>
        <n v="0.748"/>
        <n v="0.63"/>
        <n v="0.872"/>
        <n v="0.52800000000000002"/>
        <n v="0.497"/>
        <n v="0.46600000000000003"/>
        <n v="0.308"/>
        <n v="0.64700000000000002"/>
        <n v="0.68200000000000005"/>
        <n v="0.60699999999999998"/>
        <n v="0.55300000000000005"/>
        <n v="0.61799999999999999"/>
        <n v="0.59899999999999998"/>
        <n v="0.71699999999999997"/>
        <n v="0.71299999999999997"/>
        <n v="0.46400000000000002"/>
        <n v="0.88700000000000001"/>
        <n v="0.93799999999999994"/>
        <n v="0.82699999999999996"/>
        <n v="0.69799999999999995"/>
        <n v="0.68500000000000005"/>
        <n v="0.92800000000000005"/>
        <n v="0.72299999999999998"/>
        <n v="0.76500000000000001"/>
        <n v="0.247"/>
        <n v="0.68400000000000005"/>
        <n v="0.17399999999999999"/>
        <n v="0.48299999999999998"/>
        <n v="0.436"/>
        <n v="0.72099999999999997"/>
        <n v="0.75600000000000001"/>
        <n v="0.36699999999999999"/>
        <n v="0.8"/>
        <n v="0.65"/>
        <n v="0.755"/>
        <n v="0.90100000000000002"/>
        <n v="0.89200000000000002"/>
        <n v="0.375"/>
        <n v="0.82799999999999996"/>
        <n v="0.79100000000000004"/>
        <n v="0.76300000000000001"/>
        <n v="0.47"/>
        <n v="0.78100000000000003"/>
        <n v="0.67900000000000005"/>
        <n v="0.57499999999999996"/>
        <n v="0.38600000000000001"/>
        <n v="0.61699999999999999"/>
        <n v="0.65800000000000003"/>
        <n v="0.81499999999999995"/>
        <n v="0.91700000000000004"/>
        <n v="0.75700000000000001"/>
        <n v="0.501"/>
        <n v="0.622"/>
        <n v="0.52700000000000002"/>
        <n v="0.875"/>
        <n v="0.77300000000000002"/>
        <n v="0.879"/>
        <n v="0.85699999999999998"/>
        <n v="0.6"/>
        <n v="0.751"/>
        <n v="0.93200000000000005"/>
        <n v="0.45700000000000002"/>
        <n v="0.88400000000000001"/>
        <n v="0.435"/>
        <n v="0.94399999999999995"/>
        <n v="0.63400000000000001"/>
        <n v="0.54900000000000004"/>
        <n v="0.66"/>
        <n v="0.94"/>
        <n v="0.56299999999999994"/>
        <n v="0.9"/>
        <n v="0.40699999999999997"/>
        <n v="0.624"/>
        <n v="0.66900000000000004"/>
        <n v="0.97799999999999998"/>
        <n v="0.97699999999999998"/>
        <n v="0.93700000000000006"/>
        <n v="0.68700000000000006"/>
        <n v="0.52900000000000003"/>
        <n v="0.94499999999999995"/>
        <n v="0.64900000000000002"/>
        <n v="0.81699999999999995"/>
        <n v="0.377"/>
        <n v="0.59099999999999997"/>
        <n v="0.60799999999999998"/>
        <n v="0.63800000000000001"/>
        <n v="0.60299999999999998"/>
        <n v="0.77700000000000002"/>
        <n v="0.61599999999999999"/>
        <n v="0.47099999999999997"/>
        <n v="0.61"/>
        <n v="0.78600000000000003"/>
        <n v="0.78200000000000003"/>
        <n v="0.94899999999999995"/>
        <n v="0.86499999999999999"/>
        <n v="0.51600000000000001"/>
        <n v="0.66600000000000004"/>
        <n v="0.85599999999999998"/>
        <n v="0.48699999999999999"/>
        <n v="0.73499999999999999"/>
        <n v="0.80300000000000005"/>
        <n v="0.66800000000000004"/>
        <n v="0.73299999999999998"/>
        <n v="0.89"/>
        <n v="0.76600000000000001"/>
        <n v="0.67200000000000004"/>
        <n v="0.80500000000000005"/>
        <n v="0.82899999999999996"/>
        <n v="0.67500000000000004"/>
        <n v="0.92"/>
        <n v="0.78300000000000003"/>
        <n v="0.89400000000000002"/>
        <n v="0.48199999999999998"/>
        <n v="0.874"/>
        <n v="0.42899999999999999"/>
        <n v="0.442"/>
        <n v="0.61499999999999999"/>
        <n v="0.84799999999999998"/>
        <n v="0.52600000000000002"/>
        <n v="0.58099999999999996"/>
        <n v="0.56499999999999995"/>
        <n v="0.51700000000000002"/>
        <n v="0.85099999999999998"/>
        <n v="0.57899999999999996"/>
        <n v="0.252"/>
        <n v="0.69399999999999995"/>
        <n v="0.79700000000000004"/>
        <n v="0.67"/>
        <n v="0.81799999999999995"/>
        <n v="0.38700000000000001"/>
        <n v="0.67700000000000005"/>
        <n v="0.79500000000000004"/>
        <n v="0.75"/>
        <n v="0.79600000000000004"/>
        <n v="0.74099999999999999"/>
        <n v="0.68100000000000005"/>
        <n v="0.871"/>
        <n v="0.54700000000000004"/>
        <n v="0.69199999999999995"/>
        <n v="0.72199999999999998"/>
        <n v="0.625"/>
        <n v="0.64200000000000002"/>
        <n v="0.73899999999999999"/>
        <n v="0.48"/>
        <n v="0.69699999999999995"/>
        <n v="0.67300000000000004"/>
        <n v="0.68300000000000005"/>
        <n v="0.64300000000000002"/>
        <n v="0.55700000000000005"/>
        <n v="0.55200000000000005"/>
        <n v="0.57399999999999995"/>
        <n v="0.85299999999999998"/>
        <n v="0.63900000000000001"/>
        <n v="0.64100000000000001"/>
        <n v="0.54400000000000004"/>
        <n v="0.55600000000000005"/>
        <n v="0.70399999999999996"/>
        <n v="0.46500000000000002"/>
        <n v="0.56999999999999995"/>
        <n v="0.50700000000000001"/>
        <n v="0.57699999999999996"/>
      </sharedItems>
    </cacheField>
    <cacheField name="energy" numFmtId="0">
      <sharedItems containsSemiMixedTypes="0" containsString="0" containsNumber="1" minValue="4.58E-2" maxValue="0.98899999999999999" count="450">
        <n v="0.62"/>
        <n v="0.85399999999999998"/>
        <n v="0.55600000000000005"/>
        <n v="0.74099999999999999"/>
        <n v="0.627"/>
        <n v="0.57299999999999995"/>
        <n v="0.501"/>
        <n v="0.60499999999999998"/>
        <n v="0.52200000000000002"/>
        <n v="0.67300000000000004"/>
        <n v="0.71599999999999997"/>
        <n v="0.8"/>
        <n v="0.59099999999999997"/>
        <n v="0.52900000000000003"/>
        <n v="0.89500000000000002"/>
        <n v="0.43099999999999999"/>
        <n v="0.69499999999999995"/>
        <n v="0.41199999999999998"/>
        <n v="0.54800000000000004"/>
        <n v="0.52300000000000002"/>
        <n v="0.52500000000000002"/>
        <n v="0.56100000000000005"/>
        <n v="0.52600000000000002"/>
        <n v="0.49"/>
        <n v="0.63100000000000001"/>
        <n v="0.74"/>
        <n v="0.44700000000000001"/>
        <n v="0.73899999999999999"/>
        <n v="0.40300000000000002"/>
        <n v="0.55400000000000005"/>
        <n v="0.55300000000000005"/>
        <n v="0.84"/>
        <n v="0.68"/>
        <n v="0.51300000000000001"/>
        <n v="0.69599999999999995"/>
        <n v="0.45400000000000001"/>
        <n v="0.42899999999999999"/>
        <n v="0.35499999999999998"/>
        <n v="0.89800000000000002"/>
        <n v="0.434"/>
        <n v="0.84499999999999997"/>
        <n v="0.41499999999999998"/>
        <n v="0.51600000000000001"/>
        <n v="0.752"/>
        <n v="0.82299999999999995"/>
        <n v="0.76600000000000001"/>
        <n v="0.72899999999999998"/>
        <n v="0.65300000000000002"/>
        <n v="0.55500000000000005"/>
        <n v="0.64200000000000002"/>
        <n v="0.71799999999999997"/>
        <n v="0.72199999999999998"/>
        <n v="0.78200000000000003"/>
        <n v="0.503"/>
        <n v="0.751"/>
        <n v="0.754"/>
        <n v="0.54700000000000004"/>
        <n v="0.63500000000000001"/>
        <n v="0.59199999999999997"/>
        <n v="0.621"/>
        <n v="0.73599999999999999"/>
        <n v="0.43"/>
        <n v="0.68100000000000005"/>
        <n v="0.41299999999999998"/>
        <n v="0.54"/>
        <n v="0.65"/>
        <n v="0.70099999999999996"/>
        <n v="0.70499999999999996"/>
        <n v="0.47199999999999998"/>
        <n v="0.42399999999999999"/>
        <n v="0.76400000000000001"/>
        <n v="0.34"/>
        <n v="0.65600000000000003"/>
        <n v="0.72399999999999998"/>
        <n v="0.73799999999999999"/>
        <n v="0.74299999999999999"/>
        <n v="0.44600000000000001"/>
        <n v="0.50900000000000001"/>
        <n v="0.35299999999999998"/>
        <n v="0.39"/>
        <n v="0.70399999999999996"/>
        <n v="0.73"/>
        <n v="0.79600000000000004"/>
        <n v="0.78800000000000003"/>
        <n v="0.45900000000000002"/>
        <n v="0.45100000000000001"/>
        <n v="0.33200000000000002"/>
        <n v="0.78700000000000003"/>
        <n v="0.79900000000000004"/>
        <n v="0.61599999999999999"/>
        <n v="0.67800000000000005"/>
        <n v="0.59699999999999998"/>
        <n v="0.45"/>
        <n v="0.63"/>
        <n v="0.52400000000000002"/>
        <n v="0.49199999999999999"/>
        <n v="0.82599999999999996"/>
        <n v="0.84099999999999997"/>
        <n v="0.71"/>
        <n v="0.49099999999999999"/>
        <n v="0.59499999999999997"/>
        <n v="0.81599999999999995"/>
        <n v="0.79500000000000004"/>
        <n v="0.58599999999999997"/>
        <n v="0.373"/>
        <n v="0.63700000000000001"/>
        <n v="0.40699999999999997"/>
        <n v="0.88300000000000001"/>
        <n v="0.68200000000000005"/>
        <n v="0.60099999999999998"/>
        <n v="0.184"/>
        <n v="0.65200000000000002"/>
        <n v="0.77600000000000002"/>
        <n v="0.68700000000000006"/>
        <n v="0.52700000000000002"/>
        <n v="0.89700000000000002"/>
        <n v="0.436"/>
        <n v="0.53800000000000003"/>
        <n v="0.81100000000000005"/>
        <n v="0.317"/>
        <n v="0.61099999999999999"/>
        <n v="0.84399999999999997"/>
        <n v="0.88200000000000001"/>
        <n v="0.51200000000000001"/>
        <n v="0.68300000000000005"/>
        <n v="0.56799999999999995"/>
        <n v="0.69199999999999995"/>
        <n v="0.68899999999999995"/>
        <n v="0.95499999999999996"/>
        <n v="0.80300000000000005"/>
        <n v="0.79300000000000004"/>
        <n v="0.151"/>
        <n v="0.38600000000000001"/>
        <n v="0.67600000000000005"/>
        <n v="0.88400000000000001"/>
        <n v="0.38800000000000001"/>
        <n v="0.59899999999999998"/>
        <n v="0.65800000000000003"/>
        <n v="0.60399999999999998"/>
        <n v="0.53"/>
        <n v="0.66"/>
        <n v="0.60899999999999999"/>
        <n v="0.51100000000000001"/>
        <n v="0.69299999999999995"/>
        <n v="0.57799999999999996"/>
        <n v="0.73299999999999998"/>
        <n v="0.61199999999999999"/>
        <n v="0.47899999999999998"/>
        <n v="0.76100000000000001"/>
        <n v="0.443"/>
        <n v="0.64400000000000002"/>
        <n v="0.64800000000000002"/>
        <n v="0.49399999999999999"/>
        <n v="0.58099999999999996"/>
        <n v="0.69"/>
        <n v="0.83199999999999996"/>
        <n v="0.77400000000000002"/>
        <n v="0.29799999999999999"/>
        <n v="0.53700000000000003"/>
        <n v="0.67"/>
        <n v="0.59"/>
        <n v="0.50800000000000001"/>
        <n v="0.68799999999999994"/>
        <n v="0.312"/>
        <n v="0.36499999999999999"/>
        <n v="0.73099999999999998"/>
        <n v="0.73399999999999999"/>
        <n v="0.82"/>
        <n v="0.496"/>
        <n v="0.33800000000000002"/>
        <n v="0.53500000000000003"/>
        <n v="0.40400000000000003"/>
        <n v="0.56299999999999994"/>
        <n v="0.80700000000000005"/>
        <n v="0.65700000000000003"/>
        <n v="0.79"/>
        <n v="0.82499999999999996"/>
        <n v="0.84599999999999997"/>
        <n v="0.80500000000000005"/>
        <n v="0.71699999999999997"/>
        <n v="0.81699999999999995"/>
        <n v="0.66800000000000004"/>
        <n v="0.7"/>
        <n v="0.79400000000000004"/>
        <n v="0.26900000000000002"/>
        <n v="0.61699999999999999"/>
        <n v="0.624"/>
        <n v="0.93"/>
        <n v="0.47099999999999997"/>
        <n v="0.61"/>
        <n v="0.46300000000000002"/>
        <n v="0.81"/>
        <n v="0.53900000000000003"/>
        <n v="0.67400000000000004"/>
        <n v="0.40600000000000003"/>
        <n v="0.82699999999999996"/>
        <n v="0.52100000000000002"/>
        <n v="0.46500000000000002"/>
        <n v="0.214"/>
        <n v="0.58499999999999996"/>
        <n v="0.438"/>
        <n v="0.39900000000000002"/>
        <n v="0.39400000000000002"/>
        <n v="0.72699999999999998"/>
        <n v="0.33700000000000002"/>
        <n v="0.78"/>
        <n v="0.40799999999999997"/>
        <n v="0.58199999999999996"/>
        <n v="0.39300000000000002"/>
        <n v="0.67500000000000004"/>
        <n v="0.71099999999999997"/>
        <n v="0.71899999999999997"/>
        <n v="0.70599999999999996"/>
        <n v="0.65400000000000003"/>
        <n v="0.61499999999999999"/>
        <n v="0.60299999999999998"/>
        <n v="0.59399999999999997"/>
        <n v="0.94499999999999995"/>
        <n v="4.58E-2"/>
        <n v="0.63200000000000001"/>
        <n v="0.626"/>
        <n v="0.36599999999999999"/>
        <n v="0.58299999999999996"/>
        <n v="0.40200000000000002"/>
        <n v="0.40100000000000002"/>
        <n v="0.42499999999999999"/>
        <n v="0.51800000000000002"/>
        <n v="0.46100000000000002"/>
        <n v="0.32100000000000001"/>
        <n v="0.76500000000000001"/>
        <n v="0.81399999999999995"/>
        <n v="0.55900000000000005"/>
        <n v="0.74399999999999999"/>
        <n v="0.439"/>
        <n v="0.83599999999999997"/>
        <n v="0.84199999999999997"/>
        <n v="0.84799999999999998"/>
        <n v="0.873"/>
        <n v="0.30099999999999999"/>
        <n v="0.371"/>
        <n v="0.48899999999999999"/>
        <n v="0.58899999999999997"/>
        <n v="0.77100000000000002"/>
        <n v="0.91200000000000003"/>
        <n v="0.54100000000000004"/>
        <n v="0.71199999999999997"/>
        <n v="0.35399999999999998"/>
        <n v="0.63900000000000001"/>
        <n v="0.70299999999999996"/>
        <n v="0.86199999999999999"/>
        <n v="0.46800000000000003"/>
        <n v="0.94099999999999995"/>
        <n v="0.48099999999999998"/>
        <n v="0.747"/>
        <n v="0.36299999999999999"/>
        <n v="0.85899999999999999"/>
        <n v="0.57999999999999996"/>
        <n v="0.86799999999999999"/>
        <n v="0.89300000000000002"/>
        <n v="0.79700000000000004"/>
        <n v="0.82899999999999996"/>
        <n v="0.441"/>
        <n v="0.67100000000000004"/>
        <n v="0.48799999999999999"/>
        <n v="0.82399999999999995"/>
        <n v="0.80200000000000005"/>
        <n v="0.44400000000000001"/>
        <n v="0.77800000000000002"/>
        <n v="0.81899999999999995"/>
        <n v="0.79100000000000004"/>
        <n v="0.69099999999999995"/>
        <n v="0.63300000000000001"/>
        <n v="0.872"/>
        <n v="0.57699999999999996"/>
        <n v="0.74199999999999999"/>
        <n v="0.86099999999999999"/>
        <n v="0.69399999999999995"/>
        <n v="0.92700000000000005"/>
        <n v="0.97699999999999998"/>
        <n v="0.34899999999999998"/>
        <n v="0.66400000000000003"/>
        <n v="0.432"/>
        <n v="0.80100000000000005"/>
        <n v="0.47299999999999998"/>
        <n v="0.73699999999999999"/>
        <n v="0.63800000000000001"/>
        <n v="0.45600000000000002"/>
        <n v="0.66700000000000004"/>
        <n v="0.54200000000000004"/>
        <n v="0.39200000000000002"/>
        <n v="0.77200000000000002"/>
        <n v="0.73199999999999998"/>
        <n v="0.78300000000000003"/>
        <n v="0.57899999999999996"/>
        <n v="0.53600000000000003"/>
        <n v="0.499"/>
        <n v="0.94799999999999995"/>
        <n v="0.66300000000000003"/>
        <n v="0.65500000000000003"/>
        <n v="0.88"/>
        <n v="0.69699999999999995"/>
        <n v="0.66500000000000004"/>
        <n v="0.83699999999999997"/>
        <n v="0.55200000000000005"/>
        <n v="0.67900000000000005"/>
        <n v="0.76300000000000001"/>
        <n v="0.92300000000000004"/>
        <n v="0.29599999999999999"/>
        <n v="0.58799999999999997"/>
        <n v="0.75600000000000001"/>
        <n v="0.56399999999999995"/>
        <n v="0.83499999999999996"/>
        <n v="0.69799999999999995"/>
        <n v="0.21099999999999999"/>
        <n v="0.71299999999999997"/>
        <n v="0.72099999999999997"/>
        <n v="0.71499999999999997"/>
        <n v="0.71399999999999997"/>
        <n v="0.42599999999999999"/>
        <n v="0.41899999999999998"/>
        <n v="0.41399999999999998"/>
        <n v="0.372"/>
        <n v="0.60699999999999998"/>
        <n v="0.54300000000000004"/>
        <n v="0.88100000000000001"/>
        <n v="0.878"/>
        <n v="0.64900000000000002"/>
        <n v="0.16800000000000001"/>
        <n v="0.5"/>
        <n v="0.85299999999999998"/>
        <n v="0.90400000000000003"/>
        <n v="0.67700000000000005"/>
        <n v="0.75"/>
        <n v="0.42299999999999999"/>
        <n v="0.57499999999999996"/>
        <n v="0.52800000000000002"/>
        <n v="0.29099999999999998"/>
        <n v="0.92800000000000005"/>
        <n v="0.433"/>
        <n v="0.33500000000000002"/>
        <n v="0.72"/>
        <n v="0.81799999999999995"/>
        <n v="0.41599999999999998"/>
        <n v="0.63400000000000001"/>
        <n v="0.90700000000000003"/>
        <n v="0.47699999999999998"/>
        <n v="0.61299999999999999"/>
        <n v="0.77300000000000002"/>
        <n v="0.47"/>
        <n v="0.39700000000000002"/>
        <n v="0.46400000000000002"/>
        <n v="0.127"/>
        <n v="0.82099999999999995"/>
        <n v="0.93600000000000005"/>
        <n v="0.73499999999999999"/>
        <n v="0.85499999999999998"/>
        <n v="0.23400000000000001"/>
        <n v="0.57399999999999995"/>
        <n v="0.55800000000000005"/>
        <n v="0.30499999999999999"/>
        <n v="0.41699999999999998"/>
        <n v="0.38500000000000001"/>
        <n v="0.98299999999999998"/>
        <n v="0.27600000000000002"/>
        <n v="0.22500000000000001"/>
        <n v="0.628"/>
        <n v="0.51900000000000002"/>
        <n v="0.81299999999999994"/>
        <n v="0.42699999999999999"/>
        <n v="0.92400000000000004"/>
        <n v="0.39100000000000001"/>
        <n v="0.54600000000000004"/>
        <n v="0.32"/>
        <n v="0.72799999999999998"/>
        <n v="0.98899999999999999"/>
        <n v="0.85799999999999998"/>
        <n v="0.35799999999999998"/>
        <n v="0.49299999999999999"/>
        <n v="0.64100000000000001"/>
        <n v="0.78100000000000003"/>
        <n v="0.505"/>
        <n v="0.316"/>
        <n v="0.64"/>
        <n v="0.64300000000000002"/>
        <n v="0.495"/>
        <n v="0.79200000000000004"/>
        <n v="0.44500000000000001"/>
        <n v="0.75800000000000001"/>
        <n v="0.78600000000000003"/>
        <n v="0.78900000000000003"/>
        <n v="0.83299999999999996"/>
        <n v="0.753"/>
        <n v="0.65900000000000003"/>
        <n v="0.27300000000000002"/>
        <n v="0.53200000000000003"/>
        <n v="0.61799999999999999"/>
        <n v="0.66600000000000004"/>
        <n v="0.42199999999999999"/>
        <n v="0.78500000000000003"/>
        <n v="0.46899999999999997"/>
        <n v="0.70699999999999996"/>
        <n v="0.60199999999999998"/>
        <n v="0.40500000000000003"/>
        <n v="0.86699999999999999"/>
        <n v="0.54400000000000004"/>
        <n v="0.26"/>
        <n v="0.13200000000000001"/>
        <n v="0.84299999999999997"/>
        <n v="0.27900000000000003"/>
        <n v="0.83799999999999997"/>
        <n v="0.68500000000000005"/>
        <n v="0.47499999999999998"/>
        <n v="0.90200000000000002"/>
        <n v="0.91900000000000004"/>
        <n v="0.66900000000000004"/>
        <n v="0.93200000000000005"/>
        <n v="0.871"/>
        <n v="0.48699999999999999"/>
        <n v="0.498"/>
        <n v="0.86499999999999999"/>
        <n v="0.48599999999999999"/>
        <n v="0.83099999999999996"/>
        <n v="0.80600000000000005"/>
        <n v="0.89400000000000002"/>
        <n v="0.86599999999999999"/>
        <n v="0.72499999999999998"/>
        <n v="0.879"/>
        <n v="0.81200000000000006"/>
        <n v="0.32500000000000001"/>
        <n v="0.375"/>
        <n v="0.63600000000000001"/>
        <n v="0.84699999999999998"/>
        <n v="0.745"/>
        <n v="0.89900000000000002"/>
        <n v="0.86899999999999999"/>
        <n v="0.77700000000000002"/>
        <n v="0.85199999999999998"/>
        <n v="0.81499999999999995"/>
        <n v="0.748"/>
        <n v="0.66100000000000003"/>
        <n v="0.876"/>
        <n v="0.57599999999999996"/>
        <n v="0.79800000000000004"/>
        <n v="0.45700000000000002"/>
        <n v="0.53100000000000003"/>
        <n v="0.48399999999999999"/>
        <n v="0.61399999999999999"/>
        <n v="0.89600000000000002"/>
        <n v="0.92500000000000004"/>
        <n v="0.28299999999999997"/>
      </sharedItems>
    </cacheField>
    <cacheField name="loudness" numFmtId="0">
      <sharedItems containsSemiMixedTypes="0" containsString="0" containsNumber="1" minValue="-23.928000000000001" maxValue="-1.609"/>
    </cacheField>
    <cacheField name="mode" numFmtId="0">
      <sharedItems containsSemiMixedTypes="0" containsString="0" containsNumber="1" containsInteger="1" minValue="0" maxValue="1" count="2">
        <n v="0"/>
        <n v="1"/>
      </sharedItems>
    </cacheField>
    <cacheField name="key" numFmtId="0">
      <sharedItems containsSemiMixedTypes="0" containsString="0" containsNumber="1" containsInteger="1" minValue="0" maxValue="11"/>
    </cacheField>
    <cacheField name="speechiness" numFmtId="0">
      <sharedItems containsSemiMixedTypes="0" containsString="0" containsNumber="1" minValue="2.52E-2" maxValue="0.90700000000000003"/>
    </cacheField>
    <cacheField name="acousticness" numFmtId="0">
      <sharedItems containsSemiMixedTypes="0" containsString="0" containsNumber="1" minValue="3.8399999999999998E-5" maxValue="0.98399999999999999"/>
    </cacheField>
    <cacheField name="instrumentalness" numFmtId="0">
      <sharedItems containsSemiMixedTypes="0" containsString="0" containsNumber="1" minValue="0" maxValue="0.93899999999999995"/>
    </cacheField>
    <cacheField name="liveness" numFmtId="0">
      <sharedItems containsSemiMixedTypes="0" containsString="0" containsNumber="1" minValue="1.9400000000000001E-2" maxValue="0.94399999999999995" count="465">
        <n v="0.318"/>
        <n v="0.11700000000000001"/>
        <n v="7.3300000000000004E-2"/>
        <n v="9.6000000000000002E-2"/>
        <n v="7.0800000000000002E-2"/>
        <n v="8.4500000000000006E-2"/>
        <n v="0.436"/>
        <n v="7.6700000000000004E-2"/>
        <n v="4.5199999999999997E-2"/>
        <n v="9.0399999999999994E-2"/>
        <n v="0.15"/>
        <n v="0.35899999999999999"/>
        <n v="0.19600000000000001"/>
        <n v="0.28499999999999998"/>
        <n v="5.0099999999999999E-2"/>
        <n v="9.9599999999999994E-2"/>
        <n v="0.124"/>
        <n v="0.13300000000000001"/>
        <n v="0.113"/>
        <n v="0.108"/>
        <n v="3.3799999999999997E-2"/>
        <n v="0.14000000000000001"/>
        <n v="0.126"/>
        <n v="0.123"/>
        <n v="9.3600000000000003E-2"/>
        <n v="0.33500000000000002"/>
        <n v="0.30399999999999999"/>
        <n v="0.127"/>
        <n v="0.22800000000000001"/>
        <n v="0.152"/>
        <n v="0.13500000000000001"/>
        <n v="0.161"/>
        <n v="0.69599999999999995"/>
        <n v="0.32900000000000001"/>
        <n v="0.16500000000000001"/>
        <n v="4.9299999999999997E-2"/>
        <n v="0.10100000000000001"/>
        <n v="7.8399999999999997E-2"/>
        <n v="8.2400000000000001E-2"/>
        <n v="9.4899999999999998E-2"/>
        <n v="0.11"/>
        <n v="0.372"/>
        <n v="0.13100000000000001"/>
        <n v="0.16300000000000001"/>
        <n v="0.59499999999999997"/>
        <n v="7.8100000000000003E-2"/>
        <n v="0.128"/>
        <n v="0.114"/>
        <n v="0.224"/>
        <n v="7.5399999999999995E-2"/>
        <n v="0.22900000000000001"/>
        <n v="0.109"/>
        <n v="9.3200000000000005E-2"/>
        <n v="0.27200000000000002"/>
        <n v="0.32400000000000001"/>
        <n v="0.10199999999999999"/>
        <n v="0.105"/>
        <n v="9.6500000000000002E-2"/>
        <n v="6.0400000000000002E-2"/>
        <n v="8.9200000000000002E-2"/>
        <n v="0.216"/>
        <n v="0.156"/>
        <n v="0.69199999999999995"/>
        <n v="9.1399999999999995E-2"/>
        <n v="8.8700000000000001E-2"/>
        <n v="0.32500000000000001"/>
        <n v="0.55500000000000005"/>
        <n v="0.13400000000000001"/>
        <n v="0.36699999999999999"/>
        <n v="0.111"/>
        <n v="0.12"/>
        <n v="0.11600000000000001"/>
        <n v="6.5199999999999994E-2"/>
        <n v="5.5E-2"/>
        <n v="0.14299999999999999"/>
        <n v="0.35299999999999998"/>
        <n v="0.112"/>
        <n v="0.107"/>
        <n v="6.8400000000000002E-2"/>
        <n v="0.115"/>
        <n v="0.17299999999999999"/>
        <n v="9.0300000000000005E-2"/>
        <n v="0.13700000000000001"/>
        <n v="0.106"/>
        <n v="8.9700000000000002E-2"/>
        <n v="7.3499999999999996E-2"/>
        <n v="9.3799999999999994E-2"/>
        <n v="0.36299999999999999"/>
        <n v="9.06E-2"/>
        <n v="0.16900000000000001"/>
        <n v="8.6699999999999999E-2"/>
        <n v="9.2700000000000005E-2"/>
        <n v="0.27400000000000002"/>
        <n v="0.33700000000000002"/>
        <n v="9.2100000000000001E-2"/>
        <n v="0.51300000000000001"/>
        <n v="0.36"/>
        <n v="0.20499999999999999"/>
        <n v="0.20300000000000001"/>
        <n v="0.14499999999999999"/>
        <n v="6.88E-2"/>
        <n v="4.0500000000000001E-2"/>
        <n v="0.23200000000000001"/>
        <n v="3.1099999999999999E-2"/>
        <n v="4.6100000000000002E-2"/>
        <n v="0.79"/>
        <n v="0.28899999999999998"/>
        <n v="0.17"/>
        <n v="7.7799999999999994E-2"/>
        <n v="9.64E-2"/>
        <n v="5.5199999999999999E-2"/>
        <n v="0.46"/>
        <n v="0.1"/>
        <n v="0.13200000000000001"/>
        <n v="0.33900000000000002"/>
        <n v="0.41"/>
        <n v="0.47399999999999998"/>
        <n v="0.28599999999999998"/>
        <n v="0.36399999999999999"/>
        <n v="0.19"/>
        <n v="6.7199999999999996E-2"/>
        <n v="0.14099999999999999"/>
        <n v="7.2300000000000003E-2"/>
        <n v="9.5100000000000004E-2"/>
        <n v="0.20599999999999999"/>
        <n v="9.2799999999999994E-2"/>
        <n v="0.24099999999999999"/>
        <n v="0.11799999999999999"/>
        <n v="0.35"/>
        <n v="0.28100000000000003"/>
        <n v="0.129"/>
        <n v="0.20200000000000001"/>
        <n v="0.28999999999999998"/>
        <n v="6.3E-2"/>
        <n v="9.5200000000000007E-2"/>
        <n v="0.34899999999999998"/>
        <n v="9.7799999999999998E-2"/>
        <n v="0.21299999999999999"/>
        <n v="7.6300000000000007E-2"/>
        <n v="8.09E-2"/>
        <n v="0.255"/>
        <n v="5.2699999999999997E-2"/>
        <n v="9.2600000000000002E-2"/>
        <n v="8.3199999999999996E-2"/>
        <n v="0.308"/>
        <n v="0.191"/>
        <n v="0.14199999999999999"/>
        <n v="8.3900000000000002E-2"/>
        <n v="6.8000000000000005E-2"/>
        <n v="0.40200000000000002"/>
        <n v="8.6400000000000005E-2"/>
        <n v="0.25"/>
        <n v="6.6500000000000004E-2"/>
        <n v="0.35599999999999998"/>
        <n v="9.4399999999999998E-2"/>
        <n v="0.2"/>
        <n v="0.36099999999999999"/>
        <n v="0.316"/>
        <n v="8.3599999999999994E-2"/>
        <n v="0.17399999999999999"/>
        <n v="0.251"/>
        <n v="5.21E-2"/>
        <n v="0.247"/>
        <n v="0.20699999999999999"/>
        <n v="0.13"/>
        <n v="0.311"/>
        <n v="0.183"/>
        <n v="9.8900000000000002E-2"/>
        <n v="7.0599999999999996E-2"/>
        <n v="0.32200000000000001"/>
        <n v="0.248"/>
        <n v="0.17599999999999999"/>
        <n v="9.5299999999999996E-2"/>
        <n v="6.7400000000000002E-2"/>
        <n v="4.8599999999999997E-2"/>
        <n v="5.62E-2"/>
        <n v="0.122"/>
        <n v="0.28299999999999997"/>
        <n v="0.24199999999999999"/>
        <n v="0.125"/>
        <n v="0.19400000000000001"/>
        <n v="7.1400000000000005E-2"/>
        <n v="0.253"/>
        <n v="0.60299999999999998"/>
        <n v="0.217"/>
        <n v="0.32300000000000001"/>
        <n v="9.7000000000000003E-2"/>
        <n v="5.0900000000000001E-2"/>
        <n v="8.3299999999999999E-2"/>
        <n v="7.4300000000000005E-2"/>
        <n v="6.8900000000000003E-2"/>
        <n v="0.23899999999999999"/>
        <n v="0.25900000000000001"/>
        <n v="6.5799999999999997E-2"/>
        <n v="6.5000000000000002E-2"/>
        <n v="8.5699999999999998E-2"/>
        <n v="0.46100000000000002"/>
        <n v="8.48E-2"/>
        <n v="9.4600000000000004E-2"/>
        <n v="6.6299999999999998E-2"/>
        <n v="8.9399999999999993E-2"/>
        <n v="8.7599999999999997E-2"/>
        <n v="7.3599999999999999E-2"/>
        <n v="0.16600000000000001"/>
        <n v="0.214"/>
        <n v="0.34699999999999998"/>
        <n v="0.14399999999999999"/>
        <n v="0.16700000000000001"/>
        <n v="0.439"/>
        <n v="9.6299999999999997E-2"/>
        <n v="0.20899999999999999"/>
        <n v="8.8099999999999998E-2"/>
        <n v="0.155"/>
        <n v="8.0100000000000005E-2"/>
        <n v="0.08"/>
        <n v="0.30299999999999999"/>
        <n v="5.6500000000000002E-2"/>
        <n v="0.34200000000000003"/>
        <n v="9.1200000000000003E-2"/>
        <n v="0.16200000000000001"/>
        <n v="8.8400000000000006E-2"/>
        <n v="0.33200000000000002"/>
        <n v="0.38200000000000001"/>
        <n v="0.54300000000000004"/>
        <n v="7.5200000000000003E-2"/>
        <n v="0.36599999999999999"/>
        <n v="0.39900000000000002"/>
        <n v="6.3299999999999995E-2"/>
        <n v="9.1999999999999998E-2"/>
        <n v="4.2500000000000003E-2"/>
        <n v="6.59E-2"/>
        <n v="0.13800000000000001"/>
        <n v="0.65"/>
        <n v="7.85E-2"/>
        <n v="0.442"/>
        <n v="8.9499999999999996E-2"/>
        <n v="0.27300000000000002"/>
        <n v="6.7500000000000004E-2"/>
        <n v="0.14799999999999999"/>
        <n v="0.35399999999999998"/>
        <n v="9.8199999999999996E-2"/>
        <n v="0.57099999999999995"/>
        <n v="0.84699999999999998"/>
        <n v="0.193"/>
        <n v="0.32100000000000001"/>
        <n v="0.221"/>
        <n v="5.11E-2"/>
        <n v="0.26900000000000002"/>
        <n v="0.21199999999999999"/>
        <n v="0.157"/>
        <n v="0.26"/>
        <n v="0.254"/>
        <n v="0.30599999999999999"/>
        <n v="0.17799999999999999"/>
        <n v="0.40500000000000003"/>
        <n v="9.4E-2"/>
        <n v="9.3100000000000002E-2"/>
        <n v="9.7900000000000001E-2"/>
        <n v="0.104"/>
        <n v="0.47099999999999997"/>
        <n v="0.13900000000000001"/>
        <n v="5.4100000000000002E-2"/>
        <n v="5.4300000000000001E-2"/>
        <n v="8.1699999999999995E-2"/>
        <n v="0.27700000000000002"/>
        <n v="0.47699999999999998"/>
        <n v="0.14899999999999999"/>
        <n v="0.374"/>
        <n v="6.4799999999999996E-2"/>
        <n v="0.48599999999999999"/>
        <n v="0.82499999999999996"/>
        <n v="0.42599999999999999"/>
        <n v="8.0299999999999996E-2"/>
        <n v="0.19900000000000001"/>
        <n v="0.36899999999999999"/>
        <n v="0.434"/>
        <n v="0.19800000000000001"/>
        <n v="9.1700000000000004E-2"/>
        <n v="0.3"/>
        <n v="0.43"/>
        <n v="0.68799999999999994"/>
        <n v="7.6899999999999996E-2"/>
        <n v="0.33300000000000002"/>
        <n v="0.10299999999999999"/>
        <n v="0.46500000000000002"/>
        <n v="9.01E-2"/>
        <n v="5.6099999999999997E-2"/>
        <n v="0.03"/>
        <n v="0.33400000000000002"/>
        <n v="6.3700000000000007E-2"/>
        <n v="0.41499999999999998"/>
        <n v="4.9799999999999997E-2"/>
        <n v="5.2299999999999999E-2"/>
        <n v="0.121"/>
        <n v="7.6499999999999999E-2"/>
        <n v="0.38600000000000001"/>
        <n v="8.7400000000000005E-2"/>
        <n v="0.26300000000000001"/>
        <n v="0.34799999999999998"/>
        <n v="0.184"/>
        <n v="9.8699999999999996E-2"/>
        <n v="5.8999999999999997E-2"/>
        <n v="0.29399999999999998"/>
        <n v="0.27100000000000002"/>
        <n v="0.31900000000000001"/>
        <n v="0.40799999999999997"/>
        <n v="0.307"/>
        <n v="6.9699999999999998E-2"/>
        <n v="0.56100000000000005"/>
        <n v="9.35E-2"/>
        <n v="9.4799999999999995E-2"/>
        <n v="0.94399999999999995"/>
        <n v="2.6499999999999999E-2"/>
        <n v="0.29099999999999998"/>
        <n v="0.154"/>
        <n v="6.54E-2"/>
        <n v="0.23499999999999999"/>
        <n v="6.6900000000000001E-2"/>
        <n v="5.16E-2"/>
        <n v="8.2000000000000003E-2"/>
        <n v="0.06"/>
        <n v="0.18"/>
        <n v="0.29299999999999998"/>
        <n v="4.6699999999999998E-2"/>
        <n v="9.2399999999999996E-2"/>
        <n v="0.215"/>
        <n v="3.3000000000000002E-2"/>
        <n v="6.7799999999999999E-2"/>
        <n v="6.2600000000000003E-2"/>
        <n v="0.20100000000000001"/>
        <n v="7.7399999999999997E-2"/>
        <n v="9.2200000000000004E-2"/>
        <n v="0.14599999999999999"/>
        <n v="0.26200000000000001"/>
        <n v="8.4900000000000003E-2"/>
        <n v="2.1899999999999999E-2"/>
        <n v="9.8100000000000007E-2"/>
        <n v="5.4899999999999997E-2"/>
        <n v="0.23"/>
        <n v="0.17499999999999999"/>
        <n v="4.6800000000000001E-2"/>
        <n v="9.5699999999999993E-2"/>
        <n v="8.1600000000000006E-2"/>
        <n v="5.8000000000000003E-2"/>
        <n v="8.5099999999999995E-2"/>
        <n v="9.1899999999999996E-2"/>
        <n v="9.0200000000000002E-2"/>
        <n v="0.23699999999999999"/>
        <n v="5.3400000000000003E-2"/>
        <n v="0.192"/>
        <n v="5.1700000000000003E-2"/>
        <n v="0.17199999999999999"/>
        <n v="7.0999999999999994E-2"/>
        <n v="0.186"/>
        <n v="0.25600000000000001"/>
        <n v="0.23400000000000001"/>
        <n v="0.48399999999999999"/>
        <n v="0.26700000000000002"/>
        <n v="7.3800000000000004E-2"/>
        <n v="0.16800000000000001"/>
        <n v="0.22500000000000001"/>
        <n v="6.9500000000000006E-2"/>
        <n v="0.313"/>
        <n v="9.6799999999999997E-2"/>
        <n v="0.38400000000000001"/>
        <n v="0.23599999999999999"/>
        <n v="0.16400000000000001"/>
        <n v="8.1299999999999997E-2"/>
        <n v="0.39300000000000002"/>
        <n v="4.2900000000000001E-2"/>
        <n v="0.42699999999999999"/>
        <n v="0.61299999999999999"/>
        <n v="3.8899999999999997E-2"/>
        <n v="0.158"/>
        <n v="0.24"/>
        <n v="0.38700000000000001"/>
        <n v="0.65300000000000002"/>
        <n v="7.8299999999999995E-2"/>
        <n v="8.2900000000000001E-2"/>
        <n v="0.60599999999999998"/>
        <n v="6.8199999999999997E-2"/>
        <n v="7.4499999999999997E-2"/>
        <n v="7.9699999999999993E-2"/>
        <n v="0.29799999999999999"/>
        <n v="5.96E-2"/>
        <n v="0.27900000000000003"/>
        <n v="9.3899999999999997E-2"/>
        <n v="0.37"/>
        <n v="8.6900000000000005E-2"/>
        <n v="8.5500000000000007E-2"/>
        <n v="0.50900000000000001"/>
        <n v="0.31"/>
        <n v="8.2100000000000006E-2"/>
        <n v="0.153"/>
        <n v="0.71399999999999997"/>
        <n v="0.33800000000000002"/>
        <n v="0.47899999999999998"/>
        <n v="6.5699999999999995E-2"/>
        <n v="8.5300000000000001E-2"/>
        <n v="7.7499999999999999E-2"/>
        <n v="0.54"/>
        <n v="0.26800000000000002"/>
        <n v="6.2100000000000002E-2"/>
        <n v="9.2999999999999999E-2"/>
        <n v="0.34599999999999997"/>
        <n v="0.246"/>
        <n v="9.1499999999999998E-2"/>
        <n v="7.0000000000000007E-2"/>
        <n v="0.4"/>
        <n v="9.7500000000000003E-2"/>
        <n v="0.375"/>
        <n v="0.35099999999999998"/>
        <n v="0.11899999999999999"/>
        <n v="9.3700000000000006E-2"/>
        <n v="0.26600000000000001"/>
        <n v="9.6699999999999994E-2"/>
        <n v="9.1600000000000001E-2"/>
        <n v="8.7099999999999997E-2"/>
        <n v="8.8900000000000007E-2"/>
        <n v="0.159"/>
        <n v="0.33"/>
        <n v="0.53300000000000003"/>
        <n v="9.5399999999999999E-2"/>
        <n v="0.245"/>
        <n v="0.63500000000000001"/>
        <n v="0.59599999999999997"/>
        <n v="6.7299999999999999E-2"/>
        <n v="0.13600000000000001"/>
        <n v="0.44600000000000001"/>
        <n v="0.39700000000000002"/>
        <n v="0.52500000000000002"/>
        <n v="0.05"/>
        <n v="9.7199999999999995E-2"/>
        <n v="7.4700000000000003E-2"/>
        <n v="0.56899999999999995"/>
        <n v="0.14699999999999999"/>
        <n v="0.309"/>
        <n v="0.44"/>
        <n v="0.27800000000000002"/>
        <n v="0.42"/>
        <n v="7.2999999999999995E-2"/>
        <n v="0.58399999999999996"/>
        <n v="9.4299999999999995E-2"/>
        <n v="0.44500000000000001"/>
        <n v="0.58099999999999996"/>
        <n v="0.48"/>
        <n v="7.4999999999999997E-2"/>
        <n v="0.63100000000000001"/>
        <n v="0.51900000000000002"/>
        <n v="0.376"/>
        <n v="6.83E-2"/>
        <n v="8.6499999999999994E-2"/>
        <n v="0.44400000000000001"/>
        <n v="3.1899999999999998E-2"/>
        <n v="0.26100000000000001"/>
        <n v="5.3999999999999999E-2"/>
        <n v="0.18099999999999999"/>
        <n v="0.24299999999999999"/>
        <n v="0.29899999999999999"/>
        <n v="7.5899999999999995E-2"/>
        <n v="1.9400000000000001E-2"/>
        <n v="8.8999999999999996E-2"/>
        <n v="0.82599999999999996"/>
        <n v="7.7899999999999997E-2"/>
        <n v="8.2500000000000004E-2"/>
      </sharedItems>
    </cacheField>
    <cacheField name="valence" numFmtId="0">
      <sharedItems containsSemiMixedTypes="0" containsString="0" containsNumber="1" minValue="3.4799999999999998E-2" maxValue="0.97799999999999998"/>
    </cacheField>
    <cacheField name="tempo" numFmtId="0">
      <sharedItems containsSemiMixedTypes="0" containsString="0" containsNumber="1" minValue="62.619" maxValue="210.857"/>
    </cacheField>
    <cacheField name="time_signature" numFmtId="0">
      <sharedItems containsSemiMixedTypes="0" containsString="0" containsNumber="1" containsInteger="1" minValue="1" maxValue="5"/>
    </cacheField>
    <cacheField name="duration_ms" numFmtId="0">
      <sharedItems containsSemiMixedTypes="0" containsString="0" containsNumber="1" containsInteger="1" minValue="37632" maxValue="467587"/>
    </cacheField>
    <cacheField name="time_signature.2" numFmtId="0">
      <sharedItems containsSemiMixedTypes="0" containsString="0" containsNumber="1" containsInteger="1" minValue="1" maxValue="5"/>
    </cacheField>
    <cacheField name="duration_ms.2" numFmtId="0">
      <sharedItems containsSemiMixedTypes="0" containsString="0" containsNumber="1" containsInteger="1" minValue="37632" maxValue="467587"/>
    </cacheField>
    <cacheField name="time_signature.1" numFmtId="0">
      <sharedItems containsSemiMixedTypes="0" containsString="0" containsNumber="1" containsInteger="1" minValue="1" maxValue="5"/>
    </cacheField>
    <cacheField name="duration_ms.1" numFmtId="0">
      <sharedItems containsSemiMixedTypes="0" containsString="0" containsNumber="1" containsInteger="1" minValue="37632" maxValue="467587"/>
    </cacheField>
    <cacheField name="virality" numFmtId="0">
      <sharedItems count="2">
        <s v="Yes"/>
        <s v="No"/>
      </sharedItems>
    </cacheField>
    <cacheField name="Song Performance" numFmtId="0">
      <sharedItems count="4">
        <s v="4th Quartile"/>
        <s v="3rd Quartile"/>
        <s v="2nd Quartile"/>
        <s v="1st Quartile"/>
      </sharedItems>
    </cacheField>
  </cacheFields>
  <extLst>
    <ext xmlns:x14="http://schemas.microsoft.com/office/spreadsheetml/2009/9/main" uri="{725AE2AE-9491-48be-B2B4-4EB974FC3084}">
      <x14:pivotCacheDefinition pivotCacheId="6498195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
  <r>
    <x v="0"/>
    <n v="36700000"/>
    <x v="0"/>
    <x v="0"/>
    <x v="0"/>
    <s v="Laxed (Siren Beat)"/>
    <n v="54"/>
    <x v="0"/>
    <x v="0"/>
    <n v="-8.4809999999999999"/>
    <x v="0"/>
    <n v="0"/>
    <n v="0.11"/>
    <n v="5.7700000000000001E-2"/>
    <n v="0.69199999999999995"/>
    <x v="0"/>
    <n v="0.95899999999999996"/>
    <n v="150.02600000000001"/>
    <n v="4"/>
    <n v="201990"/>
    <n v="4"/>
    <n v="201990"/>
    <n v="4"/>
    <n v="201990"/>
    <x v="0"/>
    <x v="0"/>
  </r>
  <r>
    <x v="1"/>
    <n v="23500000"/>
    <x v="1"/>
    <x v="1"/>
    <x v="1"/>
    <s v="Banana (feat. Shaggy) [DJ FLe - Minisiren Remix]"/>
    <n v="65"/>
    <x v="1"/>
    <x v="1"/>
    <n v="-5.3120000000000003"/>
    <x v="1"/>
    <n v="8"/>
    <n v="0.17699999999999999"/>
    <n v="1.6E-2"/>
    <n v="4.9499999999999997E-5"/>
    <x v="1"/>
    <n v="0.89600000000000002"/>
    <n v="95.114000000000004"/>
    <n v="4"/>
    <n v="210329"/>
    <n v="4"/>
    <n v="210329"/>
    <n v="4"/>
    <n v="210329"/>
    <x v="0"/>
    <x v="0"/>
  </r>
  <r>
    <x v="0"/>
    <n v="23400000"/>
    <x v="1"/>
    <x v="1"/>
    <x v="1"/>
    <s v="Banana (feat. Shaggy) [DJ FLe - Minisiren Remix]"/>
    <n v="65"/>
    <x v="1"/>
    <x v="1"/>
    <n v="-5.3120000000000003"/>
    <x v="1"/>
    <n v="8"/>
    <n v="0.17699999999999999"/>
    <n v="1.6E-2"/>
    <n v="4.9499999999999997E-5"/>
    <x v="1"/>
    <n v="0.89600000000000002"/>
    <n v="95.114000000000004"/>
    <n v="4"/>
    <n v="210329"/>
    <n v="4"/>
    <n v="210329"/>
    <n v="4"/>
    <n v="210329"/>
    <x v="0"/>
    <x v="0"/>
  </r>
  <r>
    <x v="2"/>
    <n v="16400000"/>
    <x v="2"/>
    <x v="2"/>
    <x v="0"/>
    <s v="Wayy 2 Kritical"/>
    <n v="56"/>
    <x v="2"/>
    <x v="2"/>
    <n v="-8.6010000000000009"/>
    <x v="1"/>
    <n v="1"/>
    <n v="0.216"/>
    <n v="1.4500000000000001E-2"/>
    <n v="1.7899999999999999E-4"/>
    <x v="2"/>
    <n v="0.67"/>
    <n v="148.964"/>
    <n v="4"/>
    <n v="170947"/>
    <n v="4"/>
    <n v="170947"/>
    <n v="4"/>
    <n v="170947"/>
    <x v="0"/>
    <x v="0"/>
  </r>
  <r>
    <x v="1"/>
    <n v="14100000"/>
    <x v="3"/>
    <x v="3"/>
    <x v="2"/>
    <s v="Suga"/>
    <n v="70"/>
    <x v="3"/>
    <x v="3"/>
    <n v="-5.609"/>
    <x v="1"/>
    <n v="11"/>
    <n v="0.33400000000000002"/>
    <n v="2.52E-2"/>
    <n v="0"/>
    <x v="3"/>
    <n v="0.68"/>
    <n v="168.983"/>
    <n v="4"/>
    <n v="155497"/>
    <n v="4"/>
    <n v="155497"/>
    <n v="4"/>
    <n v="155497"/>
    <x v="0"/>
    <x v="0"/>
  </r>
  <r>
    <x v="0"/>
    <n v="14100000"/>
    <x v="3"/>
    <x v="3"/>
    <x v="2"/>
    <s v="Suga"/>
    <n v="70"/>
    <x v="3"/>
    <x v="3"/>
    <n v="-5.609"/>
    <x v="1"/>
    <n v="11"/>
    <n v="0.33400000000000002"/>
    <n v="2.52E-2"/>
    <n v="0"/>
    <x v="3"/>
    <n v="0.68"/>
    <n v="168.983"/>
    <n v="4"/>
    <n v="155497"/>
    <n v="4"/>
    <n v="155497"/>
    <n v="4"/>
    <n v="155497"/>
    <x v="0"/>
    <x v="0"/>
  </r>
  <r>
    <x v="2"/>
    <n v="13300000"/>
    <x v="4"/>
    <x v="4"/>
    <x v="3"/>
    <s v="Merry Christmas"/>
    <n v="67"/>
    <x v="4"/>
    <x v="4"/>
    <n v="-7.4630000000000001"/>
    <x v="1"/>
    <n v="7"/>
    <n v="3.8399999999999997E-2"/>
    <n v="0.16400000000000001"/>
    <n v="0"/>
    <x v="4"/>
    <n v="0.35"/>
    <n v="150.273"/>
    <n v="4"/>
    <n v="241107"/>
    <n v="4"/>
    <n v="241107"/>
    <n v="4"/>
    <n v="241107"/>
    <x v="0"/>
    <x v="0"/>
  </r>
  <r>
    <x v="0"/>
    <n v="12200000"/>
    <x v="5"/>
    <x v="5"/>
    <x v="4"/>
    <s v="CoÃ±o"/>
    <n v="60"/>
    <x v="5"/>
    <x v="5"/>
    <n v="-6.032"/>
    <x v="1"/>
    <n v="0"/>
    <n v="0.253"/>
    <n v="7.3899999999999999E-3"/>
    <n v="1.49E-2"/>
    <x v="5"/>
    <n v="0.33200000000000002"/>
    <n v="99.918999999999997"/>
    <n v="4"/>
    <n v="137595"/>
    <n v="4"/>
    <n v="137595"/>
    <n v="4"/>
    <n v="137595"/>
    <x v="0"/>
    <x v="0"/>
  </r>
  <r>
    <x v="3"/>
    <n v="11300000"/>
    <x v="6"/>
    <x v="6"/>
    <x v="5"/>
    <s v="Upside Down"/>
    <n v="65"/>
    <x v="6"/>
    <x v="6"/>
    <n v="-6.774"/>
    <x v="1"/>
    <n v="2"/>
    <n v="6.2E-2"/>
    <n v="4.9399999999999999E-2"/>
    <n v="6.9500000000000006E-2"/>
    <x v="6"/>
    <n v="0.45900000000000002"/>
    <n v="120.038"/>
    <n v="4"/>
    <n v="114500"/>
    <n v="4"/>
    <n v="114500"/>
    <n v="4"/>
    <n v="114500"/>
    <x v="0"/>
    <x v="0"/>
  </r>
  <r>
    <x v="3"/>
    <n v="11000000"/>
    <x v="7"/>
    <x v="7"/>
    <x v="6"/>
    <s v="Viva el Perreo"/>
    <n v="62"/>
    <x v="7"/>
    <x v="7"/>
    <n v="-4.3109999999999999"/>
    <x v="1"/>
    <n v="6"/>
    <n v="0.109"/>
    <n v="1.2700000000000001E-3"/>
    <n v="1.67E-2"/>
    <x v="7"/>
    <n v="0.64600000000000002"/>
    <n v="122.05200000000001"/>
    <n v="4"/>
    <n v="166971"/>
    <n v="4"/>
    <n v="166971"/>
    <n v="4"/>
    <n v="166971"/>
    <x v="0"/>
    <x v="0"/>
  </r>
  <r>
    <x v="2"/>
    <n v="10600000"/>
    <x v="8"/>
    <x v="8"/>
    <x v="7"/>
    <s v="Woah (feat. D3Mstreet)"/>
    <n v="56"/>
    <x v="8"/>
    <x v="8"/>
    <n v="-8.9359999999999999"/>
    <x v="1"/>
    <n v="1"/>
    <n v="0.43"/>
    <n v="7.3899999999999999E-3"/>
    <n v="0"/>
    <x v="8"/>
    <n v="0.623"/>
    <n v="144.011"/>
    <n v="4"/>
    <n v="123373"/>
    <n v="4"/>
    <n v="123373"/>
    <n v="4"/>
    <n v="123373"/>
    <x v="0"/>
    <x v="0"/>
  </r>
  <r>
    <x v="1"/>
    <n v="9800000"/>
    <x v="9"/>
    <x v="9"/>
    <x v="8"/>
    <s v="Hot Pink"/>
    <n v="80"/>
    <x v="9"/>
    <x v="9"/>
    <n v="-4.5830000000000002"/>
    <x v="0"/>
    <n v="11"/>
    <n v="0.159"/>
    <n v="0.26400000000000001"/>
    <n v="3.3500000000000001E-6"/>
    <x v="9"/>
    <n v="0.77900000000000003"/>
    <n v="110.962"/>
    <n v="4"/>
    <n v="237893"/>
    <n v="4"/>
    <n v="237893"/>
    <n v="4"/>
    <n v="237893"/>
    <x v="0"/>
    <x v="0"/>
  </r>
  <r>
    <x v="2"/>
    <n v="9800000"/>
    <x v="9"/>
    <x v="9"/>
    <x v="8"/>
    <s v="Hot Pink"/>
    <n v="80"/>
    <x v="9"/>
    <x v="9"/>
    <n v="-4.5830000000000002"/>
    <x v="0"/>
    <n v="11"/>
    <n v="0.159"/>
    <n v="0.26400000000000001"/>
    <n v="3.3500000000000001E-6"/>
    <x v="9"/>
    <n v="0.77900000000000003"/>
    <n v="110.962"/>
    <n v="4"/>
    <n v="237893"/>
    <n v="4"/>
    <n v="237893"/>
    <n v="4"/>
    <n v="237893"/>
    <x v="0"/>
    <x v="0"/>
  </r>
  <r>
    <x v="1"/>
    <n v="9500000"/>
    <x v="10"/>
    <x v="10"/>
    <x v="9"/>
    <s v="Sunroof"/>
    <n v="44"/>
    <x v="10"/>
    <x v="10"/>
    <n v="-5.1100000000000003"/>
    <x v="1"/>
    <n v="10"/>
    <n v="4.0399999999999998E-2"/>
    <n v="0.35"/>
    <n v="0"/>
    <x v="10"/>
    <n v="0.84099999999999997"/>
    <n v="131.43"/>
    <n v="4"/>
    <n v="163026"/>
    <n v="4"/>
    <n v="163026"/>
    <n v="4"/>
    <n v="163026"/>
    <x v="0"/>
    <x v="0"/>
  </r>
  <r>
    <x v="1"/>
    <n v="8400000"/>
    <x v="11"/>
    <x v="11"/>
    <x v="10"/>
    <s v="Chosen"/>
    <n v="86"/>
    <x v="11"/>
    <x v="11"/>
    <n v="-4.8079999999999998"/>
    <x v="0"/>
    <n v="11"/>
    <n v="5.04E-2"/>
    <n v="0.127"/>
    <n v="0"/>
    <x v="11"/>
    <n v="0.58899999999999997"/>
    <n v="134.00200000000001"/>
    <n v="4"/>
    <n v="211560"/>
    <n v="4"/>
    <n v="211560"/>
    <n v="4"/>
    <n v="211560"/>
    <x v="0"/>
    <x v="0"/>
  </r>
  <r>
    <x v="3"/>
    <n v="8400000"/>
    <x v="11"/>
    <x v="11"/>
    <x v="10"/>
    <s v="Chosen"/>
    <n v="86"/>
    <x v="11"/>
    <x v="11"/>
    <n v="-4.8079999999999998"/>
    <x v="0"/>
    <n v="11"/>
    <n v="5.04E-2"/>
    <n v="0.127"/>
    <n v="0"/>
    <x v="11"/>
    <n v="0.58899999999999997"/>
    <n v="134.00200000000001"/>
    <n v="4"/>
    <n v="211560"/>
    <n v="4"/>
    <n v="211560"/>
    <n v="4"/>
    <n v="211560"/>
    <x v="0"/>
    <x v="0"/>
  </r>
  <r>
    <x v="1"/>
    <n v="8300000"/>
    <x v="12"/>
    <x v="12"/>
    <x v="11"/>
    <s v="JACKBOYS"/>
    <n v="77"/>
    <x v="12"/>
    <x v="12"/>
    <n v="-4.8949999999999996"/>
    <x v="1"/>
    <n v="8"/>
    <n v="0.22500000000000001"/>
    <n v="1.04E-2"/>
    <n v="0"/>
    <x v="12"/>
    <n v="0.309"/>
    <n v="139.864"/>
    <n v="4"/>
    <n v="157712"/>
    <n v="4"/>
    <n v="157712"/>
    <n v="4"/>
    <n v="157712"/>
    <x v="0"/>
    <x v="0"/>
  </r>
  <r>
    <x v="0"/>
    <n v="8300000"/>
    <x v="12"/>
    <x v="12"/>
    <x v="11"/>
    <s v="JACKBOYS"/>
    <n v="77"/>
    <x v="12"/>
    <x v="12"/>
    <n v="-4.8949999999999996"/>
    <x v="1"/>
    <n v="8"/>
    <n v="0.22500000000000001"/>
    <n v="1.04E-2"/>
    <n v="0"/>
    <x v="12"/>
    <n v="0.309"/>
    <n v="139.864"/>
    <n v="4"/>
    <n v="157712"/>
    <n v="4"/>
    <n v="157712"/>
    <n v="4"/>
    <n v="157712"/>
    <x v="0"/>
    <x v="0"/>
  </r>
  <r>
    <x v="3"/>
    <n v="6800000"/>
    <x v="13"/>
    <x v="13"/>
    <x v="12"/>
    <s v="Shower"/>
    <n v="77"/>
    <x v="13"/>
    <x v="13"/>
    <n v="-7.548"/>
    <x v="1"/>
    <n v="2"/>
    <n v="4.87E-2"/>
    <n v="3.1699999999999999E-2"/>
    <n v="3.5899999999999998E-5"/>
    <x v="13"/>
    <n v="0.121"/>
    <n v="119.98699999999999"/>
    <n v="4"/>
    <n v="206167"/>
    <n v="4"/>
    <n v="206167"/>
    <n v="4"/>
    <n v="206167"/>
    <x v="0"/>
    <x v="0"/>
  </r>
  <r>
    <x v="1"/>
    <n v="6700000"/>
    <x v="14"/>
    <x v="14"/>
    <x v="13"/>
    <s v="1, 2, 3 (feat. Jason Derulo &amp; De La Ghetto)"/>
    <n v="82"/>
    <x v="14"/>
    <x v="14"/>
    <n v="-3.1120000000000001"/>
    <x v="0"/>
    <n v="1"/>
    <n v="5.8900000000000001E-2"/>
    <n v="0.16500000000000001"/>
    <n v="0"/>
    <x v="14"/>
    <n v="0.79400000000000004"/>
    <n v="94.968000000000004"/>
    <n v="4"/>
    <n v="201526"/>
    <n v="4"/>
    <n v="201526"/>
    <n v="4"/>
    <n v="201526"/>
    <x v="0"/>
    <x v="0"/>
  </r>
  <r>
    <x v="1"/>
    <n v="6700000"/>
    <x v="15"/>
    <x v="15"/>
    <x v="14"/>
    <s v="Party Girl"/>
    <n v="71"/>
    <x v="15"/>
    <x v="15"/>
    <n v="-9.9659999999999993"/>
    <x v="0"/>
    <n v="6"/>
    <n v="6.2199999999999998E-2"/>
    <n v="0.749"/>
    <n v="0"/>
    <x v="15"/>
    <n v="0.629"/>
    <n v="130.02199999999999"/>
    <n v="4"/>
    <n v="147800"/>
    <n v="4"/>
    <n v="147800"/>
    <n v="4"/>
    <n v="147800"/>
    <x v="0"/>
    <x v="0"/>
  </r>
  <r>
    <x v="0"/>
    <n v="6700000"/>
    <x v="15"/>
    <x v="15"/>
    <x v="14"/>
    <s v="Party Girl"/>
    <n v="71"/>
    <x v="15"/>
    <x v="15"/>
    <n v="-9.9659999999999993"/>
    <x v="0"/>
    <n v="6"/>
    <n v="6.2199999999999998E-2"/>
    <n v="0.749"/>
    <n v="0"/>
    <x v="15"/>
    <n v="0.629"/>
    <n v="130.02199999999999"/>
    <n v="4"/>
    <n v="147800"/>
    <n v="4"/>
    <n v="147800"/>
    <n v="4"/>
    <n v="147800"/>
    <x v="0"/>
    <x v="0"/>
  </r>
  <r>
    <x v="1"/>
    <n v="6200000"/>
    <x v="16"/>
    <x v="16"/>
    <x v="15"/>
    <s v="Astronaut In The Ocean"/>
    <n v="79"/>
    <x v="16"/>
    <x v="16"/>
    <n v="-6.8650000000000002"/>
    <x v="0"/>
    <n v="4"/>
    <n v="9.1300000000000006E-2"/>
    <n v="0.17499999999999999"/>
    <n v="0"/>
    <x v="10"/>
    <n v="0.47199999999999998"/>
    <n v="149.99600000000001"/>
    <n v="4"/>
    <n v="132780"/>
    <n v="4"/>
    <n v="132780"/>
    <n v="4"/>
    <n v="132780"/>
    <x v="0"/>
    <x v="0"/>
  </r>
  <r>
    <x v="3"/>
    <n v="6200000"/>
    <x v="16"/>
    <x v="16"/>
    <x v="15"/>
    <s v="Astronaut In The Ocean"/>
    <n v="79"/>
    <x v="16"/>
    <x v="16"/>
    <n v="-6.8650000000000002"/>
    <x v="0"/>
    <n v="4"/>
    <n v="9.1300000000000006E-2"/>
    <n v="0.17499999999999999"/>
    <n v="0"/>
    <x v="10"/>
    <n v="0.47199999999999998"/>
    <n v="149.99600000000001"/>
    <n v="4"/>
    <n v="132780"/>
    <n v="4"/>
    <n v="132780"/>
    <n v="4"/>
    <n v="132780"/>
    <x v="0"/>
    <x v="0"/>
  </r>
  <r>
    <x v="1"/>
    <n v="6100000"/>
    <x v="17"/>
    <x v="17"/>
    <x v="16"/>
    <s v="Jiggle Jiggle"/>
    <n v="81"/>
    <x v="17"/>
    <x v="17"/>
    <n v="-5.8860000000000001"/>
    <x v="1"/>
    <n v="1"/>
    <n v="0.27300000000000002"/>
    <n v="0.45800000000000002"/>
    <n v="8.7000000000000001E-4"/>
    <x v="16"/>
    <n v="0.65400000000000003"/>
    <n v="99.992000000000004"/>
    <n v="4"/>
    <n v="97209"/>
    <n v="4"/>
    <n v="97209"/>
    <n v="4"/>
    <n v="97209"/>
    <x v="0"/>
    <x v="0"/>
  </r>
  <r>
    <x v="1"/>
    <n v="6100000"/>
    <x v="18"/>
    <x v="18"/>
    <x v="17"/>
    <s v="Shoot For The Stars Aim For The Moon"/>
    <n v="81"/>
    <x v="18"/>
    <x v="18"/>
    <n v="-8.4930000000000003"/>
    <x v="1"/>
    <n v="10"/>
    <n v="0.35299999999999998"/>
    <n v="0.65"/>
    <n v="1.59E-6"/>
    <x v="17"/>
    <n v="0.54300000000000004"/>
    <n v="83.995000000000005"/>
    <n v="4"/>
    <n v="160000"/>
    <n v="4"/>
    <n v="160000"/>
    <n v="4"/>
    <n v="160000"/>
    <x v="0"/>
    <x v="0"/>
  </r>
  <r>
    <x v="3"/>
    <n v="6100000"/>
    <x v="18"/>
    <x v="18"/>
    <x v="17"/>
    <s v="Shoot For The Stars Aim For The Moon"/>
    <n v="81"/>
    <x v="18"/>
    <x v="18"/>
    <n v="-8.4930000000000003"/>
    <x v="1"/>
    <n v="10"/>
    <n v="0.35299999999999998"/>
    <n v="0.65"/>
    <n v="1.59E-6"/>
    <x v="17"/>
    <n v="0.54300000000000004"/>
    <n v="83.995000000000005"/>
    <n v="4"/>
    <n v="160000"/>
    <n v="4"/>
    <n v="160000"/>
    <n v="4"/>
    <n v="160000"/>
    <x v="0"/>
    <x v="0"/>
  </r>
  <r>
    <x v="1"/>
    <n v="5900000"/>
    <x v="19"/>
    <x v="19"/>
    <x v="16"/>
    <s v="SAD GIRLZ LUV MONEY Remix (feat. Kali Uchis and Moliy)"/>
    <n v="80"/>
    <x v="19"/>
    <x v="19"/>
    <n v="-8.0519999999999996"/>
    <x v="0"/>
    <n v="1"/>
    <n v="6.0199999999999997E-2"/>
    <n v="0.433"/>
    <n v="2.0699999999999998E-5"/>
    <x v="18"/>
    <n v="0.31900000000000001"/>
    <n v="110.02"/>
    <n v="4"/>
    <n v="204764"/>
    <n v="4"/>
    <n v="204764"/>
    <n v="4"/>
    <n v="204764"/>
    <x v="0"/>
    <x v="0"/>
  </r>
  <r>
    <x v="3"/>
    <n v="5900000"/>
    <x v="19"/>
    <x v="19"/>
    <x v="16"/>
    <s v="SAD GIRLZ LUV MONEY Remix (feat. Kali Uchis and Moliy)"/>
    <n v="7"/>
    <x v="20"/>
    <x v="20"/>
    <n v="-8.0510000000000002"/>
    <x v="0"/>
    <n v="1"/>
    <n v="5.9200000000000003E-2"/>
    <n v="0.434"/>
    <n v="2.34E-5"/>
    <x v="19"/>
    <n v="0.312"/>
    <n v="110.066"/>
    <n v="4"/>
    <n v="204764"/>
    <n v="4"/>
    <n v="204764"/>
    <n v="4"/>
    <n v="204764"/>
    <x v="0"/>
    <x v="0"/>
  </r>
  <r>
    <x v="2"/>
    <n v="5600000"/>
    <x v="20"/>
    <x v="20"/>
    <x v="13"/>
    <s v="COSMIC"/>
    <n v="67"/>
    <x v="21"/>
    <x v="21"/>
    <n v="-5.5129999999999999"/>
    <x v="0"/>
    <n v="9"/>
    <n v="7.1999999999999995E-2"/>
    <n v="0.46500000000000002"/>
    <n v="1.1200000000000001E-6"/>
    <x v="20"/>
    <n v="0.90200000000000002"/>
    <n v="195.91800000000001"/>
    <n v="4"/>
    <n v="167553"/>
    <n v="4"/>
    <n v="167553"/>
    <n v="4"/>
    <n v="167553"/>
    <x v="0"/>
    <x v="0"/>
  </r>
  <r>
    <x v="0"/>
    <n v="5500000"/>
    <x v="21"/>
    <x v="21"/>
    <x v="18"/>
    <s v="Lose Control"/>
    <n v="78"/>
    <x v="22"/>
    <x v="22"/>
    <n v="-8.6590000000000007"/>
    <x v="0"/>
    <n v="10"/>
    <n v="4.1500000000000002E-2"/>
    <n v="0.129"/>
    <n v="0"/>
    <x v="21"/>
    <n v="0.52900000000000003"/>
    <n v="123.935"/>
    <n v="4"/>
    <n v="168387"/>
    <n v="4"/>
    <n v="168387"/>
    <n v="4"/>
    <n v="168387"/>
    <x v="0"/>
    <x v="0"/>
  </r>
  <r>
    <x v="2"/>
    <n v="5400000"/>
    <x v="22"/>
    <x v="22"/>
    <x v="2"/>
    <s v="The Weekend (Funk Wav Remix)"/>
    <n v="73"/>
    <x v="23"/>
    <x v="5"/>
    <n v="-4.9329999999999998"/>
    <x v="1"/>
    <n v="11"/>
    <n v="5.8500000000000003E-2"/>
    <n v="0.495"/>
    <n v="0"/>
    <x v="22"/>
    <n v="0.66700000000000004"/>
    <n v="101.925"/>
    <n v="4"/>
    <n v="171806"/>
    <n v="4"/>
    <n v="171806"/>
    <n v="4"/>
    <n v="171806"/>
    <x v="0"/>
    <x v="0"/>
  </r>
  <r>
    <x v="1"/>
    <n v="5300000"/>
    <x v="23"/>
    <x v="23"/>
    <x v="19"/>
    <s v="Ugly is Beautiful: Shorter, Thicker &amp; Uglier (Deluxe)"/>
    <n v="80"/>
    <x v="24"/>
    <x v="23"/>
    <n v="-5.1870000000000003"/>
    <x v="1"/>
    <n v="0"/>
    <n v="7.5999999999999998E-2"/>
    <n v="0.186"/>
    <n v="0"/>
    <x v="1"/>
    <n v="0.56899999999999995"/>
    <n v="79.981999999999999"/>
    <n v="4"/>
    <n v="161803"/>
    <n v="4"/>
    <n v="161803"/>
    <n v="4"/>
    <n v="161803"/>
    <x v="0"/>
    <x v="0"/>
  </r>
  <r>
    <x v="3"/>
    <n v="5300000"/>
    <x v="23"/>
    <x v="23"/>
    <x v="19"/>
    <s v="Ugly is Beautiful: Shorter, Thicker &amp; Uglier (Deluxe)"/>
    <n v="80"/>
    <x v="24"/>
    <x v="23"/>
    <n v="-5.1870000000000003"/>
    <x v="1"/>
    <n v="0"/>
    <n v="7.5999999999999998E-2"/>
    <n v="0.186"/>
    <n v="0"/>
    <x v="1"/>
    <n v="0.56899999999999995"/>
    <n v="79.981999999999999"/>
    <n v="4"/>
    <n v="161803"/>
    <n v="4"/>
    <n v="161803"/>
    <n v="4"/>
    <n v="161803"/>
    <x v="0"/>
    <x v="0"/>
  </r>
  <r>
    <x v="1"/>
    <n v="5200000"/>
    <x v="24"/>
    <x v="24"/>
    <x v="20"/>
    <s v="STELLA &amp; STEVE"/>
    <n v="72"/>
    <x v="25"/>
    <x v="24"/>
    <n v="-4.6890000000000001"/>
    <x v="1"/>
    <n v="7"/>
    <n v="5.3400000000000003E-2"/>
    <n v="0.30499999999999999"/>
    <n v="3.04E-5"/>
    <x v="23"/>
    <n v="0.81699999999999995"/>
    <n v="128.977"/>
    <n v="4"/>
    <n v="223480"/>
    <n v="4"/>
    <n v="223480"/>
    <n v="4"/>
    <n v="223480"/>
    <x v="0"/>
    <x v="0"/>
  </r>
  <r>
    <x v="0"/>
    <n v="5200000"/>
    <x v="25"/>
    <x v="24"/>
    <x v="20"/>
    <s v="Hey u x"/>
    <n v="63"/>
    <x v="26"/>
    <x v="24"/>
    <n v="-4.7460000000000004"/>
    <x v="1"/>
    <n v="7"/>
    <n v="5.1499999999999997E-2"/>
    <n v="0.29099999999999998"/>
    <n v="2.0900000000000001E-4"/>
    <x v="23"/>
    <n v="0.84099999999999997"/>
    <n v="128.97800000000001"/>
    <n v="4"/>
    <n v="223488"/>
    <n v="4"/>
    <n v="223488"/>
    <n v="4"/>
    <n v="223488"/>
    <x v="0"/>
    <x v="0"/>
  </r>
  <r>
    <x v="3"/>
    <n v="5100000"/>
    <x v="26"/>
    <x v="25"/>
    <x v="21"/>
    <s v="SugarCrash!"/>
    <n v="1"/>
    <x v="21"/>
    <x v="25"/>
    <n v="-6.5579999999999998"/>
    <x v="1"/>
    <n v="0"/>
    <n v="9.7000000000000003E-2"/>
    <n v="0.53"/>
    <n v="7.3700000000000002E-5"/>
    <x v="24"/>
    <n v="0.36"/>
    <n v="97.734999999999999"/>
    <n v="4"/>
    <n v="80118"/>
    <n v="4"/>
    <n v="80118"/>
    <n v="4"/>
    <n v="80118"/>
    <x v="0"/>
    <x v="0"/>
  </r>
  <r>
    <x v="2"/>
    <n v="4900000"/>
    <x v="27"/>
    <x v="26"/>
    <x v="22"/>
    <s v="Halloween Howls: Fun &amp; Scary Music"/>
    <n v="50"/>
    <x v="27"/>
    <x v="26"/>
    <n v="-10.180999999999999"/>
    <x v="1"/>
    <n v="7"/>
    <n v="4.6100000000000002E-2"/>
    <n v="0.27"/>
    <n v="3.7000000000000002E-6"/>
    <x v="25"/>
    <n v="0.91400000000000003"/>
    <n v="77.033000000000001"/>
    <n v="5"/>
    <n v="127627"/>
    <n v="5"/>
    <n v="127627"/>
    <n v="5"/>
    <n v="127627"/>
    <x v="0"/>
    <x v="0"/>
  </r>
  <r>
    <x v="3"/>
    <n v="4700000"/>
    <x v="28"/>
    <x v="27"/>
    <x v="5"/>
    <s v="Feel Something"/>
    <n v="86"/>
    <x v="28"/>
    <x v="9"/>
    <n v="-6.9409999999999998"/>
    <x v="0"/>
    <n v="11"/>
    <n v="4.4400000000000002E-2"/>
    <n v="0.14799999999999999"/>
    <n v="5.2899999999999998E-5"/>
    <x v="26"/>
    <n v="0.49399999999999999"/>
    <n v="121.96299999999999"/>
    <n v="4"/>
    <n v="237720"/>
    <n v="4"/>
    <n v="237720"/>
    <n v="4"/>
    <n v="237720"/>
    <x v="0"/>
    <x v="0"/>
  </r>
  <r>
    <x v="3"/>
    <n v="4500000"/>
    <x v="29"/>
    <x v="28"/>
    <x v="23"/>
    <s v="Take"/>
    <n v="71"/>
    <x v="21"/>
    <x v="27"/>
    <n v="-4.5910000000000002"/>
    <x v="1"/>
    <n v="10"/>
    <n v="3.27E-2"/>
    <n v="0.40500000000000003"/>
    <n v="1.83E-4"/>
    <x v="27"/>
    <n v="0.55600000000000005"/>
    <n v="99.912999999999997"/>
    <n v="4"/>
    <n v="214137"/>
    <n v="4"/>
    <n v="214137"/>
    <n v="4"/>
    <n v="214137"/>
    <x v="0"/>
    <x v="0"/>
  </r>
  <r>
    <x v="0"/>
    <n v="4400000"/>
    <x v="30"/>
    <x v="29"/>
    <x v="24"/>
    <s v="Soulection White Label - Monte Booker"/>
    <n v="56"/>
    <x v="29"/>
    <x v="28"/>
    <n v="-11.064"/>
    <x v="0"/>
    <n v="2"/>
    <n v="0.20499999999999999"/>
    <n v="0.26300000000000001"/>
    <n v="1.5600000000000001E-6"/>
    <x v="28"/>
    <n v="0.63600000000000001"/>
    <n v="129.58199999999999"/>
    <n v="4"/>
    <n v="177856"/>
    <n v="4"/>
    <n v="177856"/>
    <n v="4"/>
    <n v="177856"/>
    <x v="0"/>
    <x v="0"/>
  </r>
  <r>
    <x v="1"/>
    <n v="4200000"/>
    <x v="31"/>
    <x v="30"/>
    <x v="19"/>
    <s v="LALISA"/>
    <n v="79"/>
    <x v="30"/>
    <x v="29"/>
    <n v="-9.9979999999999993"/>
    <x v="0"/>
    <n v="1"/>
    <n v="0.218"/>
    <n v="0.161"/>
    <n v="6.1199999999999997E-5"/>
    <x v="29"/>
    <n v="0.39600000000000002"/>
    <n v="140.02600000000001"/>
    <n v="4"/>
    <n v="168228"/>
    <n v="4"/>
    <n v="168228"/>
    <n v="4"/>
    <n v="168228"/>
    <x v="0"/>
    <x v="0"/>
  </r>
  <r>
    <x v="3"/>
    <n v="4200000"/>
    <x v="31"/>
    <x v="30"/>
    <x v="19"/>
    <s v="LALISA"/>
    <n v="77"/>
    <x v="31"/>
    <x v="30"/>
    <n v="-10.121"/>
    <x v="0"/>
    <n v="1"/>
    <n v="0.23400000000000001"/>
    <n v="0.16300000000000001"/>
    <n v="4.1199999999999999E-5"/>
    <x v="30"/>
    <n v="0.4"/>
    <n v="140.03700000000001"/>
    <n v="4"/>
    <n v="168228"/>
    <n v="4"/>
    <n v="168228"/>
    <n v="4"/>
    <n v="168228"/>
    <x v="0"/>
    <x v="0"/>
  </r>
  <r>
    <x v="1"/>
    <n v="4100000"/>
    <x v="32"/>
    <x v="31"/>
    <x v="9"/>
    <s v="CKay The First"/>
    <n v="84"/>
    <x v="32"/>
    <x v="27"/>
    <n v="-3.8050000000000002"/>
    <x v="1"/>
    <n v="8"/>
    <n v="4.1099999999999998E-2"/>
    <n v="0.36499999999999999"/>
    <n v="1.3699999999999999E-3"/>
    <x v="31"/>
    <n v="0.53300000000000003"/>
    <n v="93.004999999999995"/>
    <n v="4"/>
    <n v="145800"/>
    <n v="4"/>
    <n v="145800"/>
    <n v="4"/>
    <n v="145800"/>
    <x v="0"/>
    <x v="0"/>
  </r>
  <r>
    <x v="1"/>
    <n v="4100000"/>
    <x v="33"/>
    <x v="32"/>
    <x v="5"/>
    <s v="death bed (coffee for your head)"/>
    <n v="82"/>
    <x v="33"/>
    <x v="15"/>
    <n v="-8.7650000000000006"/>
    <x v="0"/>
    <n v="8"/>
    <n v="0.13500000000000001"/>
    <n v="0.73099999999999998"/>
    <n v="0"/>
    <x v="32"/>
    <n v="0.34799999999999998"/>
    <n v="144.02600000000001"/>
    <n v="4"/>
    <n v="173333"/>
    <n v="4"/>
    <n v="173333"/>
    <n v="4"/>
    <n v="173333"/>
    <x v="0"/>
    <x v="0"/>
  </r>
  <r>
    <x v="3"/>
    <n v="4100000"/>
    <x v="32"/>
    <x v="31"/>
    <x v="9"/>
    <s v="CKay The First"/>
    <n v="84"/>
    <x v="32"/>
    <x v="27"/>
    <n v="-3.8050000000000002"/>
    <x v="1"/>
    <n v="8"/>
    <n v="4.1099999999999998E-2"/>
    <n v="0.36499999999999999"/>
    <n v="1.3699999999999999E-3"/>
    <x v="31"/>
    <n v="0.53300000000000003"/>
    <n v="93.004999999999995"/>
    <n v="4"/>
    <n v="145800"/>
    <n v="4"/>
    <n v="145800"/>
    <n v="4"/>
    <n v="145800"/>
    <x v="0"/>
    <x v="0"/>
  </r>
  <r>
    <x v="0"/>
    <n v="4100000"/>
    <x v="33"/>
    <x v="32"/>
    <x v="5"/>
    <s v="death bed (coffee for your head)"/>
    <n v="82"/>
    <x v="33"/>
    <x v="15"/>
    <n v="-8.7650000000000006"/>
    <x v="0"/>
    <n v="8"/>
    <n v="0.13500000000000001"/>
    <n v="0.73099999999999998"/>
    <n v="0"/>
    <x v="32"/>
    <n v="0.34799999999999998"/>
    <n v="144.02600000000001"/>
    <n v="4"/>
    <n v="173333"/>
    <n v="4"/>
    <n v="173333"/>
    <n v="4"/>
    <n v="173333"/>
    <x v="0"/>
    <x v="0"/>
  </r>
  <r>
    <x v="3"/>
    <n v="3800000"/>
    <x v="34"/>
    <x v="33"/>
    <x v="2"/>
    <s v="BOOM"/>
    <n v="69"/>
    <x v="7"/>
    <x v="31"/>
    <n v="-3.3860000000000001"/>
    <x v="1"/>
    <n v="2"/>
    <n v="5.0200000000000002E-2"/>
    <n v="1.6400000000000001E-2"/>
    <n v="6.2199999999999998E-3"/>
    <x v="33"/>
    <n v="0.20300000000000001"/>
    <n v="123.035"/>
    <n v="4"/>
    <n v="179512"/>
    <n v="4"/>
    <n v="179512"/>
    <n v="4"/>
    <n v="179512"/>
    <x v="0"/>
    <x v="0"/>
  </r>
  <r>
    <x v="0"/>
    <n v="3800000"/>
    <x v="35"/>
    <x v="34"/>
    <x v="10"/>
    <s v="No Idea"/>
    <n v="2"/>
    <x v="34"/>
    <x v="24"/>
    <n v="-5.7169999999999996"/>
    <x v="0"/>
    <n v="6"/>
    <n v="8.9599999999999999E-2"/>
    <n v="0.51900000000000002"/>
    <n v="5.7899999999999998E-4"/>
    <x v="34"/>
    <n v="0.35"/>
    <n v="127.994"/>
    <n v="4"/>
    <n v="154424"/>
    <n v="4"/>
    <n v="154424"/>
    <n v="4"/>
    <n v="154424"/>
    <x v="0"/>
    <x v="0"/>
  </r>
  <r>
    <x v="0"/>
    <n v="3800000"/>
    <x v="35"/>
    <x v="34"/>
    <x v="10"/>
    <s v="Heaven Or Hell"/>
    <n v="79"/>
    <x v="35"/>
    <x v="24"/>
    <n v="-5.718"/>
    <x v="0"/>
    <n v="6"/>
    <n v="8.9300000000000004E-2"/>
    <n v="0.52400000000000002"/>
    <n v="5.7899999999999998E-4"/>
    <x v="34"/>
    <n v="0.35"/>
    <n v="127.998"/>
    <n v="4"/>
    <n v="154424"/>
    <n v="4"/>
    <n v="154424"/>
    <n v="4"/>
    <n v="154424"/>
    <x v="0"/>
    <x v="0"/>
  </r>
  <r>
    <x v="2"/>
    <n v="3800000"/>
    <x v="35"/>
    <x v="34"/>
    <x v="10"/>
    <s v="No Idea"/>
    <n v="2"/>
    <x v="34"/>
    <x v="24"/>
    <n v="-5.7169999999999996"/>
    <x v="0"/>
    <n v="6"/>
    <n v="8.9599999999999999E-2"/>
    <n v="0.51900000000000002"/>
    <n v="5.7899999999999998E-4"/>
    <x v="34"/>
    <n v="0.35"/>
    <n v="127.994"/>
    <n v="4"/>
    <n v="154424"/>
    <n v="4"/>
    <n v="154424"/>
    <n v="4"/>
    <n v="154424"/>
    <x v="0"/>
    <x v="0"/>
  </r>
  <r>
    <x v="0"/>
    <n v="3600000"/>
    <x v="36"/>
    <x v="35"/>
    <x v="3"/>
    <s v="Cannibal (Expanded Edition)"/>
    <n v="66"/>
    <x v="36"/>
    <x v="32"/>
    <n v="-4.6760000000000002"/>
    <x v="1"/>
    <n v="1"/>
    <n v="0.106"/>
    <n v="7.7999999999999996E-3"/>
    <n v="1.6500000000000001E-2"/>
    <x v="35"/>
    <n v="0.57099999999999995"/>
    <n v="129.971"/>
    <n v="4"/>
    <n v="194253"/>
    <n v="4"/>
    <n v="194253"/>
    <n v="4"/>
    <n v="194253"/>
    <x v="0"/>
    <x v="0"/>
  </r>
  <r>
    <x v="0"/>
    <n v="3600000"/>
    <x v="37"/>
    <x v="36"/>
    <x v="25"/>
    <s v="M to the B"/>
    <n v="58"/>
    <x v="37"/>
    <x v="33"/>
    <n v="-6.9729999999999999"/>
    <x v="0"/>
    <n v="10"/>
    <n v="0.309"/>
    <n v="0.57099999999999995"/>
    <n v="0"/>
    <x v="36"/>
    <n v="0.69199999999999995"/>
    <n v="139.935"/>
    <n v="4"/>
    <n v="137744"/>
    <n v="4"/>
    <n v="137744"/>
    <n v="4"/>
    <n v="137744"/>
    <x v="0"/>
    <x v="0"/>
  </r>
  <r>
    <x v="0"/>
    <n v="3600000"/>
    <x v="38"/>
    <x v="37"/>
    <x v="21"/>
    <s v="Backyard Boogie"/>
    <n v="65"/>
    <x v="38"/>
    <x v="34"/>
    <n v="-5.6310000000000002"/>
    <x v="0"/>
    <n v="0"/>
    <n v="0.21099999999999999"/>
    <n v="0.57799999999999996"/>
    <n v="0"/>
    <x v="37"/>
    <n v="0.92700000000000005"/>
    <n v="173.53700000000001"/>
    <n v="4"/>
    <n v="192177"/>
    <n v="4"/>
    <n v="192177"/>
    <n v="4"/>
    <n v="192177"/>
    <x v="0"/>
    <x v="0"/>
  </r>
  <r>
    <x v="1"/>
    <n v="3500000"/>
    <x v="39"/>
    <x v="38"/>
    <x v="12"/>
    <s v="WAP (feat. Megan Thee Stallion)"/>
    <n v="80"/>
    <x v="39"/>
    <x v="35"/>
    <n v="-7.5090000000000003"/>
    <x v="1"/>
    <n v="1"/>
    <n v="0.375"/>
    <n v="1.9400000000000001E-2"/>
    <n v="0"/>
    <x v="38"/>
    <n v="0.35699999999999998"/>
    <n v="133.07300000000001"/>
    <n v="4"/>
    <n v="187541"/>
    <n v="4"/>
    <n v="187541"/>
    <n v="4"/>
    <n v="187541"/>
    <x v="0"/>
    <x v="0"/>
  </r>
  <r>
    <x v="3"/>
    <n v="3500000"/>
    <x v="40"/>
    <x v="39"/>
    <x v="19"/>
    <s v="Stuck in the Middle"/>
    <n v="0"/>
    <x v="40"/>
    <x v="36"/>
    <n v="-9.3079999999999998"/>
    <x v="1"/>
    <n v="2"/>
    <n v="4.48E-2"/>
    <n v="0.57399999999999995"/>
    <n v="0"/>
    <x v="39"/>
    <n v="0.76400000000000001"/>
    <n v="119.989"/>
    <n v="4"/>
    <n v="196000"/>
    <n v="4"/>
    <n v="196000"/>
    <n v="4"/>
    <n v="196000"/>
    <x v="0"/>
    <x v="0"/>
  </r>
  <r>
    <x v="0"/>
    <n v="3500000"/>
    <x v="41"/>
    <x v="40"/>
    <x v="26"/>
    <s v="R&amp;B Smooth Vibes"/>
    <n v="1"/>
    <x v="41"/>
    <x v="37"/>
    <n v="-10.599"/>
    <x v="1"/>
    <n v="5"/>
    <n v="9.06E-2"/>
    <n v="0.83"/>
    <n v="9.3800000000000003E-4"/>
    <x v="40"/>
    <n v="0.45100000000000001"/>
    <n v="120.063"/>
    <n v="4"/>
    <n v="148640"/>
    <n v="4"/>
    <n v="148640"/>
    <n v="4"/>
    <n v="148640"/>
    <x v="0"/>
    <x v="0"/>
  </r>
  <r>
    <x v="1"/>
    <n v="3300000"/>
    <x v="42"/>
    <x v="41"/>
    <x v="27"/>
    <s v="Ameno Amapiano Remix (You Wanna Bamba)"/>
    <n v="68"/>
    <x v="42"/>
    <x v="38"/>
    <n v="-5.8369999999999997"/>
    <x v="0"/>
    <n v="6"/>
    <n v="3.9300000000000002E-2"/>
    <n v="0.188"/>
    <n v="3.9500000000000001E-4"/>
    <x v="38"/>
    <n v="0.74299999999999999"/>
    <n v="112.998"/>
    <n v="4"/>
    <n v="227101"/>
    <n v="4"/>
    <n v="227101"/>
    <n v="4"/>
    <n v="227101"/>
    <x v="0"/>
    <x v="0"/>
  </r>
  <r>
    <x v="1"/>
    <n v="3300000"/>
    <x v="43"/>
    <x v="42"/>
    <x v="28"/>
    <s v="Buss It"/>
    <n v="0"/>
    <x v="43"/>
    <x v="39"/>
    <n v="-9.5410000000000004"/>
    <x v="1"/>
    <n v="9"/>
    <n v="0.17299999999999999"/>
    <n v="0.56899999999999995"/>
    <n v="3.14E-6"/>
    <x v="23"/>
    <n v="0.75"/>
    <n v="109.997"/>
    <n v="4"/>
    <n v="188735"/>
    <n v="4"/>
    <n v="188735"/>
    <n v="4"/>
    <n v="188735"/>
    <x v="0"/>
    <x v="0"/>
  </r>
  <r>
    <x v="0"/>
    <n v="3300000"/>
    <x v="44"/>
    <x v="43"/>
    <x v="29"/>
    <s v="Obnimi (Remix)"/>
    <n v="64"/>
    <x v="11"/>
    <x v="40"/>
    <n v="-4.234"/>
    <x v="0"/>
    <n v="7"/>
    <n v="8.5599999999999996E-2"/>
    <n v="0.19900000000000001"/>
    <n v="7.62E-3"/>
    <x v="41"/>
    <n v="0.51"/>
    <n v="75.984999999999999"/>
    <n v="4"/>
    <n v="229671"/>
    <n v="4"/>
    <n v="229671"/>
    <n v="4"/>
    <n v="229671"/>
    <x v="0"/>
    <x v="0"/>
  </r>
  <r>
    <x v="3"/>
    <n v="3200000"/>
    <x v="45"/>
    <x v="44"/>
    <x v="6"/>
    <s v="The Prelude"/>
    <n v="74"/>
    <x v="44"/>
    <x v="41"/>
    <n v="-5.9260000000000002"/>
    <x v="1"/>
    <n v="0"/>
    <n v="3.49E-2"/>
    <n v="0.77700000000000002"/>
    <n v="0"/>
    <x v="42"/>
    <n v="0.66700000000000004"/>
    <n v="91.921000000000006"/>
    <n v="4"/>
    <n v="170345"/>
    <n v="4"/>
    <n v="170345"/>
    <n v="4"/>
    <n v="170345"/>
    <x v="0"/>
    <x v="0"/>
  </r>
  <r>
    <x v="0"/>
    <n v="3200000"/>
    <x v="46"/>
    <x v="9"/>
    <x v="8"/>
    <s v="Amala"/>
    <n v="71"/>
    <x v="45"/>
    <x v="42"/>
    <n v="-5.8570000000000002"/>
    <x v="1"/>
    <n v="8"/>
    <n v="4.4400000000000002E-2"/>
    <n v="0.51300000000000001"/>
    <n v="0"/>
    <x v="43"/>
    <n v="0.20899999999999999"/>
    <n v="124.876"/>
    <n v="4"/>
    <n v="190920"/>
    <n v="4"/>
    <n v="190920"/>
    <n v="4"/>
    <n v="190920"/>
    <x v="0"/>
    <x v="0"/>
  </r>
  <r>
    <x v="2"/>
    <n v="3200000"/>
    <x v="46"/>
    <x v="9"/>
    <x v="8"/>
    <s v="Amala"/>
    <n v="71"/>
    <x v="45"/>
    <x v="42"/>
    <n v="-5.8570000000000002"/>
    <x v="1"/>
    <n v="8"/>
    <n v="4.4400000000000002E-2"/>
    <n v="0.51300000000000001"/>
    <n v="0"/>
    <x v="43"/>
    <n v="0.20899999999999999"/>
    <n v="124.876"/>
    <n v="4"/>
    <n v="190920"/>
    <n v="4"/>
    <n v="190920"/>
    <n v="4"/>
    <n v="190920"/>
    <x v="0"/>
    <x v="0"/>
  </r>
  <r>
    <x v="3"/>
    <n v="3000000"/>
    <x v="47"/>
    <x v="45"/>
    <x v="19"/>
    <s v="Daddy Cool"/>
    <n v="70"/>
    <x v="46"/>
    <x v="43"/>
    <n v="-11.47"/>
    <x v="0"/>
    <n v="6"/>
    <n v="4.5499999999999999E-2"/>
    <n v="0.46300000000000002"/>
    <n v="1.0200000000000001E-3"/>
    <x v="44"/>
    <n v="0.97"/>
    <n v="126.005"/>
    <n v="4"/>
    <n v="220667"/>
    <n v="4"/>
    <n v="220667"/>
    <n v="4"/>
    <n v="220667"/>
    <x v="0"/>
    <x v="0"/>
  </r>
  <r>
    <x v="1"/>
    <n v="2900000"/>
    <x v="48"/>
    <x v="46"/>
    <x v="28"/>
    <s v="Pepas"/>
    <n v="58"/>
    <x v="47"/>
    <x v="44"/>
    <n v="-4.9740000000000002"/>
    <x v="1"/>
    <n v="7"/>
    <n v="6.2600000000000003E-2"/>
    <n v="2.35E-2"/>
    <n v="0"/>
    <x v="45"/>
    <n v="0.14899999999999999"/>
    <n v="125.973"/>
    <n v="4"/>
    <n v="134330"/>
    <n v="4"/>
    <n v="134330"/>
    <n v="4"/>
    <n v="134330"/>
    <x v="0"/>
    <x v="0"/>
  </r>
  <r>
    <x v="1"/>
    <n v="2900000"/>
    <x v="49"/>
    <x v="47"/>
    <x v="30"/>
    <s v="Dark Lane Demo Tapes"/>
    <n v="69"/>
    <x v="48"/>
    <x v="23"/>
    <n v="-8.82"/>
    <x v="0"/>
    <n v="1"/>
    <n v="0.20899999999999999"/>
    <n v="0.28899999999999998"/>
    <n v="3.0400000000000001E-6"/>
    <x v="18"/>
    <n v="0.84499999999999997"/>
    <n v="81.603999999999999"/>
    <n v="4"/>
    <n v="247059"/>
    <n v="4"/>
    <n v="247059"/>
    <n v="4"/>
    <n v="247059"/>
    <x v="0"/>
    <x v="0"/>
  </r>
  <r>
    <x v="3"/>
    <n v="2900000"/>
    <x v="48"/>
    <x v="48"/>
    <x v="31"/>
    <s v="Pepas"/>
    <n v="87"/>
    <x v="49"/>
    <x v="45"/>
    <n v="-3.9550000000000001"/>
    <x v="1"/>
    <n v="7"/>
    <n v="3.4299999999999997E-2"/>
    <n v="7.7600000000000004E-3"/>
    <n v="6.9800000000000003E-5"/>
    <x v="46"/>
    <n v="0.442"/>
    <n v="130.001"/>
    <n v="4"/>
    <n v="287120"/>
    <n v="4"/>
    <n v="287120"/>
    <n v="4"/>
    <n v="287120"/>
    <x v="0"/>
    <x v="0"/>
  </r>
  <r>
    <x v="0"/>
    <n v="2900000"/>
    <x v="49"/>
    <x v="47"/>
    <x v="30"/>
    <s v="Toosie Slide"/>
    <n v="73"/>
    <x v="50"/>
    <x v="35"/>
    <n v="-9.75"/>
    <x v="0"/>
    <n v="1"/>
    <n v="0.20100000000000001"/>
    <n v="0.32100000000000001"/>
    <n v="6.1500000000000004E-6"/>
    <x v="47"/>
    <n v="0.83699999999999997"/>
    <n v="81.617999999999995"/>
    <n v="4"/>
    <n v="247059"/>
    <n v="4"/>
    <n v="247059"/>
    <n v="4"/>
    <n v="247059"/>
    <x v="0"/>
    <x v="0"/>
  </r>
  <r>
    <x v="1"/>
    <n v="2800000"/>
    <x v="50"/>
    <x v="49"/>
    <x v="10"/>
    <s v="Cry Baby (Deluxe Edition)"/>
    <n v="78"/>
    <x v="51"/>
    <x v="46"/>
    <n v="-5.077"/>
    <x v="1"/>
    <n v="5"/>
    <n v="4.7500000000000001E-2"/>
    <n v="0.61199999999999999"/>
    <n v="0"/>
    <x v="48"/>
    <n v="0.44600000000000001"/>
    <n v="123.97"/>
    <n v="4"/>
    <n v="179867"/>
    <n v="4"/>
    <n v="179867"/>
    <n v="4"/>
    <n v="179867"/>
    <x v="0"/>
    <x v="0"/>
  </r>
  <r>
    <x v="1"/>
    <n v="2800000"/>
    <x v="51"/>
    <x v="50"/>
    <x v="9"/>
    <s v="Tap In"/>
    <n v="67"/>
    <x v="52"/>
    <x v="34"/>
    <n v="-7.117"/>
    <x v="0"/>
    <n v="10"/>
    <n v="0.20399999999999999"/>
    <n v="5.7600000000000004E-3"/>
    <n v="4.9799999999999996E-4"/>
    <x v="49"/>
    <n v="0.432"/>
    <n v="100.036"/>
    <n v="4"/>
    <n v="139413"/>
    <n v="4"/>
    <n v="139413"/>
    <n v="4"/>
    <n v="139413"/>
    <x v="0"/>
    <x v="0"/>
  </r>
  <r>
    <x v="3"/>
    <n v="2800000"/>
    <x v="50"/>
    <x v="49"/>
    <x v="10"/>
    <s v="Cry Baby (Deluxe Edition)"/>
    <n v="78"/>
    <x v="51"/>
    <x v="46"/>
    <n v="-5.077"/>
    <x v="1"/>
    <n v="5"/>
    <n v="4.7500000000000001E-2"/>
    <n v="0.61199999999999999"/>
    <n v="0"/>
    <x v="48"/>
    <n v="0.44600000000000001"/>
    <n v="123.97"/>
    <n v="4"/>
    <n v="179867"/>
    <n v="4"/>
    <n v="179867"/>
    <n v="4"/>
    <n v="179867"/>
    <x v="0"/>
    <x v="0"/>
  </r>
  <r>
    <x v="0"/>
    <n v="2800000"/>
    <x v="50"/>
    <x v="49"/>
    <x v="10"/>
    <s v="Cry Baby (Deluxe Edition)"/>
    <n v="78"/>
    <x v="51"/>
    <x v="46"/>
    <n v="-5.077"/>
    <x v="1"/>
    <n v="5"/>
    <n v="4.7500000000000001E-2"/>
    <n v="0.61199999999999999"/>
    <n v="0"/>
    <x v="48"/>
    <n v="0.44600000000000001"/>
    <n v="123.97"/>
    <n v="4"/>
    <n v="179867"/>
    <n v="4"/>
    <n v="179867"/>
    <n v="4"/>
    <n v="179867"/>
    <x v="0"/>
    <x v="0"/>
  </r>
  <r>
    <x v="0"/>
    <n v="2800000"/>
    <x v="51"/>
    <x v="50"/>
    <x v="9"/>
    <s v="Tap In"/>
    <n v="67"/>
    <x v="52"/>
    <x v="34"/>
    <n v="-7.117"/>
    <x v="0"/>
    <n v="10"/>
    <n v="0.20399999999999999"/>
    <n v="5.7600000000000004E-3"/>
    <n v="4.9799999999999996E-4"/>
    <x v="49"/>
    <n v="0.432"/>
    <n v="100.036"/>
    <n v="4"/>
    <n v="139413"/>
    <n v="4"/>
    <n v="139413"/>
    <n v="4"/>
    <n v="139413"/>
    <x v="0"/>
    <x v="0"/>
  </r>
  <r>
    <x v="0"/>
    <n v="2800000"/>
    <x v="52"/>
    <x v="51"/>
    <x v="32"/>
    <s v="iSpy (feat. Lil Yachty)"/>
    <n v="72"/>
    <x v="53"/>
    <x v="47"/>
    <n v="-6.7450000000000001"/>
    <x v="1"/>
    <n v="7"/>
    <n v="0.28899999999999998"/>
    <n v="0.378"/>
    <n v="0"/>
    <x v="50"/>
    <n v="0.67200000000000004"/>
    <n v="75.016000000000005"/>
    <n v="4"/>
    <n v="253107"/>
    <n v="4"/>
    <n v="253107"/>
    <n v="4"/>
    <n v="253107"/>
    <x v="0"/>
    <x v="0"/>
  </r>
  <r>
    <x v="3"/>
    <n v="2700000"/>
    <x v="53"/>
    <x v="52"/>
    <x v="27"/>
    <s v="Renai Circulation (English Cover) [TV Size]"/>
    <n v="0"/>
    <x v="54"/>
    <x v="48"/>
    <n v="-12.145"/>
    <x v="1"/>
    <n v="4"/>
    <n v="8.5000000000000006E-2"/>
    <n v="0.252"/>
    <n v="1.43E-2"/>
    <x v="51"/>
    <n v="0.77200000000000002"/>
    <n v="120.01300000000001"/>
    <n v="4"/>
    <n v="91067"/>
    <n v="4"/>
    <n v="91067"/>
    <n v="4"/>
    <n v="91067"/>
    <x v="0"/>
    <x v="0"/>
  </r>
  <r>
    <x v="0"/>
    <n v="2700000"/>
    <x v="54"/>
    <x v="53"/>
    <x v="33"/>
    <s v="Wet (She Got Thatâ€¦)"/>
    <n v="56"/>
    <x v="55"/>
    <x v="49"/>
    <n v="-6.13"/>
    <x v="0"/>
    <n v="1"/>
    <n v="0.19400000000000001"/>
    <n v="0.23799999999999999"/>
    <n v="0"/>
    <x v="11"/>
    <n v="0.316"/>
    <n v="128.02199999999999"/>
    <n v="4"/>
    <n v="209848"/>
    <n v="4"/>
    <n v="209848"/>
    <n v="4"/>
    <n v="209848"/>
    <x v="0"/>
    <x v="0"/>
  </r>
  <r>
    <x v="1"/>
    <n v="2600000"/>
    <x v="55"/>
    <x v="54"/>
    <x v="34"/>
    <s v="Todo De Ti"/>
    <n v="82"/>
    <x v="56"/>
    <x v="50"/>
    <n v="-3.605"/>
    <x v="0"/>
    <n v="3"/>
    <n v="5.0599999999999999E-2"/>
    <n v="0.31"/>
    <n v="1.63E-4"/>
    <x v="52"/>
    <n v="0.34200000000000003"/>
    <n v="127.949"/>
    <n v="4"/>
    <n v="199604"/>
    <n v="4"/>
    <n v="199604"/>
    <n v="4"/>
    <n v="199604"/>
    <x v="0"/>
    <x v="0"/>
  </r>
  <r>
    <x v="1"/>
    <n v="2600000"/>
    <x v="56"/>
    <x v="55"/>
    <x v="18"/>
    <s v="Mood (feat. iann dior)"/>
    <n v="18"/>
    <x v="24"/>
    <x v="51"/>
    <n v="-3.5579999999999998"/>
    <x v="0"/>
    <n v="7"/>
    <n v="3.6900000000000002E-2"/>
    <n v="0.221"/>
    <n v="0"/>
    <x v="53"/>
    <n v="0.75600000000000001"/>
    <n v="90.989000000000004"/>
    <n v="4"/>
    <n v="140526"/>
    <n v="4"/>
    <n v="140526"/>
    <n v="4"/>
    <n v="140526"/>
    <x v="0"/>
    <x v="0"/>
  </r>
  <r>
    <x v="3"/>
    <n v="2600000"/>
    <x v="56"/>
    <x v="55"/>
    <x v="18"/>
    <s v="Mood (feat. iann dior)"/>
    <n v="18"/>
    <x v="24"/>
    <x v="51"/>
    <n v="-3.5579999999999998"/>
    <x v="0"/>
    <n v="7"/>
    <n v="3.6900000000000002E-2"/>
    <n v="0.221"/>
    <n v="0"/>
    <x v="53"/>
    <n v="0.75600000000000001"/>
    <n v="90.989000000000004"/>
    <n v="4"/>
    <n v="140526"/>
    <n v="4"/>
    <n v="140526"/>
    <n v="4"/>
    <n v="140526"/>
    <x v="0"/>
    <x v="0"/>
  </r>
  <r>
    <x v="3"/>
    <n v="2600000"/>
    <x v="57"/>
    <x v="56"/>
    <x v="35"/>
    <s v="Might Be - Single"/>
    <n v="49"/>
    <x v="57"/>
    <x v="52"/>
    <n v="-6.766"/>
    <x v="0"/>
    <n v="9"/>
    <n v="0.45800000000000002"/>
    <n v="0.378"/>
    <n v="0"/>
    <x v="47"/>
    <n v="0.69399999999999995"/>
    <n v="74.037000000000006"/>
    <n v="4"/>
    <n v="210704"/>
    <n v="4"/>
    <n v="210704"/>
    <n v="4"/>
    <n v="210704"/>
    <x v="0"/>
    <x v="0"/>
  </r>
  <r>
    <x v="0"/>
    <n v="2600000"/>
    <x v="56"/>
    <x v="55"/>
    <x v="18"/>
    <s v="El Dorado"/>
    <n v="83"/>
    <x v="58"/>
    <x v="10"/>
    <n v="-3.6709999999999998"/>
    <x v="0"/>
    <n v="7"/>
    <n v="3.61E-2"/>
    <n v="0.17399999999999999"/>
    <n v="0"/>
    <x v="54"/>
    <n v="0.73199999999999998"/>
    <n v="91.007000000000005"/>
    <n v="4"/>
    <n v="140533"/>
    <n v="4"/>
    <n v="140533"/>
    <n v="4"/>
    <n v="140533"/>
    <x v="0"/>
    <x v="0"/>
  </r>
  <r>
    <x v="2"/>
    <n v="2600000"/>
    <x v="58"/>
    <x v="57"/>
    <x v="11"/>
    <s v="fast"/>
    <n v="0"/>
    <x v="59"/>
    <x v="53"/>
    <n v="-10.269"/>
    <x v="0"/>
    <n v="7"/>
    <n v="0.22"/>
    <n v="0.16400000000000001"/>
    <n v="1.32E-2"/>
    <x v="55"/>
    <n v="0.52900000000000003"/>
    <n v="100.069"/>
    <n v="4"/>
    <n v="144000"/>
    <n v="4"/>
    <n v="144000"/>
    <n v="4"/>
    <n v="144000"/>
    <x v="0"/>
    <x v="0"/>
  </r>
  <r>
    <x v="1"/>
    <n v="2500000"/>
    <x v="59"/>
    <x v="58"/>
    <x v="11"/>
    <s v="Vacation"/>
    <n v="67"/>
    <x v="0"/>
    <x v="54"/>
    <n v="-5.5880000000000001"/>
    <x v="1"/>
    <n v="8"/>
    <n v="3.4000000000000002E-2"/>
    <n v="3.8100000000000002E-2"/>
    <n v="0"/>
    <x v="56"/>
    <n v="0.83899999999999997"/>
    <n v="150.06399999999999"/>
    <n v="4"/>
    <n v="209722"/>
    <n v="4"/>
    <n v="209722"/>
    <n v="4"/>
    <n v="209722"/>
    <x v="0"/>
    <x v="0"/>
  </r>
  <r>
    <x v="3"/>
    <n v="2500000"/>
    <x v="60"/>
    <x v="59"/>
    <x v="18"/>
    <s v="Title (Deluxe)"/>
    <n v="73"/>
    <x v="60"/>
    <x v="55"/>
    <n v="-4.3579999999999997"/>
    <x v="1"/>
    <n v="5"/>
    <n v="9.6600000000000005E-2"/>
    <n v="0.34300000000000003"/>
    <n v="2.6000000000000001E-6"/>
    <x v="57"/>
    <n v="0.88300000000000001"/>
    <n v="89.998000000000005"/>
    <n v="4"/>
    <n v="174733"/>
    <n v="4"/>
    <n v="174733"/>
    <n v="4"/>
    <n v="174733"/>
    <x v="0"/>
    <x v="0"/>
  </r>
  <r>
    <x v="1"/>
    <n v="2400000"/>
    <x v="61"/>
    <x v="60"/>
    <x v="12"/>
    <s v="Hounds Of Love"/>
    <n v="95"/>
    <x v="61"/>
    <x v="56"/>
    <n v="-13.122999999999999"/>
    <x v="0"/>
    <n v="10"/>
    <n v="5.5E-2"/>
    <n v="0.72"/>
    <n v="3.14E-3"/>
    <x v="58"/>
    <n v="0.19700000000000001"/>
    <n v="108.375"/>
    <n v="4"/>
    <n v="298933"/>
    <n v="4"/>
    <n v="298933"/>
    <n v="4"/>
    <n v="298933"/>
    <x v="0"/>
    <x v="0"/>
  </r>
  <r>
    <x v="0"/>
    <n v="2400000"/>
    <x v="62"/>
    <x v="61"/>
    <x v="2"/>
    <s v="Rolling Papers 2"/>
    <n v="59"/>
    <x v="62"/>
    <x v="57"/>
    <n v="-6.609"/>
    <x v="0"/>
    <n v="7"/>
    <n v="8.09E-2"/>
    <n v="9.35E-2"/>
    <n v="0"/>
    <x v="59"/>
    <n v="0.78400000000000003"/>
    <n v="87.581000000000003"/>
    <n v="4"/>
    <n v="200774"/>
    <n v="4"/>
    <n v="200774"/>
    <n v="4"/>
    <n v="200774"/>
    <x v="0"/>
    <x v="0"/>
  </r>
  <r>
    <x v="3"/>
    <n v="2300000"/>
    <x v="63"/>
    <x v="62"/>
    <x v="20"/>
    <s v="double take"/>
    <n v="6"/>
    <x v="63"/>
    <x v="39"/>
    <n v="-11.163"/>
    <x v="1"/>
    <n v="8"/>
    <n v="6.6500000000000004E-2"/>
    <n v="0.83699999999999997"/>
    <n v="0"/>
    <x v="60"/>
    <n v="0.223"/>
    <n v="109.069"/>
    <n v="4"/>
    <n v="171743"/>
    <n v="4"/>
    <n v="171743"/>
    <n v="4"/>
    <n v="171743"/>
    <x v="0"/>
    <x v="0"/>
  </r>
  <r>
    <x v="0"/>
    <n v="2300000"/>
    <x v="64"/>
    <x v="63"/>
    <x v="11"/>
    <s v="Deep End"/>
    <n v="68"/>
    <x v="64"/>
    <x v="58"/>
    <n v="-7.1360000000000001"/>
    <x v="0"/>
    <n v="4"/>
    <n v="0.23"/>
    <n v="0.75800000000000001"/>
    <n v="0"/>
    <x v="61"/>
    <n v="0.53500000000000003"/>
    <n v="124.749"/>
    <n v="4"/>
    <n v="141224"/>
    <n v="4"/>
    <n v="141224"/>
    <n v="4"/>
    <n v="141224"/>
    <x v="0"/>
    <x v="0"/>
  </r>
  <r>
    <x v="0"/>
    <n v="2300000"/>
    <x v="65"/>
    <x v="64"/>
    <x v="32"/>
    <s v="Mad at Disney"/>
    <n v="72"/>
    <x v="65"/>
    <x v="59"/>
    <n v="-7.3129999999999997"/>
    <x v="1"/>
    <n v="0"/>
    <n v="4.8599999999999997E-2"/>
    <n v="0.42399999999999999"/>
    <n v="7.3900000000000004E-6"/>
    <x v="62"/>
    <n v="0.71499999999999997"/>
    <n v="113.968"/>
    <n v="4"/>
    <n v="136839"/>
    <n v="4"/>
    <n v="136839"/>
    <n v="4"/>
    <n v="136839"/>
    <x v="0"/>
    <x v="0"/>
  </r>
  <r>
    <x v="1"/>
    <n v="2200000"/>
    <x v="66"/>
    <x v="65"/>
    <x v="36"/>
    <s v="Envolver"/>
    <n v="86"/>
    <x v="66"/>
    <x v="60"/>
    <n v="-5.4210000000000003"/>
    <x v="0"/>
    <n v="4"/>
    <n v="8.3299999999999999E-2"/>
    <n v="0.152"/>
    <n v="2.5400000000000002E-3"/>
    <x v="63"/>
    <n v="0.39600000000000002"/>
    <n v="91.992999999999995"/>
    <n v="4"/>
    <n v="193806"/>
    <n v="4"/>
    <n v="193806"/>
    <n v="4"/>
    <n v="193806"/>
    <x v="0"/>
    <x v="0"/>
  </r>
  <r>
    <x v="1"/>
    <n v="2200000"/>
    <x v="67"/>
    <x v="66"/>
    <x v="32"/>
    <s v="Falling"/>
    <n v="15"/>
    <x v="67"/>
    <x v="15"/>
    <n v="-8.7560000000000002"/>
    <x v="0"/>
    <n v="10"/>
    <n v="3.6400000000000002E-2"/>
    <n v="0.123"/>
    <n v="0"/>
    <x v="64"/>
    <n v="0.23599999999999999"/>
    <n v="127.08499999999999"/>
    <n v="4"/>
    <n v="159382"/>
    <n v="4"/>
    <n v="159382"/>
    <n v="4"/>
    <n v="159382"/>
    <x v="0"/>
    <x v="0"/>
  </r>
  <r>
    <x v="0"/>
    <n v="2200000"/>
    <x v="67"/>
    <x v="66"/>
    <x v="32"/>
    <s v="Falling"/>
    <n v="15"/>
    <x v="67"/>
    <x v="15"/>
    <n v="-8.7560000000000002"/>
    <x v="0"/>
    <n v="10"/>
    <n v="3.6400000000000002E-2"/>
    <n v="0.123"/>
    <n v="0"/>
    <x v="64"/>
    <n v="0.23599999999999999"/>
    <n v="127.08499999999999"/>
    <n v="4"/>
    <n v="159382"/>
    <n v="4"/>
    <n v="159382"/>
    <n v="4"/>
    <n v="159382"/>
    <x v="0"/>
    <x v="0"/>
  </r>
  <r>
    <x v="2"/>
    <n v="2200000"/>
    <x v="68"/>
    <x v="67"/>
    <x v="37"/>
    <s v="Mia Khalifa"/>
    <n v="60"/>
    <x v="66"/>
    <x v="20"/>
    <n v="-8.798"/>
    <x v="1"/>
    <n v="1"/>
    <n v="0.124"/>
    <n v="0.255"/>
    <n v="0"/>
    <x v="65"/>
    <n v="0.56399999999999995"/>
    <n v="145.01599999999999"/>
    <n v="4"/>
    <n v="177133"/>
    <n v="4"/>
    <n v="177133"/>
    <n v="4"/>
    <n v="177133"/>
    <x v="0"/>
    <x v="0"/>
  </r>
  <r>
    <x v="2"/>
    <n v="2200000"/>
    <x v="67"/>
    <x v="66"/>
    <x v="11"/>
    <s v="Falling"/>
    <n v="15"/>
    <x v="67"/>
    <x v="15"/>
    <n v="-8.7560000000000002"/>
    <x v="0"/>
    <n v="10"/>
    <n v="3.6400000000000002E-2"/>
    <n v="0.123"/>
    <n v="0"/>
    <x v="64"/>
    <n v="0.23599999999999999"/>
    <n v="127.08499999999999"/>
    <n v="4"/>
    <n v="159382"/>
    <n v="4"/>
    <n v="159382"/>
    <n v="4"/>
    <n v="159382"/>
    <x v="0"/>
    <x v="0"/>
  </r>
  <r>
    <x v="2"/>
    <n v="2200000"/>
    <x v="67"/>
    <x v="66"/>
    <x v="11"/>
    <s v="Nicotine"/>
    <n v="3"/>
    <x v="68"/>
    <x v="61"/>
    <n v="-8.7560000000000002"/>
    <x v="0"/>
    <n v="10"/>
    <n v="3.6400000000000002E-2"/>
    <n v="0.123"/>
    <n v="0"/>
    <x v="64"/>
    <n v="0.23599999999999999"/>
    <n v="127.087"/>
    <n v="4"/>
    <n v="159382"/>
    <n v="4"/>
    <n v="159382"/>
    <n v="4"/>
    <n v="159382"/>
    <x v="0"/>
    <x v="0"/>
  </r>
  <r>
    <x v="2"/>
    <n v="2200000"/>
    <x v="69"/>
    <x v="68"/>
    <x v="38"/>
    <s v="Heathers: The Musical (World Premiere Cast Recording)"/>
    <n v="54"/>
    <x v="17"/>
    <x v="62"/>
    <n v="-6.032"/>
    <x v="1"/>
    <n v="8"/>
    <n v="0.23200000000000001"/>
    <n v="0.53800000000000003"/>
    <n v="0"/>
    <x v="66"/>
    <n v="0.73399999999999999"/>
    <n v="118.06100000000001"/>
    <n v="4"/>
    <n v="254667"/>
    <n v="4"/>
    <n v="254667"/>
    <n v="4"/>
    <n v="254667"/>
    <x v="0"/>
    <x v="0"/>
  </r>
  <r>
    <x v="1"/>
    <n v="2100000"/>
    <x v="70"/>
    <x v="69"/>
    <x v="17"/>
    <s v="F*CK LOVE (SAVAGE)"/>
    <n v="80"/>
    <x v="69"/>
    <x v="63"/>
    <n v="-7.3570000000000002"/>
    <x v="1"/>
    <n v="0"/>
    <n v="2.9899999999999999E-2"/>
    <n v="0.21299999999999999"/>
    <n v="0"/>
    <x v="67"/>
    <n v="0.46700000000000003"/>
    <n v="93.004999999999995"/>
    <n v="4"/>
    <n v="161385"/>
    <n v="4"/>
    <n v="161385"/>
    <n v="4"/>
    <n v="161385"/>
    <x v="0"/>
    <x v="0"/>
  </r>
  <r>
    <x v="1"/>
    <n v="2000000"/>
    <x v="71"/>
    <x v="70"/>
    <x v="5"/>
    <s v="abcdefu"/>
    <n v="87"/>
    <x v="55"/>
    <x v="64"/>
    <n v="-5.6920000000000002"/>
    <x v="1"/>
    <n v="4"/>
    <n v="4.9299999999999997E-2"/>
    <n v="0.29899999999999999"/>
    <n v="0"/>
    <x v="68"/>
    <n v="0.41499999999999998"/>
    <n v="121.932"/>
    <n v="4"/>
    <n v="168602"/>
    <n v="4"/>
    <n v="168602"/>
    <n v="4"/>
    <n v="168602"/>
    <x v="0"/>
    <x v="0"/>
  </r>
  <r>
    <x v="1"/>
    <n v="2000000"/>
    <x v="72"/>
    <x v="71"/>
    <x v="0"/>
    <s v="TO THE MOON"/>
    <n v="79"/>
    <x v="21"/>
    <x v="65"/>
    <n v="-11.814"/>
    <x v="1"/>
    <n v="2"/>
    <n v="0.34599999999999997"/>
    <n v="4.5100000000000001E-2"/>
    <n v="7.5799999999999999E-3"/>
    <x v="69"/>
    <n v="0.38600000000000001"/>
    <n v="144.047"/>
    <n v="4"/>
    <n v="152137"/>
    <n v="4"/>
    <n v="152137"/>
    <n v="4"/>
    <n v="152137"/>
    <x v="0"/>
    <x v="0"/>
  </r>
  <r>
    <x v="1"/>
    <n v="2000000"/>
    <x v="73"/>
    <x v="9"/>
    <x v="8"/>
    <s v="Kiss Me More (feat. SZA)"/>
    <n v="82"/>
    <x v="49"/>
    <x v="66"/>
    <n v="-3.5409999999999999"/>
    <x v="1"/>
    <n v="8"/>
    <n v="2.86E-2"/>
    <n v="0.23499999999999999"/>
    <n v="1.5799999999999999E-4"/>
    <x v="23"/>
    <n v="0.74199999999999999"/>
    <n v="110.968"/>
    <n v="4"/>
    <n v="208867"/>
    <n v="4"/>
    <n v="208867"/>
    <n v="4"/>
    <n v="208867"/>
    <x v="0"/>
    <x v="0"/>
  </r>
  <r>
    <x v="3"/>
    <n v="2000000"/>
    <x v="73"/>
    <x v="9"/>
    <x v="8"/>
    <s v="Planet Her"/>
    <n v="82"/>
    <x v="70"/>
    <x v="67"/>
    <n v="-3.4630000000000001"/>
    <x v="1"/>
    <n v="8"/>
    <n v="2.8400000000000002E-2"/>
    <n v="0.25900000000000001"/>
    <n v="8.92E-5"/>
    <x v="70"/>
    <n v="0.78100000000000003"/>
    <n v="110.97"/>
    <n v="4"/>
    <n v="208667"/>
    <n v="4"/>
    <n v="208667"/>
    <n v="4"/>
    <n v="208667"/>
    <x v="0"/>
    <x v="0"/>
  </r>
  <r>
    <x v="3"/>
    <n v="2000000"/>
    <x v="72"/>
    <x v="71"/>
    <x v="0"/>
    <s v="TO THE MOON"/>
    <n v="79"/>
    <x v="21"/>
    <x v="65"/>
    <n v="-11.814"/>
    <x v="1"/>
    <n v="2"/>
    <n v="0.34599999999999997"/>
    <n v="4.5100000000000001E-2"/>
    <n v="7.5799999999999999E-3"/>
    <x v="69"/>
    <n v="0.38600000000000001"/>
    <n v="144.047"/>
    <n v="4"/>
    <n v="152137"/>
    <n v="4"/>
    <n v="152137"/>
    <n v="4"/>
    <n v="152137"/>
    <x v="0"/>
    <x v="0"/>
  </r>
  <r>
    <x v="0"/>
    <n v="2000000"/>
    <x v="74"/>
    <x v="72"/>
    <x v="39"/>
    <s v="Hood Baby"/>
    <n v="53"/>
    <x v="71"/>
    <x v="68"/>
    <n v="-11.848000000000001"/>
    <x v="0"/>
    <n v="11"/>
    <n v="0.44700000000000001"/>
    <n v="4.8800000000000003E-2"/>
    <n v="1.5699999999999999E-4"/>
    <x v="71"/>
    <n v="0.80600000000000005"/>
    <n v="126.065"/>
    <n v="4"/>
    <n v="110063"/>
    <n v="4"/>
    <n v="110063"/>
    <n v="4"/>
    <n v="110063"/>
    <x v="0"/>
    <x v="0"/>
  </r>
  <r>
    <x v="2"/>
    <n v="2000000"/>
    <x v="75"/>
    <x v="73"/>
    <x v="40"/>
    <s v="The Classic Years: 1956-1962"/>
    <n v="42"/>
    <x v="72"/>
    <x v="69"/>
    <n v="-8.4629999999999992"/>
    <x v="1"/>
    <n v="2"/>
    <n v="3.6299999999999999E-2"/>
    <n v="0.64300000000000002"/>
    <n v="0"/>
    <x v="72"/>
    <n v="0.80600000000000005"/>
    <n v="119.705"/>
    <n v="4"/>
    <n v="130973"/>
    <n v="4"/>
    <n v="130973"/>
    <n v="4"/>
    <n v="130973"/>
    <x v="0"/>
    <x v="0"/>
  </r>
  <r>
    <x v="1"/>
    <n v="1900000"/>
    <x v="76"/>
    <x v="9"/>
    <x v="8"/>
    <s v="Planet Her"/>
    <n v="89"/>
    <x v="1"/>
    <x v="70"/>
    <n v="-4.1749999999999998"/>
    <x v="0"/>
    <n v="5"/>
    <n v="8.5400000000000004E-2"/>
    <n v="8.8800000000000004E-2"/>
    <n v="2.9399999999999999E-3"/>
    <x v="1"/>
    <n v="0.88100000000000001"/>
    <n v="107.998"/>
    <n v="4"/>
    <n v="172627"/>
    <n v="4"/>
    <n v="172627"/>
    <n v="4"/>
    <n v="172627"/>
    <x v="0"/>
    <x v="0"/>
  </r>
  <r>
    <x v="1"/>
    <n v="1900000"/>
    <x v="77"/>
    <x v="74"/>
    <x v="8"/>
    <s v="Therefore I Am"/>
    <n v="75"/>
    <x v="73"/>
    <x v="71"/>
    <n v="-7.7729999999999997"/>
    <x v="0"/>
    <n v="11"/>
    <n v="6.9699999999999998E-2"/>
    <n v="0.218"/>
    <n v="0.13"/>
    <x v="73"/>
    <n v="0.71599999999999997"/>
    <n v="94.009"/>
    <n v="4"/>
    <n v="174321"/>
    <n v="4"/>
    <n v="174321"/>
    <n v="4"/>
    <n v="174321"/>
    <x v="0"/>
    <x v="0"/>
  </r>
  <r>
    <x v="3"/>
    <n v="1900000"/>
    <x v="76"/>
    <x v="9"/>
    <x v="8"/>
    <s v="Planet Her"/>
    <n v="89"/>
    <x v="1"/>
    <x v="70"/>
    <n v="-4.1749999999999998"/>
    <x v="0"/>
    <n v="5"/>
    <n v="8.5400000000000004E-2"/>
    <n v="8.8800000000000004E-2"/>
    <n v="2.9399999999999999E-3"/>
    <x v="1"/>
    <n v="0.88100000000000001"/>
    <n v="107.998"/>
    <n v="4"/>
    <n v="172627"/>
    <n v="4"/>
    <n v="172627"/>
    <n v="4"/>
    <n v="172627"/>
    <x v="0"/>
    <x v="0"/>
  </r>
  <r>
    <x v="0"/>
    <n v="1900000"/>
    <x v="78"/>
    <x v="75"/>
    <x v="41"/>
    <s v="LM5 (Deluxe)"/>
    <n v="66"/>
    <x v="5"/>
    <x v="72"/>
    <n v="-4.976"/>
    <x v="1"/>
    <n v="2"/>
    <n v="0.115"/>
    <n v="4.5100000000000001E-3"/>
    <n v="8.5400000000000005E-4"/>
    <x v="74"/>
    <n v="0.23400000000000001"/>
    <n v="114.001"/>
    <n v="4"/>
    <n v="154787"/>
    <n v="4"/>
    <n v="154787"/>
    <n v="4"/>
    <n v="154787"/>
    <x v="0"/>
    <x v="0"/>
  </r>
  <r>
    <x v="0"/>
    <n v="1900000"/>
    <x v="79"/>
    <x v="76"/>
    <x v="19"/>
    <s v="Roses (Imanbek Remix)"/>
    <n v="81"/>
    <x v="74"/>
    <x v="73"/>
    <n v="-5.484"/>
    <x v="1"/>
    <n v="8"/>
    <n v="4.9500000000000002E-2"/>
    <n v="1.67E-2"/>
    <n v="1.0699999999999999E-2"/>
    <x v="75"/>
    <n v="0.89800000000000002"/>
    <n v="121.97499999999999"/>
    <n v="4"/>
    <n v="176840"/>
    <n v="4"/>
    <n v="176840"/>
    <n v="4"/>
    <n v="176840"/>
    <x v="0"/>
    <x v="0"/>
  </r>
  <r>
    <x v="0"/>
    <n v="1900000"/>
    <x v="80"/>
    <x v="77"/>
    <x v="42"/>
    <s v="Go Go Go Who's Next?"/>
    <n v="35"/>
    <x v="75"/>
    <x v="74"/>
    <n v="-9.5039999999999996"/>
    <x v="0"/>
    <n v="10"/>
    <n v="0.32300000000000001"/>
    <n v="0.113"/>
    <n v="2.0900000000000001E-4"/>
    <x v="76"/>
    <n v="0.56799999999999995"/>
    <n v="104.998"/>
    <n v="4"/>
    <n v="188735"/>
    <n v="4"/>
    <n v="188735"/>
    <n v="4"/>
    <n v="188735"/>
    <x v="0"/>
    <x v="0"/>
  </r>
  <r>
    <x v="2"/>
    <n v="1900000"/>
    <x v="78"/>
    <x v="75"/>
    <x v="41"/>
    <s v="LM5 (Deluxe)"/>
    <n v="66"/>
    <x v="5"/>
    <x v="72"/>
    <n v="-4.976"/>
    <x v="1"/>
    <n v="2"/>
    <n v="0.115"/>
    <n v="4.5100000000000001E-3"/>
    <n v="8.5400000000000005E-4"/>
    <x v="74"/>
    <n v="0.23400000000000001"/>
    <n v="114.001"/>
    <n v="4"/>
    <n v="154787"/>
    <n v="4"/>
    <n v="154787"/>
    <n v="4"/>
    <n v="154787"/>
    <x v="0"/>
    <x v="0"/>
  </r>
  <r>
    <x v="1"/>
    <n v="1800000"/>
    <x v="81"/>
    <x v="78"/>
    <x v="12"/>
    <s v="About Damn Time"/>
    <n v="92"/>
    <x v="76"/>
    <x v="75"/>
    <n v="-6.3049999999999997"/>
    <x v="0"/>
    <n v="10"/>
    <n v="6.5600000000000006E-2"/>
    <n v="9.9500000000000005E-2"/>
    <n v="0"/>
    <x v="25"/>
    <n v="0.72199999999999998"/>
    <n v="108.96599999999999"/>
    <n v="4"/>
    <n v="191822"/>
    <n v="4"/>
    <n v="191822"/>
    <n v="4"/>
    <n v="191822"/>
    <x v="0"/>
    <x v="0"/>
  </r>
  <r>
    <x v="1"/>
    <n v="1800000"/>
    <x v="82"/>
    <x v="79"/>
    <x v="26"/>
    <s v="SALES LP"/>
    <n v="74"/>
    <x v="77"/>
    <x v="76"/>
    <n v="-8.9580000000000002"/>
    <x v="0"/>
    <n v="4"/>
    <n v="2.87E-2"/>
    <n v="0.85"/>
    <n v="0.24299999999999999"/>
    <x v="77"/>
    <n v="0.311"/>
    <n v="90.024000000000001"/>
    <n v="4"/>
    <n v="187333"/>
    <n v="4"/>
    <n v="187333"/>
    <n v="4"/>
    <n v="187333"/>
    <x v="0"/>
    <x v="0"/>
  </r>
  <r>
    <x v="1"/>
    <n v="1800000"/>
    <x v="83"/>
    <x v="50"/>
    <x v="9"/>
    <s v="Best Friend (feat. Doja Cat) [Remix EP]"/>
    <n v="45"/>
    <x v="78"/>
    <x v="45"/>
    <n v="-4.12"/>
    <x v="1"/>
    <n v="4"/>
    <n v="0.13600000000000001"/>
    <n v="3.0200000000000001E-3"/>
    <n v="3.6100000000000002E-6"/>
    <x v="78"/>
    <n v="0.40200000000000002"/>
    <n v="94.018000000000001"/>
    <n v="4"/>
    <n v="155884"/>
    <n v="4"/>
    <n v="155884"/>
    <n v="4"/>
    <n v="155884"/>
    <x v="0"/>
    <x v="0"/>
  </r>
  <r>
    <x v="1"/>
    <n v="1800000"/>
    <x v="84"/>
    <x v="80"/>
    <x v="17"/>
    <s v="TKN (feat. Travis Scott)"/>
    <n v="72"/>
    <x v="79"/>
    <x v="77"/>
    <n v="-6.266"/>
    <x v="0"/>
    <n v="0"/>
    <n v="0.46700000000000003"/>
    <n v="0.192"/>
    <n v="1.4899999999999999E-6"/>
    <x v="79"/>
    <n v="0.48499999999999999"/>
    <n v="94.634"/>
    <n v="4"/>
    <n v="129371"/>
    <n v="4"/>
    <n v="129371"/>
    <n v="4"/>
    <n v="129371"/>
    <x v="0"/>
    <x v="0"/>
  </r>
  <r>
    <x v="3"/>
    <n v="1800000"/>
    <x v="85"/>
    <x v="81"/>
    <x v="11"/>
    <s v="TWINNEM"/>
    <n v="57"/>
    <x v="80"/>
    <x v="78"/>
    <n v="-10.484"/>
    <x v="1"/>
    <n v="2"/>
    <n v="9.1200000000000003E-2"/>
    <n v="8.6599999999999996E-2"/>
    <n v="5.7800000000000002E-5"/>
    <x v="80"/>
    <n v="0.316"/>
    <n v="134.07900000000001"/>
    <n v="4"/>
    <n v="117067"/>
    <n v="4"/>
    <n v="117067"/>
    <n v="4"/>
    <n v="117067"/>
    <x v="0"/>
    <x v="0"/>
  </r>
  <r>
    <x v="0"/>
    <n v="1800000"/>
    <x v="86"/>
    <x v="82"/>
    <x v="24"/>
    <s v="My Heart Went Oops"/>
    <n v="51"/>
    <x v="81"/>
    <x v="17"/>
    <n v="-11.281000000000001"/>
    <x v="1"/>
    <n v="1"/>
    <n v="0.60699999999999998"/>
    <n v="0.11899999999999999"/>
    <n v="0"/>
    <x v="81"/>
    <n v="0.49"/>
    <n v="121.027"/>
    <n v="4"/>
    <n v="128926"/>
    <n v="4"/>
    <n v="128926"/>
    <n v="4"/>
    <n v="128926"/>
    <x v="0"/>
    <x v="0"/>
  </r>
  <r>
    <x v="0"/>
    <n v="1800000"/>
    <x v="87"/>
    <x v="83"/>
    <x v="0"/>
    <s v="Lalala"/>
    <n v="75"/>
    <x v="3"/>
    <x v="79"/>
    <n v="-7.899"/>
    <x v="1"/>
    <n v="2"/>
    <n v="8.4599999999999995E-2"/>
    <n v="0.17799999999999999"/>
    <n v="0"/>
    <x v="82"/>
    <n v="0.495"/>
    <n v="129.97200000000001"/>
    <n v="4"/>
    <n v="160627"/>
    <n v="4"/>
    <n v="160627"/>
    <n v="4"/>
    <n v="160627"/>
    <x v="0"/>
    <x v="0"/>
  </r>
  <r>
    <x v="0"/>
    <n v="1800000"/>
    <x v="84"/>
    <x v="80"/>
    <x v="17"/>
    <s v="TKN (feat. Travis Scott)"/>
    <n v="72"/>
    <x v="79"/>
    <x v="77"/>
    <n v="-6.266"/>
    <x v="0"/>
    <n v="0"/>
    <n v="0.46700000000000003"/>
    <n v="0.192"/>
    <n v="1.4899999999999999E-6"/>
    <x v="79"/>
    <n v="0.48499999999999999"/>
    <n v="94.634"/>
    <n v="4"/>
    <n v="129371"/>
    <n v="4"/>
    <n v="129371"/>
    <n v="4"/>
    <n v="129371"/>
    <x v="0"/>
    <x v="0"/>
  </r>
  <r>
    <x v="2"/>
    <n v="1800000"/>
    <x v="87"/>
    <x v="83"/>
    <x v="0"/>
    <s v="Lalala"/>
    <n v="75"/>
    <x v="3"/>
    <x v="79"/>
    <n v="-7.899"/>
    <x v="1"/>
    <n v="2"/>
    <n v="8.4599999999999995E-2"/>
    <n v="0.17799999999999999"/>
    <n v="0"/>
    <x v="82"/>
    <n v="0.495"/>
    <n v="129.97200000000001"/>
    <n v="4"/>
    <n v="160627"/>
    <n v="4"/>
    <n v="160627"/>
    <n v="4"/>
    <n v="160627"/>
    <x v="0"/>
    <x v="0"/>
  </r>
  <r>
    <x v="2"/>
    <n v="1800000"/>
    <x v="88"/>
    <x v="84"/>
    <x v="5"/>
    <s v="Ride It"/>
    <n v="81"/>
    <x v="6"/>
    <x v="54"/>
    <n v="-4.258"/>
    <x v="0"/>
    <n v="7"/>
    <n v="8.7400000000000005E-2"/>
    <n v="0.17699999999999999"/>
    <n v="6.4300000000000004E-5"/>
    <x v="83"/>
    <n v="0.88400000000000001"/>
    <n v="117.94799999999999"/>
    <n v="4"/>
    <n v="157606"/>
    <n v="4"/>
    <n v="157606"/>
    <n v="4"/>
    <n v="157606"/>
    <x v="0"/>
    <x v="0"/>
  </r>
  <r>
    <x v="1"/>
    <n v="1700000"/>
    <x v="89"/>
    <x v="85"/>
    <x v="12"/>
    <s v="INDUSTRY BABY (feat. Jack Harlow)"/>
    <n v="86"/>
    <x v="0"/>
    <x v="80"/>
    <n v="-7.4089999999999998"/>
    <x v="0"/>
    <n v="3"/>
    <n v="6.1499999999999999E-2"/>
    <n v="2.0299999999999999E-2"/>
    <n v="0"/>
    <x v="14"/>
    <n v="0.89400000000000002"/>
    <n v="149.995"/>
    <n v="4"/>
    <n v="212000"/>
    <n v="4"/>
    <n v="212000"/>
    <n v="4"/>
    <n v="212000"/>
    <x v="0"/>
    <x v="0"/>
  </r>
  <r>
    <x v="1"/>
    <n v="1700000"/>
    <x v="90"/>
    <x v="86"/>
    <x v="0"/>
    <s v="Dinero"/>
    <n v="73"/>
    <x v="82"/>
    <x v="52"/>
    <n v="-4.6870000000000003"/>
    <x v="1"/>
    <n v="2"/>
    <n v="6.7400000000000002E-2"/>
    <n v="7.7200000000000003E-3"/>
    <n v="0"/>
    <x v="77"/>
    <n v="0.48399999999999999"/>
    <n v="119.997"/>
    <n v="4"/>
    <n v="160880"/>
    <n v="4"/>
    <n v="160880"/>
    <n v="4"/>
    <n v="160880"/>
    <x v="0"/>
    <x v="0"/>
  </r>
  <r>
    <x v="1"/>
    <n v="1700000"/>
    <x v="91"/>
    <x v="87"/>
    <x v="43"/>
    <s v="After Hours"/>
    <n v="90"/>
    <x v="83"/>
    <x v="81"/>
    <n v="-5.9340000000000002"/>
    <x v="1"/>
    <n v="1"/>
    <n v="5.9799999999999999E-2"/>
    <n v="1.4599999999999999E-3"/>
    <n v="9.5400000000000001E-5"/>
    <x v="84"/>
    <n v="0.33400000000000002"/>
    <n v="171.005"/>
    <n v="4"/>
    <n v="200040"/>
    <n v="4"/>
    <n v="200040"/>
    <n v="4"/>
    <n v="200040"/>
    <x v="0"/>
    <x v="0"/>
  </r>
  <r>
    <x v="1"/>
    <n v="1700000"/>
    <x v="92"/>
    <x v="88"/>
    <x v="0"/>
    <s v="BeVerly Hills BoYfRiEnd"/>
    <n v="0"/>
    <x v="84"/>
    <x v="49"/>
    <n v="-7.0369999999999999"/>
    <x v="1"/>
    <n v="5"/>
    <n v="0.189"/>
    <n v="0.33600000000000002"/>
    <n v="0"/>
    <x v="85"/>
    <n v="0.45200000000000001"/>
    <n v="138.02600000000001"/>
    <n v="4"/>
    <n v="129241"/>
    <n v="4"/>
    <n v="129241"/>
    <n v="4"/>
    <n v="129241"/>
    <x v="0"/>
    <x v="0"/>
  </r>
  <r>
    <x v="1"/>
    <n v="1700000"/>
    <x v="91"/>
    <x v="87"/>
    <x v="43"/>
    <s v="Blinding Lights"/>
    <n v="18"/>
    <x v="85"/>
    <x v="82"/>
    <n v="-4.0750000000000002"/>
    <x v="1"/>
    <n v="1"/>
    <n v="6.2899999999999998E-2"/>
    <n v="1.47E-3"/>
    <n v="2.0900000000000001E-4"/>
    <x v="86"/>
    <n v="0.34499999999999997"/>
    <n v="171.017"/>
    <n v="4"/>
    <n v="201573"/>
    <n v="4"/>
    <n v="201573"/>
    <n v="4"/>
    <n v="201573"/>
    <x v="0"/>
    <x v="0"/>
  </r>
  <r>
    <x v="3"/>
    <n v="1700000"/>
    <x v="93"/>
    <x v="89"/>
    <x v="44"/>
    <s v="Into Your Arms (feat. Ava Max)"/>
    <n v="77"/>
    <x v="86"/>
    <x v="83"/>
    <n v="-4.1130000000000004"/>
    <x v="0"/>
    <n v="3"/>
    <n v="0.215"/>
    <n v="1.34E-2"/>
    <n v="0"/>
    <x v="87"/>
    <n v="0.22800000000000001"/>
    <n v="170.03899999999999"/>
    <n v="4"/>
    <n v="186022"/>
    <n v="4"/>
    <n v="186022"/>
    <n v="4"/>
    <n v="186022"/>
    <x v="0"/>
    <x v="0"/>
  </r>
  <r>
    <x v="3"/>
    <n v="1700000"/>
    <x v="90"/>
    <x v="86"/>
    <x v="0"/>
    <s v="Dinero"/>
    <n v="73"/>
    <x v="82"/>
    <x v="52"/>
    <n v="-4.6870000000000003"/>
    <x v="1"/>
    <n v="2"/>
    <n v="6.7400000000000002E-2"/>
    <n v="7.7200000000000003E-3"/>
    <n v="0"/>
    <x v="77"/>
    <n v="0.48399999999999999"/>
    <n v="119.997"/>
    <n v="4"/>
    <n v="160880"/>
    <n v="4"/>
    <n v="160880"/>
    <n v="4"/>
    <n v="160880"/>
    <x v="0"/>
    <x v="0"/>
  </r>
  <r>
    <x v="3"/>
    <n v="1700000"/>
    <x v="94"/>
    <x v="90"/>
    <x v="45"/>
    <s v="Butter (Hotter, Sweeter, Cooler)"/>
    <n v="15"/>
    <x v="87"/>
    <x v="84"/>
    <n v="-5.1870000000000003"/>
    <x v="1"/>
    <n v="8"/>
    <n v="9.4799999999999995E-2"/>
    <n v="3.2299999999999998E-3"/>
    <n v="0"/>
    <x v="88"/>
    <n v="0.69499999999999995"/>
    <n v="109.997"/>
    <n v="4"/>
    <n v="164442"/>
    <n v="4"/>
    <n v="164442"/>
    <n v="4"/>
    <n v="164442"/>
    <x v="0"/>
    <x v="0"/>
  </r>
  <r>
    <x v="3"/>
    <n v="1700000"/>
    <x v="95"/>
    <x v="91"/>
    <x v="12"/>
    <s v="In The Lonely Hour"/>
    <n v="79"/>
    <x v="88"/>
    <x v="4"/>
    <n v="-6.6269999999999998"/>
    <x v="0"/>
    <n v="7"/>
    <n v="3.7900000000000003E-2"/>
    <n v="0.34300000000000003"/>
    <n v="2.1699999999999999E-5"/>
    <x v="16"/>
    <n v="0.48099999999999998"/>
    <n v="99.933000000000007"/>
    <n v="4"/>
    <n v="167066"/>
    <n v="4"/>
    <n v="167066"/>
    <n v="4"/>
    <n v="167066"/>
    <x v="0"/>
    <x v="0"/>
  </r>
  <r>
    <x v="0"/>
    <n v="1700000"/>
    <x v="91"/>
    <x v="87"/>
    <x v="43"/>
    <s v="After Hours"/>
    <n v="90"/>
    <x v="83"/>
    <x v="81"/>
    <n v="-5.9340000000000002"/>
    <x v="1"/>
    <n v="1"/>
    <n v="5.9799999999999999E-2"/>
    <n v="1.4599999999999999E-3"/>
    <n v="9.5400000000000001E-5"/>
    <x v="84"/>
    <n v="0.33400000000000002"/>
    <n v="171.005"/>
    <n v="4"/>
    <n v="200040"/>
    <n v="4"/>
    <n v="200040"/>
    <n v="4"/>
    <n v="200040"/>
    <x v="0"/>
    <x v="0"/>
  </r>
  <r>
    <x v="2"/>
    <n v="1700000"/>
    <x v="96"/>
    <x v="92"/>
    <x v="46"/>
    <s v="Be Gone Thot!"/>
    <n v="42"/>
    <x v="89"/>
    <x v="85"/>
    <n v="-5.9889999999999999"/>
    <x v="1"/>
    <n v="2"/>
    <n v="0.12"/>
    <n v="1.4200000000000001E-2"/>
    <n v="4.74E-5"/>
    <x v="89"/>
    <n v="0.45700000000000002"/>
    <n v="120.045"/>
    <n v="4"/>
    <n v="73000"/>
    <n v="4"/>
    <n v="73000"/>
    <n v="4"/>
    <n v="73000"/>
    <x v="0"/>
    <x v="0"/>
  </r>
  <r>
    <x v="1"/>
    <n v="1600000"/>
    <x v="97"/>
    <x v="93"/>
    <x v="28"/>
    <s v="Skechers"/>
    <n v="0"/>
    <x v="90"/>
    <x v="86"/>
    <n v="-9.8279999999999994"/>
    <x v="1"/>
    <n v="1"/>
    <n v="8.3599999999999994E-2"/>
    <n v="0.32600000000000001"/>
    <n v="1.6799999999999999E-2"/>
    <x v="51"/>
    <n v="0.27700000000000002"/>
    <n v="99.998000000000005"/>
    <n v="4"/>
    <n v="106031"/>
    <n v="4"/>
    <n v="106031"/>
    <n v="4"/>
    <n v="106031"/>
    <x v="0"/>
    <x v="0"/>
  </r>
  <r>
    <x v="3"/>
    <n v="1600000"/>
    <x v="98"/>
    <x v="94"/>
    <x v="6"/>
    <s v="NAKAMURA"/>
    <n v="72"/>
    <x v="58"/>
    <x v="87"/>
    <n v="-3.9409999999999998"/>
    <x v="0"/>
    <n v="8"/>
    <n v="8.5500000000000007E-2"/>
    <n v="0.27"/>
    <n v="0"/>
    <x v="56"/>
    <n v="0.90400000000000003"/>
    <n v="180.02699999999999"/>
    <n v="4"/>
    <n v="171720"/>
    <n v="4"/>
    <n v="171720"/>
    <n v="4"/>
    <n v="171720"/>
    <x v="0"/>
    <x v="0"/>
  </r>
  <r>
    <x v="0"/>
    <n v="1600000"/>
    <x v="99"/>
    <x v="82"/>
    <x v="24"/>
    <s v="Muffins In The Freezer"/>
    <n v="47"/>
    <x v="91"/>
    <x v="17"/>
    <n v="-8.6959999999999997"/>
    <x v="1"/>
    <n v="0"/>
    <n v="0.434"/>
    <n v="7.7799999999999994E-2"/>
    <n v="1.1200000000000001E-6"/>
    <x v="90"/>
    <n v="0.48599999999999999"/>
    <n v="120.03"/>
    <n v="4"/>
    <n v="106016"/>
    <n v="4"/>
    <n v="106016"/>
    <n v="4"/>
    <n v="106016"/>
    <x v="0"/>
    <x v="0"/>
  </r>
  <r>
    <x v="0"/>
    <n v="1600000"/>
    <x v="88"/>
    <x v="84"/>
    <x v="5"/>
    <s v="Ride It"/>
    <n v="81"/>
    <x v="6"/>
    <x v="54"/>
    <n v="-4.258"/>
    <x v="0"/>
    <n v="7"/>
    <n v="8.7400000000000005E-2"/>
    <n v="0.17699999999999999"/>
    <n v="6.4300000000000004E-5"/>
    <x v="83"/>
    <n v="0.88400000000000001"/>
    <n v="117.94799999999999"/>
    <n v="4"/>
    <n v="157606"/>
    <n v="4"/>
    <n v="157606"/>
    <n v="4"/>
    <n v="157606"/>
    <x v="0"/>
    <x v="0"/>
  </r>
  <r>
    <x v="0"/>
    <n v="1600000"/>
    <x v="100"/>
    <x v="95"/>
    <x v="26"/>
    <s v="Make You Mine"/>
    <n v="77"/>
    <x v="92"/>
    <x v="88"/>
    <n v="-4.452"/>
    <x v="1"/>
    <n v="9"/>
    <n v="2.6100000000000002E-2"/>
    <n v="1.2800000000000001E-2"/>
    <n v="0"/>
    <x v="10"/>
    <n v="0.63800000000000001"/>
    <n v="103.014"/>
    <n v="4"/>
    <n v="232907"/>
    <n v="4"/>
    <n v="232907"/>
    <n v="4"/>
    <n v="232907"/>
    <x v="0"/>
    <x v="0"/>
  </r>
  <r>
    <x v="2"/>
    <n v="1600000"/>
    <x v="100"/>
    <x v="95"/>
    <x v="26"/>
    <s v="Make You Mine"/>
    <n v="77"/>
    <x v="92"/>
    <x v="88"/>
    <n v="-4.452"/>
    <x v="1"/>
    <n v="9"/>
    <n v="2.6100000000000002E-2"/>
    <n v="1.2800000000000001E-2"/>
    <n v="0"/>
    <x v="10"/>
    <n v="0.63800000000000001"/>
    <n v="103.014"/>
    <n v="4"/>
    <n v="232907"/>
    <n v="4"/>
    <n v="232907"/>
    <n v="4"/>
    <n v="232907"/>
    <x v="0"/>
    <x v="0"/>
  </r>
  <r>
    <x v="1"/>
    <n v="1500000"/>
    <x v="101"/>
    <x v="96"/>
    <x v="47"/>
    <s v="Leave The Door Open"/>
    <n v="31"/>
    <x v="93"/>
    <x v="89"/>
    <n v="-7.9640000000000004"/>
    <x v="1"/>
    <n v="5"/>
    <n v="3.2399999999999998E-2"/>
    <n v="0.182"/>
    <n v="0"/>
    <x v="91"/>
    <n v="0.71899999999999997"/>
    <n v="148.08799999999999"/>
    <n v="4"/>
    <n v="242096"/>
    <n v="4"/>
    <n v="242096"/>
    <n v="4"/>
    <n v="242096"/>
    <x v="0"/>
    <x v="0"/>
  </r>
  <r>
    <x v="1"/>
    <n v="1500000"/>
    <x v="102"/>
    <x v="97"/>
    <x v="23"/>
    <s v="The Git Up"/>
    <n v="3"/>
    <x v="5"/>
    <x v="90"/>
    <n v="-8.6349999999999998"/>
    <x v="1"/>
    <n v="9"/>
    <n v="0.109"/>
    <n v="6.6900000000000001E-2"/>
    <n v="0"/>
    <x v="92"/>
    <n v="0.81100000000000005"/>
    <n v="97.983999999999995"/>
    <n v="4"/>
    <n v="200594"/>
    <n v="4"/>
    <n v="200594"/>
    <n v="4"/>
    <n v="200594"/>
    <x v="0"/>
    <x v="0"/>
  </r>
  <r>
    <x v="3"/>
    <n v="1500000"/>
    <x v="101"/>
    <x v="96"/>
    <x v="47"/>
    <s v="Leave The Door Open"/>
    <n v="31"/>
    <x v="93"/>
    <x v="89"/>
    <n v="-7.9640000000000004"/>
    <x v="1"/>
    <n v="5"/>
    <n v="3.2399999999999998E-2"/>
    <n v="0.182"/>
    <n v="0"/>
    <x v="91"/>
    <n v="0.71899999999999997"/>
    <n v="148.08799999999999"/>
    <n v="4"/>
    <n v="242096"/>
    <n v="4"/>
    <n v="242096"/>
    <n v="4"/>
    <n v="242096"/>
    <x v="0"/>
    <x v="0"/>
  </r>
  <r>
    <x v="3"/>
    <n v="1500000"/>
    <x v="103"/>
    <x v="90"/>
    <x v="45"/>
    <s v="Butter / Permission to Dance"/>
    <n v="11"/>
    <x v="94"/>
    <x v="3"/>
    <n v="-5.33"/>
    <x v="1"/>
    <n v="9"/>
    <n v="4.2700000000000002E-2"/>
    <n v="5.4400000000000004E-3"/>
    <n v="0"/>
    <x v="93"/>
    <n v="0.64600000000000002"/>
    <n v="124.925"/>
    <n v="4"/>
    <n v="187585"/>
    <n v="4"/>
    <n v="187585"/>
    <n v="4"/>
    <n v="187585"/>
    <x v="0"/>
    <x v="0"/>
  </r>
  <r>
    <x v="3"/>
    <n v="1500000"/>
    <x v="104"/>
    <x v="98"/>
    <x v="36"/>
    <s v="Heat Waves"/>
    <n v="85"/>
    <x v="95"/>
    <x v="20"/>
    <n v="-6.9"/>
    <x v="1"/>
    <n v="11"/>
    <n v="9.4399999999999998E-2"/>
    <n v="0.44"/>
    <n v="6.7000000000000002E-6"/>
    <x v="94"/>
    <n v="0.53100000000000003"/>
    <n v="80.87"/>
    <n v="4"/>
    <n v="238805"/>
    <n v="4"/>
    <n v="238805"/>
    <n v="4"/>
    <n v="238805"/>
    <x v="0"/>
    <x v="0"/>
  </r>
  <r>
    <x v="0"/>
    <n v="1500000"/>
    <x v="105"/>
    <x v="99"/>
    <x v="31"/>
    <s v="Beautiful Thugger Girls"/>
    <n v="69"/>
    <x v="96"/>
    <x v="91"/>
    <n v="-6.3360000000000003"/>
    <x v="1"/>
    <n v="2"/>
    <n v="6.2700000000000006E-2"/>
    <n v="2.5200000000000001E-3"/>
    <n v="0"/>
    <x v="16"/>
    <n v="0.29799999999999999"/>
    <n v="145.99199999999999"/>
    <n v="4"/>
    <n v="215307"/>
    <n v="4"/>
    <n v="215307"/>
    <n v="4"/>
    <n v="215307"/>
    <x v="0"/>
    <x v="0"/>
  </r>
  <r>
    <x v="0"/>
    <n v="1500000"/>
    <x v="106"/>
    <x v="100"/>
    <x v="20"/>
    <s v="Thrill Seeker"/>
    <n v="69"/>
    <x v="97"/>
    <x v="92"/>
    <n v="-11.965"/>
    <x v="0"/>
    <n v="7"/>
    <n v="0.51500000000000001"/>
    <n v="0.433"/>
    <n v="0"/>
    <x v="95"/>
    <n v="0.41"/>
    <n v="179.755"/>
    <n v="4"/>
    <n v="194000"/>
    <n v="4"/>
    <n v="194000"/>
    <n v="4"/>
    <n v="194000"/>
    <x v="0"/>
    <x v="0"/>
  </r>
  <r>
    <x v="0"/>
    <n v="1500000"/>
    <x v="107"/>
    <x v="101"/>
    <x v="48"/>
    <s v="Round of Applause"/>
    <n v="44"/>
    <x v="98"/>
    <x v="72"/>
    <n v="-6.7759999999999998"/>
    <x v="0"/>
    <n v="11"/>
    <n v="6.7799999999999999E-2"/>
    <n v="0.49399999999999999"/>
    <n v="0"/>
    <x v="96"/>
    <n v="0.44800000000000001"/>
    <n v="110.45699999999999"/>
    <n v="4"/>
    <n v="346436"/>
    <n v="4"/>
    <n v="346436"/>
    <n v="4"/>
    <n v="346436"/>
    <x v="0"/>
    <x v="0"/>
  </r>
  <r>
    <x v="0"/>
    <n v="1500000"/>
    <x v="108"/>
    <x v="102"/>
    <x v="10"/>
    <s v="Euphoria (Original Score from the HBO Series)"/>
    <n v="78"/>
    <x v="99"/>
    <x v="93"/>
    <n v="-5.9630000000000001"/>
    <x v="1"/>
    <n v="5"/>
    <n v="0.11700000000000001"/>
    <n v="0.47099999999999997"/>
    <n v="0.26200000000000001"/>
    <x v="97"/>
    <n v="0.313"/>
    <n v="89.643000000000001"/>
    <n v="1"/>
    <n v="153294"/>
    <n v="1"/>
    <n v="153294"/>
    <n v="1"/>
    <n v="153294"/>
    <x v="0"/>
    <x v="0"/>
  </r>
  <r>
    <x v="1"/>
    <n v="1400000"/>
    <x v="109"/>
    <x v="103"/>
    <x v="10"/>
    <s v="Sin Miedo (del Amor y Otros Demonios) âˆž"/>
    <n v="82"/>
    <x v="100"/>
    <x v="94"/>
    <n v="-9.016"/>
    <x v="0"/>
    <n v="11"/>
    <n v="5.0200000000000002E-2"/>
    <n v="0.112"/>
    <n v="0"/>
    <x v="98"/>
    <n v="0.55300000000000005"/>
    <n v="83.97"/>
    <n v="4"/>
    <n v="160191"/>
    <n v="4"/>
    <n v="160191"/>
    <n v="4"/>
    <n v="160191"/>
    <x v="0"/>
    <x v="0"/>
  </r>
  <r>
    <x v="1"/>
    <n v="1400000"/>
    <x v="110"/>
    <x v="104"/>
    <x v="23"/>
    <s v="Put Your Records On"/>
    <n v="1"/>
    <x v="101"/>
    <x v="95"/>
    <n v="-10.776999999999999"/>
    <x v="0"/>
    <n v="6"/>
    <n v="5.3800000000000001E-2"/>
    <n v="5.8000000000000003E-2"/>
    <n v="1.01E-3"/>
    <x v="40"/>
    <n v="0.159"/>
    <n v="91.066000000000003"/>
    <n v="4"/>
    <n v="210463"/>
    <n v="4"/>
    <n v="210463"/>
    <n v="4"/>
    <n v="210463"/>
    <x v="0"/>
    <x v="0"/>
  </r>
  <r>
    <x v="1"/>
    <n v="1400000"/>
    <x v="111"/>
    <x v="105"/>
    <x v="26"/>
    <s v="Rockstar"/>
    <n v="69"/>
    <x v="102"/>
    <x v="96"/>
    <n v="-3.9780000000000002"/>
    <x v="1"/>
    <n v="11"/>
    <n v="6.0400000000000002E-2"/>
    <n v="0.14199999999999999"/>
    <n v="0.03"/>
    <x v="99"/>
    <n v="0.185"/>
    <n v="100.012"/>
    <n v="4"/>
    <n v="212280"/>
    <n v="4"/>
    <n v="212280"/>
    <n v="4"/>
    <n v="212280"/>
    <x v="0"/>
    <x v="0"/>
  </r>
  <r>
    <x v="3"/>
    <n v="1400000"/>
    <x v="112"/>
    <x v="106"/>
    <x v="17"/>
    <s v="One Of The Boys"/>
    <n v="70"/>
    <x v="103"/>
    <x v="97"/>
    <n v="-3.956"/>
    <x v="1"/>
    <n v="7"/>
    <n v="4.1799999999999997E-2"/>
    <n v="7.9499999999999994E-5"/>
    <n v="0"/>
    <x v="100"/>
    <n v="0.86099999999999999"/>
    <n v="132.03200000000001"/>
    <n v="4"/>
    <n v="220227"/>
    <n v="4"/>
    <n v="220227"/>
    <n v="4"/>
    <n v="220227"/>
    <x v="0"/>
    <x v="0"/>
  </r>
  <r>
    <x v="3"/>
    <n v="1400000"/>
    <x v="113"/>
    <x v="107"/>
    <x v="23"/>
    <s v="Desce Pro Play (PA PA PA)"/>
    <n v="64"/>
    <x v="39"/>
    <x v="98"/>
    <n v="-5.085"/>
    <x v="0"/>
    <n v="11"/>
    <n v="0.158"/>
    <n v="7.6899999999999996E-2"/>
    <n v="1.9199999999999998E-6"/>
    <x v="80"/>
    <n v="0.63500000000000001"/>
    <n v="100.009"/>
    <n v="4"/>
    <n v="168507"/>
    <n v="4"/>
    <n v="168507"/>
    <n v="4"/>
    <n v="168507"/>
    <x v="0"/>
    <x v="0"/>
  </r>
  <r>
    <x v="0"/>
    <n v="1400000"/>
    <x v="110"/>
    <x v="104"/>
    <x v="23"/>
    <s v="Put Your Records On"/>
    <n v="77"/>
    <x v="101"/>
    <x v="99"/>
    <n v="-10.778"/>
    <x v="0"/>
    <n v="6"/>
    <n v="5.3800000000000001E-2"/>
    <n v="5.6300000000000003E-2"/>
    <n v="8.8999999999999995E-4"/>
    <x v="40"/>
    <n v="0.151"/>
    <n v="91.066000000000003"/>
    <n v="4"/>
    <n v="210463"/>
    <n v="4"/>
    <n v="210463"/>
    <n v="4"/>
    <n v="210463"/>
    <x v="0"/>
    <x v="0"/>
  </r>
  <r>
    <x v="0"/>
    <n v="1400000"/>
    <x v="114"/>
    <x v="108"/>
    <x v="15"/>
    <s v="The Evolution"/>
    <n v="47"/>
    <x v="104"/>
    <x v="100"/>
    <n v="-6.8869999999999996"/>
    <x v="0"/>
    <n v="1"/>
    <n v="0.109"/>
    <n v="2.4799999999999999E-2"/>
    <n v="5.1399999999999999E-6"/>
    <x v="101"/>
    <n v="0.629"/>
    <n v="128.59299999999999"/>
    <n v="4"/>
    <n v="261880"/>
    <n v="4"/>
    <n v="261880"/>
    <n v="4"/>
    <n v="261880"/>
    <x v="0"/>
    <x v="0"/>
  </r>
  <r>
    <x v="0"/>
    <n v="1400000"/>
    <x v="115"/>
    <x v="109"/>
    <x v="45"/>
    <s v="Watermelon Sugar"/>
    <n v="27"/>
    <x v="105"/>
    <x v="101"/>
    <n v="-4.2089999999999996"/>
    <x v="1"/>
    <n v="0"/>
    <n v="4.65E-2"/>
    <n v="0.122"/>
    <n v="0"/>
    <x v="25"/>
    <n v="0.55700000000000005"/>
    <n v="95.39"/>
    <n v="4"/>
    <n v="174000"/>
    <n v="4"/>
    <n v="174000"/>
    <n v="4"/>
    <n v="174000"/>
    <x v="0"/>
    <x v="0"/>
  </r>
  <r>
    <x v="2"/>
    <n v="1400000"/>
    <x v="102"/>
    <x v="97"/>
    <x v="23"/>
    <s v="The Git Up"/>
    <n v="2"/>
    <x v="5"/>
    <x v="90"/>
    <n v="-8.6349999999999998"/>
    <x v="1"/>
    <n v="9"/>
    <n v="0.109"/>
    <n v="6.6900000000000001E-2"/>
    <n v="0"/>
    <x v="92"/>
    <n v="0.81100000000000005"/>
    <n v="97.983999999999995"/>
    <n v="4"/>
    <n v="200594"/>
    <n v="4"/>
    <n v="200594"/>
    <n v="4"/>
    <n v="200594"/>
    <x v="0"/>
    <x v="0"/>
  </r>
  <r>
    <x v="2"/>
    <n v="1400000"/>
    <x v="116"/>
    <x v="110"/>
    <x v="49"/>
    <s v="Eyes. Lips. Face."/>
    <n v="0"/>
    <x v="6"/>
    <x v="81"/>
    <n v="-7.008"/>
    <x v="1"/>
    <n v="6"/>
    <n v="0.18099999999999999"/>
    <n v="3.6499999999999998E-2"/>
    <n v="6.3300000000000004E-6"/>
    <x v="102"/>
    <n v="0.86"/>
    <n v="159.95699999999999"/>
    <n v="4"/>
    <n v="139500"/>
    <n v="4"/>
    <n v="139500"/>
    <n v="4"/>
    <n v="139500"/>
    <x v="0"/>
    <x v="0"/>
  </r>
  <r>
    <x v="2"/>
    <n v="1400000"/>
    <x v="114"/>
    <x v="108"/>
    <x v="15"/>
    <s v="Step Up Soundtrack"/>
    <n v="52"/>
    <x v="106"/>
    <x v="24"/>
    <n v="-5.9980000000000002"/>
    <x v="0"/>
    <n v="1"/>
    <n v="0.114"/>
    <n v="3.6600000000000001E-2"/>
    <n v="1.7999999999999999E-6"/>
    <x v="103"/>
    <n v="0.63"/>
    <n v="128.59700000000001"/>
    <n v="4"/>
    <n v="263373"/>
    <n v="4"/>
    <n v="263373"/>
    <n v="4"/>
    <n v="263373"/>
    <x v="0"/>
    <x v="0"/>
  </r>
  <r>
    <x v="1"/>
    <n v="1300000"/>
    <x v="117"/>
    <x v="38"/>
    <x v="12"/>
    <s v="Up (Instrumental)"/>
    <n v="70"/>
    <x v="107"/>
    <x v="102"/>
    <n v="-6.0439999999999996"/>
    <x v="1"/>
    <n v="11"/>
    <n v="0.26900000000000002"/>
    <n v="1.1999999999999999E-3"/>
    <n v="1.9300000000000001E-2"/>
    <x v="104"/>
    <n v="0.81899999999999995"/>
    <n v="166"/>
    <n v="4"/>
    <n v="156945"/>
    <n v="4"/>
    <n v="156945"/>
    <n v="4"/>
    <n v="156945"/>
    <x v="0"/>
    <x v="0"/>
  </r>
  <r>
    <x v="1"/>
    <n v="1300000"/>
    <x v="118"/>
    <x v="111"/>
    <x v="36"/>
    <s v="Please Excuse Me for Being Antisocial"/>
    <n v="81"/>
    <x v="54"/>
    <x v="103"/>
    <n v="-6.6870000000000003"/>
    <x v="0"/>
    <n v="10"/>
    <n v="5.5899999999999998E-2"/>
    <n v="0.104"/>
    <n v="0"/>
    <x v="105"/>
    <n v="0.64200000000000002"/>
    <n v="116.971"/>
    <n v="4"/>
    <n v="196653"/>
    <n v="4"/>
    <n v="196653"/>
    <n v="4"/>
    <n v="196653"/>
    <x v="0"/>
    <x v="0"/>
  </r>
  <r>
    <x v="0"/>
    <n v="1300000"/>
    <x v="119"/>
    <x v="112"/>
    <x v="44"/>
    <s v="Pop Food"/>
    <n v="72"/>
    <x v="108"/>
    <x v="104"/>
    <n v="-9.0660000000000007"/>
    <x v="1"/>
    <n v="7"/>
    <n v="3.8399999999999997E-2"/>
    <n v="0.72299999999999998"/>
    <n v="0.81"/>
    <x v="106"/>
    <n v="0.55100000000000005"/>
    <n v="120.04600000000001"/>
    <n v="4"/>
    <n v="208026"/>
    <n v="4"/>
    <n v="208026"/>
    <n v="4"/>
    <n v="208026"/>
    <x v="0"/>
    <x v="0"/>
  </r>
  <r>
    <x v="0"/>
    <n v="1300000"/>
    <x v="118"/>
    <x v="111"/>
    <x v="36"/>
    <s v="Please Excuse Me for Being Antisocial"/>
    <n v="81"/>
    <x v="54"/>
    <x v="103"/>
    <n v="-6.6870000000000003"/>
    <x v="0"/>
    <n v="10"/>
    <n v="5.5899999999999998E-2"/>
    <n v="0.104"/>
    <n v="0"/>
    <x v="105"/>
    <n v="0.64200000000000002"/>
    <n v="116.971"/>
    <n v="4"/>
    <n v="196653"/>
    <n v="4"/>
    <n v="196653"/>
    <n v="4"/>
    <n v="196653"/>
    <x v="0"/>
    <x v="0"/>
  </r>
  <r>
    <x v="0"/>
    <n v="1300000"/>
    <x v="58"/>
    <x v="57"/>
    <x v="11"/>
    <s v="fast"/>
    <n v="0"/>
    <x v="59"/>
    <x v="53"/>
    <n v="-10.269"/>
    <x v="0"/>
    <n v="7"/>
    <n v="0.22"/>
    <n v="0.16400000000000001"/>
    <n v="1.32E-2"/>
    <x v="55"/>
    <n v="0.52900000000000003"/>
    <n v="100.069"/>
    <n v="4"/>
    <n v="144000"/>
    <n v="4"/>
    <n v="144000"/>
    <n v="4"/>
    <n v="144000"/>
    <x v="0"/>
    <x v="0"/>
  </r>
  <r>
    <x v="0"/>
    <n v="1300000"/>
    <x v="120"/>
    <x v="113"/>
    <x v="19"/>
    <s v="Dancing in My Room"/>
    <n v="75"/>
    <x v="109"/>
    <x v="63"/>
    <n v="-11.052"/>
    <x v="0"/>
    <n v="8"/>
    <n v="0.10100000000000001"/>
    <n v="0.67100000000000004"/>
    <n v="7.9499999999999994E-5"/>
    <x v="107"/>
    <n v="0.76400000000000001"/>
    <n v="119.99299999999999"/>
    <n v="4"/>
    <n v="180139"/>
    <n v="4"/>
    <n v="180139"/>
    <n v="4"/>
    <n v="180139"/>
    <x v="0"/>
    <x v="0"/>
  </r>
  <r>
    <x v="2"/>
    <n v="1300000"/>
    <x v="121"/>
    <x v="114"/>
    <x v="6"/>
    <s v="Hi, It's Me"/>
    <n v="70"/>
    <x v="110"/>
    <x v="105"/>
    <n v="-6.8810000000000002"/>
    <x v="1"/>
    <n v="2"/>
    <n v="0.114"/>
    <n v="4.5900000000000003E-3"/>
    <n v="0"/>
    <x v="108"/>
    <n v="0.54"/>
    <n v="149.90600000000001"/>
    <n v="4"/>
    <n v="167317"/>
    <n v="4"/>
    <n v="167317"/>
    <n v="4"/>
    <n v="167317"/>
    <x v="0"/>
    <x v="0"/>
  </r>
  <r>
    <x v="2"/>
    <n v="1300000"/>
    <x v="119"/>
    <x v="112"/>
    <x v="44"/>
    <s v="Pop Food"/>
    <n v="72"/>
    <x v="108"/>
    <x v="104"/>
    <n v="-9.0660000000000007"/>
    <x v="1"/>
    <n v="7"/>
    <n v="3.8399999999999997E-2"/>
    <n v="0.72299999999999998"/>
    <n v="0.81"/>
    <x v="106"/>
    <n v="0.55100000000000005"/>
    <n v="120.04600000000001"/>
    <n v="4"/>
    <n v="208026"/>
    <n v="4"/>
    <n v="208026"/>
    <n v="4"/>
    <n v="208026"/>
    <x v="0"/>
    <x v="0"/>
  </r>
  <r>
    <x v="2"/>
    <n v="1300000"/>
    <x v="122"/>
    <x v="115"/>
    <x v="19"/>
    <s v="A Thousand Years"/>
    <n v="80"/>
    <x v="111"/>
    <x v="106"/>
    <n v="-7.4450000000000003"/>
    <x v="1"/>
    <n v="10"/>
    <n v="2.6700000000000002E-2"/>
    <n v="0.309"/>
    <n v="9.6100000000000005E-4"/>
    <x v="40"/>
    <n v="0.161"/>
    <n v="139.02799999999999"/>
    <n v="3"/>
    <n v="285120"/>
    <n v="3"/>
    <n v="285120"/>
    <n v="3"/>
    <n v="285120"/>
    <x v="0"/>
    <x v="0"/>
  </r>
  <r>
    <x v="2"/>
    <n v="1300000"/>
    <x v="123"/>
    <x v="116"/>
    <x v="41"/>
    <s v="Celebration (double disc version)"/>
    <n v="78"/>
    <x v="112"/>
    <x v="107"/>
    <n v="-3.419"/>
    <x v="1"/>
    <n v="0"/>
    <n v="3.2899999999999999E-2"/>
    <n v="0.33300000000000002"/>
    <n v="7.5100000000000001E-6"/>
    <x v="109"/>
    <n v="0.97799999999999998"/>
    <n v="136.506"/>
    <n v="4"/>
    <n v="240280"/>
    <n v="4"/>
    <n v="240280"/>
    <n v="4"/>
    <n v="240280"/>
    <x v="0"/>
    <x v="0"/>
  </r>
  <r>
    <x v="1"/>
    <n v="1200000"/>
    <x v="124"/>
    <x v="117"/>
    <x v="28"/>
    <s v="Bundles (feat. Taylor Girlz)"/>
    <n v="67"/>
    <x v="113"/>
    <x v="108"/>
    <n v="-5.931"/>
    <x v="1"/>
    <n v="11"/>
    <n v="0.30599999999999999"/>
    <n v="1.5200000000000001E-3"/>
    <n v="0"/>
    <x v="110"/>
    <n v="0.58399999999999996"/>
    <n v="130.02199999999999"/>
    <n v="4"/>
    <n v="154806"/>
    <n v="4"/>
    <n v="154806"/>
    <n v="4"/>
    <n v="154806"/>
    <x v="0"/>
    <x v="0"/>
  </r>
  <r>
    <x v="1"/>
    <n v="1200000"/>
    <x v="125"/>
    <x v="118"/>
    <x v="32"/>
    <s v="ROXANNE"/>
    <n v="78"/>
    <x v="114"/>
    <x v="109"/>
    <n v="-5.6159999999999997"/>
    <x v="0"/>
    <n v="6"/>
    <n v="0.14799999999999999"/>
    <n v="5.2200000000000003E-2"/>
    <n v="0"/>
    <x v="111"/>
    <n v="0.45700000000000002"/>
    <n v="116.735"/>
    <n v="5"/>
    <n v="163636"/>
    <n v="5"/>
    <n v="163636"/>
    <n v="5"/>
    <n v="163636"/>
    <x v="0"/>
    <x v="0"/>
  </r>
  <r>
    <x v="3"/>
    <n v="1200000"/>
    <x v="124"/>
    <x v="117"/>
    <x v="28"/>
    <s v="Bundles (feat. Taylor Girlz)"/>
    <n v="67"/>
    <x v="113"/>
    <x v="108"/>
    <n v="-5.931"/>
    <x v="1"/>
    <n v="11"/>
    <n v="0.30599999999999999"/>
    <n v="1.5200000000000001E-3"/>
    <n v="0"/>
    <x v="110"/>
    <n v="0.58399999999999996"/>
    <n v="130.02199999999999"/>
    <n v="4"/>
    <n v="154806"/>
    <n v="4"/>
    <n v="154806"/>
    <n v="4"/>
    <n v="154806"/>
    <x v="0"/>
    <x v="0"/>
  </r>
  <r>
    <x v="3"/>
    <n v="1200000"/>
    <x v="126"/>
    <x v="119"/>
    <x v="44"/>
    <s v="WFM"/>
    <n v="3"/>
    <x v="115"/>
    <x v="110"/>
    <n v="-17.667000000000002"/>
    <x v="1"/>
    <n v="1"/>
    <n v="3.1300000000000001E-2"/>
    <n v="0.72"/>
    <n v="2.5300000000000001E-3"/>
    <x v="18"/>
    <n v="0.247"/>
    <n v="80.087999999999994"/>
    <n v="4"/>
    <n v="136000"/>
    <n v="4"/>
    <n v="136000"/>
    <n v="4"/>
    <n v="136000"/>
    <x v="0"/>
    <x v="0"/>
  </r>
  <r>
    <x v="0"/>
    <n v="1200000"/>
    <x v="127"/>
    <x v="79"/>
    <x v="26"/>
    <s v="Chinese New Year"/>
    <n v="66"/>
    <x v="116"/>
    <x v="40"/>
    <n v="-7.4219999999999997"/>
    <x v="0"/>
    <n v="4"/>
    <n v="0.253"/>
    <n v="0.75900000000000001"/>
    <n v="0.23200000000000001"/>
    <x v="112"/>
    <n v="0.749"/>
    <n v="75.221000000000004"/>
    <n v="4"/>
    <n v="160000"/>
    <n v="4"/>
    <n v="160000"/>
    <n v="4"/>
    <n v="160000"/>
    <x v="0"/>
    <x v="0"/>
  </r>
  <r>
    <x v="0"/>
    <n v="1200000"/>
    <x v="128"/>
    <x v="120"/>
    <x v="19"/>
    <s v="Certified Hitmaker"/>
    <n v="75"/>
    <x v="117"/>
    <x v="29"/>
    <n v="-7.9089999999999998"/>
    <x v="1"/>
    <n v="0"/>
    <n v="3.8300000000000001E-2"/>
    <n v="0.20699999999999999"/>
    <n v="0"/>
    <x v="113"/>
    <n v="0.34899999999999998"/>
    <n v="99.034000000000006"/>
    <n v="4"/>
    <n v="162547"/>
    <n v="4"/>
    <n v="162547"/>
    <n v="4"/>
    <n v="162547"/>
    <x v="0"/>
    <x v="0"/>
  </r>
  <r>
    <x v="0"/>
    <n v="1200000"/>
    <x v="125"/>
    <x v="118"/>
    <x v="32"/>
    <s v="ROXANNE"/>
    <n v="78"/>
    <x v="114"/>
    <x v="109"/>
    <n v="-5.6159999999999997"/>
    <x v="0"/>
    <n v="6"/>
    <n v="0.14799999999999999"/>
    <n v="5.2200000000000003E-2"/>
    <n v="0"/>
    <x v="111"/>
    <n v="0.45700000000000002"/>
    <n v="116.735"/>
    <n v="5"/>
    <n v="163636"/>
    <n v="5"/>
    <n v="163636"/>
    <n v="5"/>
    <n v="163636"/>
    <x v="0"/>
    <x v="0"/>
  </r>
  <r>
    <x v="0"/>
    <n v="1200000"/>
    <x v="129"/>
    <x v="121"/>
    <x v="50"/>
    <s v="Raydiation"/>
    <n v="63"/>
    <x v="118"/>
    <x v="111"/>
    <n v="-7.0419999999999998"/>
    <x v="0"/>
    <n v="5"/>
    <n v="0.28000000000000003"/>
    <n v="0.27800000000000002"/>
    <n v="0"/>
    <x v="114"/>
    <n v="0.60199999999999998"/>
    <n v="127.673"/>
    <n v="4"/>
    <n v="337640"/>
    <n v="4"/>
    <n v="337640"/>
    <n v="4"/>
    <n v="337640"/>
    <x v="0"/>
    <x v="0"/>
  </r>
  <r>
    <x v="0"/>
    <n v="1200000"/>
    <x v="130"/>
    <x v="122"/>
    <x v="51"/>
    <s v="Crust FM"/>
    <n v="60"/>
    <x v="119"/>
    <x v="112"/>
    <n v="-6.8680000000000003"/>
    <x v="1"/>
    <n v="9"/>
    <n v="0.17899999999999999"/>
    <n v="0.33"/>
    <n v="4.4499999999999997E-4"/>
    <x v="115"/>
    <n v="0.247"/>
    <n v="128.06399999999999"/>
    <n v="4"/>
    <n v="114660"/>
    <n v="4"/>
    <n v="114660"/>
    <n v="4"/>
    <n v="114660"/>
    <x v="0"/>
    <x v="0"/>
  </r>
  <r>
    <x v="2"/>
    <n v="1200000"/>
    <x v="127"/>
    <x v="79"/>
    <x v="26"/>
    <s v="SALES - EP"/>
    <n v="53"/>
    <x v="116"/>
    <x v="40"/>
    <n v="-7.4219999999999997"/>
    <x v="0"/>
    <n v="4"/>
    <n v="0.253"/>
    <n v="0.75900000000000001"/>
    <n v="0.23200000000000001"/>
    <x v="112"/>
    <n v="0.749"/>
    <n v="75.221000000000004"/>
    <n v="4"/>
    <n v="160000"/>
    <n v="4"/>
    <n v="160000"/>
    <n v="4"/>
    <n v="160000"/>
    <x v="0"/>
    <x v="0"/>
  </r>
  <r>
    <x v="2"/>
    <n v="1200000"/>
    <x v="130"/>
    <x v="122"/>
    <x v="51"/>
    <s v="Crust Fm"/>
    <n v="0"/>
    <x v="120"/>
    <x v="113"/>
    <n v="-9.0410000000000004"/>
    <x v="0"/>
    <n v="1"/>
    <n v="0.125"/>
    <n v="0.36"/>
    <n v="2.9299999999999999E-3"/>
    <x v="116"/>
    <n v="0.39600000000000002"/>
    <n v="128.20099999999999"/>
    <n v="4"/>
    <n v="115518"/>
    <n v="4"/>
    <n v="115518"/>
    <n v="4"/>
    <n v="115518"/>
    <x v="0"/>
    <x v="0"/>
  </r>
  <r>
    <x v="1"/>
    <n v="1100000"/>
    <x v="131"/>
    <x v="123"/>
    <x v="52"/>
    <s v="Cold As Ice"/>
    <n v="58"/>
    <x v="121"/>
    <x v="114"/>
    <n v="-7.4379999999999997"/>
    <x v="0"/>
    <n v="11"/>
    <n v="0.14699999999999999"/>
    <n v="2.7899999999999999E-3"/>
    <n v="5.0900000000000001E-4"/>
    <x v="117"/>
    <n v="0.42899999999999999"/>
    <n v="176.12299999999999"/>
    <n v="4"/>
    <n v="166504"/>
    <n v="4"/>
    <n v="166504"/>
    <n v="4"/>
    <n v="166504"/>
    <x v="0"/>
    <x v="0"/>
  </r>
  <r>
    <x v="1"/>
    <n v="1100000"/>
    <x v="132"/>
    <x v="124"/>
    <x v="53"/>
    <s v="Bad Habits"/>
    <n v="22"/>
    <x v="122"/>
    <x v="115"/>
    <n v="-3.7120000000000002"/>
    <x v="0"/>
    <n v="11"/>
    <n v="3.4799999999999998E-2"/>
    <n v="4.6899999999999997E-2"/>
    <n v="3.1399999999999998E-5"/>
    <x v="118"/>
    <n v="0.59099999999999997"/>
    <n v="126.026"/>
    <n v="4"/>
    <n v="231041"/>
    <n v="4"/>
    <n v="231041"/>
    <n v="4"/>
    <n v="231041"/>
    <x v="0"/>
    <x v="0"/>
  </r>
  <r>
    <x v="1"/>
    <n v="1100000"/>
    <x v="133"/>
    <x v="125"/>
    <x v="54"/>
    <s v="drivers license"/>
    <n v="29"/>
    <x v="123"/>
    <x v="116"/>
    <n v="-8.7609999999999992"/>
    <x v="1"/>
    <n v="10"/>
    <n v="6.0100000000000001E-2"/>
    <n v="0.72099999999999997"/>
    <n v="1.31E-5"/>
    <x v="56"/>
    <n v="0.13200000000000001"/>
    <n v="143.874"/>
    <n v="4"/>
    <n v="242014"/>
    <n v="4"/>
    <n v="242014"/>
    <n v="4"/>
    <n v="242014"/>
    <x v="0"/>
    <x v="0"/>
  </r>
  <r>
    <x v="3"/>
    <n v="1100000"/>
    <x v="133"/>
    <x v="125"/>
    <x v="54"/>
    <s v="SOUR"/>
    <n v="88"/>
    <x v="124"/>
    <x v="15"/>
    <n v="-8.81"/>
    <x v="1"/>
    <n v="10"/>
    <n v="5.7799999999999997E-2"/>
    <n v="0.76800000000000002"/>
    <n v="1.42E-5"/>
    <x v="83"/>
    <n v="0.13700000000000001"/>
    <n v="143.875"/>
    <n v="4"/>
    <n v="242013"/>
    <n v="4"/>
    <n v="242013"/>
    <n v="4"/>
    <n v="242013"/>
    <x v="0"/>
    <x v="0"/>
  </r>
  <r>
    <x v="3"/>
    <n v="1100000"/>
    <x v="132"/>
    <x v="124"/>
    <x v="53"/>
    <s v="Bad Habits"/>
    <n v="22"/>
    <x v="122"/>
    <x v="115"/>
    <n v="-3.7120000000000002"/>
    <x v="0"/>
    <n v="11"/>
    <n v="3.4799999999999998E-2"/>
    <n v="4.6899999999999997E-2"/>
    <n v="3.1399999999999998E-5"/>
    <x v="118"/>
    <n v="0.59099999999999997"/>
    <n v="126.026"/>
    <n v="4"/>
    <n v="231041"/>
    <n v="4"/>
    <n v="231041"/>
    <n v="4"/>
    <n v="231041"/>
    <x v="0"/>
    <x v="0"/>
  </r>
  <r>
    <x v="0"/>
    <n v="1100000"/>
    <x v="134"/>
    <x v="126"/>
    <x v="2"/>
    <s v="Romance"/>
    <n v="75"/>
    <x v="125"/>
    <x v="99"/>
    <n v="-6.024"/>
    <x v="1"/>
    <n v="8"/>
    <n v="2.9600000000000001E-2"/>
    <n v="1.7999999999999999E-2"/>
    <n v="1.29E-5"/>
    <x v="64"/>
    <n v="0.38300000000000001"/>
    <n v="105.04600000000001"/>
    <n v="4"/>
    <n v="170746"/>
    <n v="4"/>
    <n v="170746"/>
    <n v="4"/>
    <n v="170746"/>
    <x v="0"/>
    <x v="0"/>
  </r>
  <r>
    <x v="0"/>
    <n v="1100000"/>
    <x v="135"/>
    <x v="127"/>
    <x v="15"/>
    <s v="GINGER"/>
    <n v="73"/>
    <x v="126"/>
    <x v="117"/>
    <n v="-8.2119999999999997"/>
    <x v="1"/>
    <n v="1"/>
    <n v="6.3799999999999996E-2"/>
    <n v="0.44900000000000001"/>
    <n v="0"/>
    <x v="119"/>
    <n v="0.51600000000000001"/>
    <n v="122.973"/>
    <n v="4"/>
    <n v="204533"/>
    <n v="4"/>
    <n v="204533"/>
    <n v="4"/>
    <n v="204533"/>
    <x v="0"/>
    <x v="0"/>
  </r>
  <r>
    <x v="2"/>
    <n v="1100000"/>
    <x v="125"/>
    <x v="118"/>
    <x v="32"/>
    <s v="ROXANNE"/>
    <n v="78"/>
    <x v="114"/>
    <x v="109"/>
    <n v="-5.6159999999999997"/>
    <x v="0"/>
    <n v="6"/>
    <n v="0.14799999999999999"/>
    <n v="5.2200000000000003E-2"/>
    <n v="0"/>
    <x v="111"/>
    <n v="0.45700000000000002"/>
    <n v="116.735"/>
    <n v="5"/>
    <n v="163636"/>
    <n v="5"/>
    <n v="163636"/>
    <n v="5"/>
    <n v="163636"/>
    <x v="0"/>
    <x v="0"/>
  </r>
  <r>
    <x v="2"/>
    <n v="1100000"/>
    <x v="136"/>
    <x v="50"/>
    <x v="9"/>
    <s v="ICY"/>
    <n v="70"/>
    <x v="127"/>
    <x v="118"/>
    <n v="-6.2939999999999996"/>
    <x v="1"/>
    <n v="2"/>
    <n v="0.25800000000000001"/>
    <n v="6.7699999999999998E-4"/>
    <n v="0"/>
    <x v="120"/>
    <n v="0.58699999999999997"/>
    <n v="105.038"/>
    <n v="4"/>
    <n v="126446"/>
    <n v="4"/>
    <n v="126446"/>
    <n v="4"/>
    <n v="126446"/>
    <x v="0"/>
    <x v="0"/>
  </r>
  <r>
    <x v="1"/>
    <n v="1000000"/>
    <x v="137"/>
    <x v="128"/>
    <x v="54"/>
    <s v="Glimpse of Us"/>
    <n v="97"/>
    <x v="128"/>
    <x v="119"/>
    <n v="-9.2579999999999991"/>
    <x v="1"/>
    <n v="8"/>
    <n v="5.3100000000000001E-2"/>
    <n v="0.89100000000000001"/>
    <n v="4.78E-6"/>
    <x v="121"/>
    <n v="0.26800000000000002"/>
    <n v="169.91399999999999"/>
    <n v="3"/>
    <n v="233456"/>
    <n v="3"/>
    <n v="233456"/>
    <n v="3"/>
    <n v="233456"/>
    <x v="0"/>
    <x v="0"/>
  </r>
  <r>
    <x v="1"/>
    <n v="1000000"/>
    <x v="138"/>
    <x v="100"/>
    <x v="20"/>
    <s v="INFERNO"/>
    <n v="71"/>
    <x v="129"/>
    <x v="120"/>
    <n v="-5.0199999999999996"/>
    <x v="0"/>
    <n v="9"/>
    <n v="0.122"/>
    <n v="7.6600000000000001E-2"/>
    <n v="2.5000000000000001E-5"/>
    <x v="78"/>
    <n v="0.63700000000000001"/>
    <n v="127.883"/>
    <n v="4"/>
    <n v="133134"/>
    <n v="4"/>
    <n v="133134"/>
    <n v="4"/>
    <n v="133134"/>
    <x v="0"/>
    <x v="0"/>
  </r>
  <r>
    <x v="3"/>
    <n v="1000000"/>
    <x v="139"/>
    <x v="129"/>
    <x v="10"/>
    <s v="Blackout"/>
    <n v="79"/>
    <x v="130"/>
    <x v="121"/>
    <n v="-3.1309999999999998"/>
    <x v="1"/>
    <n v="2"/>
    <n v="3.3399999999999999E-2"/>
    <n v="0.25"/>
    <n v="6.78E-4"/>
    <x v="122"/>
    <n v="0.38200000000000001"/>
    <n v="113.324"/>
    <n v="4"/>
    <n v="251240"/>
    <n v="4"/>
    <n v="251240"/>
    <n v="4"/>
    <n v="251240"/>
    <x v="0"/>
    <x v="0"/>
  </r>
  <r>
    <x v="3"/>
    <n v="1000000"/>
    <x v="138"/>
    <x v="100"/>
    <x v="20"/>
    <s v="INFERNO"/>
    <n v="71"/>
    <x v="129"/>
    <x v="120"/>
    <n v="-5.0199999999999996"/>
    <x v="0"/>
    <n v="9"/>
    <n v="0.122"/>
    <n v="7.6600000000000001E-2"/>
    <n v="2.5000000000000001E-5"/>
    <x v="78"/>
    <n v="0.63700000000000001"/>
    <n v="127.883"/>
    <n v="4"/>
    <n v="133134"/>
    <n v="4"/>
    <n v="133134"/>
    <n v="4"/>
    <n v="133134"/>
    <x v="0"/>
    <x v="0"/>
  </r>
  <r>
    <x v="3"/>
    <n v="1000000"/>
    <x v="140"/>
    <x v="130"/>
    <x v="41"/>
    <s v="Because Of You"/>
    <n v="74"/>
    <x v="131"/>
    <x v="117"/>
    <n v="-5.7839999999999998"/>
    <x v="0"/>
    <n v="0"/>
    <n v="3.56E-2"/>
    <n v="0.52800000000000002"/>
    <n v="0"/>
    <x v="123"/>
    <n v="0.82799999999999996"/>
    <n v="109.97"/>
    <n v="4"/>
    <n v="266840"/>
    <n v="4"/>
    <n v="266840"/>
    <n v="4"/>
    <n v="266840"/>
    <x v="0"/>
    <x v="0"/>
  </r>
  <r>
    <x v="3"/>
    <n v="1000000"/>
    <x v="141"/>
    <x v="131"/>
    <x v="55"/>
    <s v="Mad Love The Prequel"/>
    <n v="83"/>
    <x v="112"/>
    <x v="122"/>
    <n v="-2.8620000000000001"/>
    <x v="1"/>
    <n v="7"/>
    <n v="0.11700000000000001"/>
    <n v="4.6600000000000003E-2"/>
    <n v="0"/>
    <x v="124"/>
    <n v="0.46300000000000002"/>
    <n v="102.04"/>
    <n v="4"/>
    <n v="221176"/>
    <n v="4"/>
    <n v="221176"/>
    <n v="4"/>
    <n v="221176"/>
    <x v="0"/>
    <x v="0"/>
  </r>
  <r>
    <x v="3"/>
    <n v="1000000"/>
    <x v="142"/>
    <x v="132"/>
    <x v="2"/>
    <s v="Everyday Is Christmas (Deluxe Edition)"/>
    <n v="74"/>
    <x v="132"/>
    <x v="123"/>
    <n v="-6.2569999999999997"/>
    <x v="1"/>
    <n v="1"/>
    <n v="3.3099999999999997E-2"/>
    <n v="0.48299999999999998"/>
    <n v="0"/>
    <x v="125"/>
    <n v="0.32600000000000001"/>
    <n v="104.95699999999999"/>
    <n v="3"/>
    <n v="165907"/>
    <n v="3"/>
    <n v="165907"/>
    <n v="3"/>
    <n v="165907"/>
    <x v="0"/>
    <x v="0"/>
  </r>
  <r>
    <x v="0"/>
    <n v="1000000"/>
    <x v="143"/>
    <x v="133"/>
    <x v="35"/>
    <s v="Lets Link"/>
    <n v="1"/>
    <x v="133"/>
    <x v="124"/>
    <n v="-9.2319999999999993"/>
    <x v="0"/>
    <n v="10"/>
    <n v="0.16500000000000001"/>
    <n v="6.6699999999999997E-3"/>
    <n v="0"/>
    <x v="126"/>
    <n v="0.52200000000000002"/>
    <n v="120.003"/>
    <n v="4"/>
    <n v="159955"/>
    <n v="4"/>
    <n v="159955"/>
    <n v="4"/>
    <n v="159955"/>
    <x v="0"/>
    <x v="0"/>
  </r>
  <r>
    <x v="0"/>
    <n v="1000000"/>
    <x v="144"/>
    <x v="134"/>
    <x v="1"/>
    <s v="Vibe (If I Back It Up)"/>
    <n v="53"/>
    <x v="72"/>
    <x v="125"/>
    <n v="-8.7189999999999994"/>
    <x v="1"/>
    <n v="10"/>
    <n v="0.34399999999999997"/>
    <n v="6.3500000000000001E-2"/>
    <n v="9.3200000000000002E-3"/>
    <x v="127"/>
    <n v="0.17499999999999999"/>
    <n v="159.947"/>
    <n v="4"/>
    <n v="83940"/>
    <n v="4"/>
    <n v="83940"/>
    <n v="4"/>
    <n v="83940"/>
    <x v="0"/>
    <x v="0"/>
  </r>
  <r>
    <x v="0"/>
    <n v="1000000"/>
    <x v="140"/>
    <x v="130"/>
    <x v="41"/>
    <s v="Because Of You"/>
    <n v="74"/>
    <x v="131"/>
    <x v="117"/>
    <n v="-5.7839999999999998"/>
    <x v="0"/>
    <n v="0"/>
    <n v="3.56E-2"/>
    <n v="0.52800000000000002"/>
    <n v="0"/>
    <x v="123"/>
    <n v="0.82799999999999996"/>
    <n v="109.97"/>
    <n v="4"/>
    <n v="266840"/>
    <n v="4"/>
    <n v="266840"/>
    <n v="4"/>
    <n v="266840"/>
    <x v="0"/>
    <x v="0"/>
  </r>
  <r>
    <x v="0"/>
    <n v="1000000"/>
    <x v="145"/>
    <x v="135"/>
    <x v="25"/>
    <s v="Boss B*tch Music Vol. 3"/>
    <n v="41"/>
    <x v="134"/>
    <x v="105"/>
    <n v="-6.4"/>
    <x v="1"/>
    <n v="8"/>
    <n v="5.7200000000000001E-2"/>
    <n v="4.7600000000000003E-2"/>
    <n v="6.1500000000000004E-5"/>
    <x v="128"/>
    <n v="0.36099999999999999"/>
    <n v="79.016000000000005"/>
    <n v="4"/>
    <n v="234945"/>
    <n v="4"/>
    <n v="234945"/>
    <n v="4"/>
    <n v="234945"/>
    <x v="0"/>
    <x v="0"/>
  </r>
  <r>
    <x v="2"/>
    <n v="1000000"/>
    <x v="146"/>
    <x v="136"/>
    <x v="38"/>
    <s v="Shh"/>
    <n v="0"/>
    <x v="135"/>
    <x v="10"/>
    <n v="-7.7030000000000003"/>
    <x v="0"/>
    <n v="4"/>
    <n v="0.253"/>
    <n v="0.622"/>
    <n v="4.0200000000000001E-4"/>
    <x v="129"/>
    <n v="0.96399999999999997"/>
    <n v="170.14"/>
    <n v="4"/>
    <n v="120054"/>
    <n v="4"/>
    <n v="120054"/>
    <n v="4"/>
    <n v="120054"/>
    <x v="0"/>
    <x v="0"/>
  </r>
  <r>
    <x v="3"/>
    <n v="992000"/>
    <x v="147"/>
    <x v="137"/>
    <x v="15"/>
    <s v="Hatchback"/>
    <n v="62"/>
    <x v="136"/>
    <x v="126"/>
    <n v="-6.2270000000000003"/>
    <x v="0"/>
    <n v="2"/>
    <n v="5.5500000000000001E-2"/>
    <n v="2.2100000000000002E-2"/>
    <n v="0"/>
    <x v="48"/>
    <n v="0.34799999999999998"/>
    <n v="77.994"/>
    <n v="4"/>
    <n v="149145"/>
    <n v="4"/>
    <n v="149145"/>
    <n v="4"/>
    <n v="149145"/>
    <x v="0"/>
    <x v="0"/>
  </r>
  <r>
    <x v="0"/>
    <n v="991800"/>
    <x v="147"/>
    <x v="137"/>
    <x v="15"/>
    <s v="Hatchback"/>
    <n v="62"/>
    <x v="136"/>
    <x v="126"/>
    <n v="-6.2270000000000003"/>
    <x v="0"/>
    <n v="2"/>
    <n v="5.5500000000000001E-2"/>
    <n v="2.2100000000000002E-2"/>
    <n v="0"/>
    <x v="48"/>
    <n v="0.34799999999999998"/>
    <n v="77.994"/>
    <n v="4"/>
    <n v="149145"/>
    <n v="4"/>
    <n v="149145"/>
    <n v="4"/>
    <n v="149145"/>
    <x v="0"/>
    <x v="0"/>
  </r>
  <r>
    <x v="3"/>
    <n v="972200"/>
    <x v="148"/>
    <x v="49"/>
    <x v="10"/>
    <s v="Cry Baby (Deluxe Edition)"/>
    <n v="73"/>
    <x v="137"/>
    <x v="127"/>
    <n v="-6.1070000000000002"/>
    <x v="0"/>
    <n v="6"/>
    <n v="0.14799999999999999"/>
    <n v="0.254"/>
    <n v="5.4399999999999996E-6"/>
    <x v="130"/>
    <n v="0.21299999999999999"/>
    <n v="168.11199999999999"/>
    <n v="4"/>
    <n v="209427"/>
    <n v="4"/>
    <n v="209427"/>
    <n v="4"/>
    <n v="209427"/>
    <x v="0"/>
    <x v="0"/>
  </r>
  <r>
    <x v="0"/>
    <n v="957300"/>
    <x v="149"/>
    <x v="9"/>
    <x v="8"/>
    <s v="Boss Bitch"/>
    <n v="78"/>
    <x v="138"/>
    <x v="128"/>
    <n v="-4.593"/>
    <x v="0"/>
    <n v="10"/>
    <n v="0.222"/>
    <n v="0.127"/>
    <n v="0"/>
    <x v="131"/>
    <n v="0.57499999999999996"/>
    <n v="125.989"/>
    <n v="4"/>
    <n v="134240"/>
    <n v="4"/>
    <n v="134240"/>
    <n v="4"/>
    <n v="134240"/>
    <x v="0"/>
    <x v="0"/>
  </r>
  <r>
    <x v="0"/>
    <n v="948400"/>
    <x v="150"/>
    <x v="20"/>
    <x v="13"/>
    <s v="COSMIC"/>
    <n v="24"/>
    <x v="139"/>
    <x v="129"/>
    <n v="-3.8340000000000001"/>
    <x v="1"/>
    <n v="4"/>
    <n v="7.9500000000000001E-2"/>
    <n v="1.4800000000000001E-2"/>
    <n v="3.9999999999999998E-6"/>
    <x v="132"/>
    <n v="0.71199999999999997"/>
    <n v="142.96600000000001"/>
    <n v="4"/>
    <n v="133995"/>
    <n v="4"/>
    <n v="133995"/>
    <n v="4"/>
    <n v="133995"/>
    <x v="0"/>
    <x v="0"/>
  </r>
  <r>
    <x v="0"/>
    <n v="944800"/>
    <x v="151"/>
    <x v="138"/>
    <x v="26"/>
    <s v="Drugs"/>
    <n v="68"/>
    <x v="140"/>
    <x v="41"/>
    <n v="-8.5709999999999997"/>
    <x v="0"/>
    <n v="6"/>
    <n v="0.17399999999999999"/>
    <n v="0.35"/>
    <n v="0"/>
    <x v="133"/>
    <n v="0.318"/>
    <n v="76.986000000000004"/>
    <n v="4"/>
    <n v="155867"/>
    <n v="4"/>
    <n v="155867"/>
    <n v="4"/>
    <n v="155867"/>
    <x v="0"/>
    <x v="0"/>
  </r>
  <r>
    <x v="0"/>
    <n v="918400"/>
    <x v="152"/>
    <x v="139"/>
    <x v="8"/>
    <s v="Don't Start Now"/>
    <n v="79"/>
    <x v="141"/>
    <x v="130"/>
    <n v="-4.5209999999999999"/>
    <x v="0"/>
    <n v="11"/>
    <n v="8.4199999999999997E-2"/>
    <n v="1.2500000000000001E-2"/>
    <n v="0"/>
    <x v="134"/>
    <n v="0.67700000000000005"/>
    <n v="123.941"/>
    <n v="4"/>
    <n v="183290"/>
    <n v="4"/>
    <n v="183290"/>
    <n v="4"/>
    <n v="183290"/>
    <x v="0"/>
    <x v="0"/>
  </r>
  <r>
    <x v="1"/>
    <n v="918100"/>
    <x v="152"/>
    <x v="139"/>
    <x v="8"/>
    <s v="Don't Start Now"/>
    <n v="79"/>
    <x v="141"/>
    <x v="130"/>
    <n v="-4.5209999999999999"/>
    <x v="0"/>
    <n v="11"/>
    <n v="8.4199999999999997E-2"/>
    <n v="1.2500000000000001E-2"/>
    <n v="0"/>
    <x v="134"/>
    <n v="0.67700000000000005"/>
    <n v="123.941"/>
    <n v="4"/>
    <n v="183290"/>
    <n v="4"/>
    <n v="183290"/>
    <n v="4"/>
    <n v="183290"/>
    <x v="0"/>
    <x v="0"/>
  </r>
  <r>
    <x v="0"/>
    <n v="916900"/>
    <x v="153"/>
    <x v="140"/>
    <x v="56"/>
    <s v="Playsongs Rhyme Time"/>
    <n v="12"/>
    <x v="142"/>
    <x v="131"/>
    <n v="-23.928000000000001"/>
    <x v="0"/>
    <n v="7"/>
    <n v="0.88300000000000001"/>
    <n v="0.82099999999999995"/>
    <n v="4.9799999999999998E-5"/>
    <x v="90"/>
    <n v="0.216"/>
    <n v="209.08199999999999"/>
    <n v="3"/>
    <n v="37632"/>
    <n v="3"/>
    <n v="37632"/>
    <n v="3"/>
    <n v="37632"/>
    <x v="0"/>
    <x v="0"/>
  </r>
  <r>
    <x v="0"/>
    <n v="914700"/>
    <x v="154"/>
    <x v="141"/>
    <x v="19"/>
    <s v="King's Dead (with Kendrick Lamar, Future &amp; James Blake)"/>
    <n v="71"/>
    <x v="143"/>
    <x v="67"/>
    <n v="-5.008"/>
    <x v="1"/>
    <n v="1"/>
    <n v="0.29899999999999999"/>
    <n v="8.1300000000000003E-4"/>
    <n v="0"/>
    <x v="46"/>
    <n v="0.376"/>
    <n v="137.13300000000001"/>
    <n v="4"/>
    <n v="229670"/>
    <n v="4"/>
    <n v="229670"/>
    <n v="4"/>
    <n v="229670"/>
    <x v="0"/>
    <x v="0"/>
  </r>
  <r>
    <x v="3"/>
    <n v="909700"/>
    <x v="155"/>
    <x v="30"/>
    <x v="19"/>
    <s v="LALISA"/>
    <n v="72"/>
    <x v="144"/>
    <x v="111"/>
    <n v="-6.282"/>
    <x v="1"/>
    <n v="8"/>
    <n v="8.9800000000000005E-2"/>
    <n v="2.6700000000000002E-2"/>
    <n v="7.8200000000000003E-4"/>
    <x v="127"/>
    <n v="0.85399999999999998"/>
    <n v="150.07599999999999"/>
    <n v="4"/>
    <n v="200690"/>
    <n v="4"/>
    <n v="200690"/>
    <n v="4"/>
    <n v="200690"/>
    <x v="0"/>
    <x v="0"/>
  </r>
  <r>
    <x v="1"/>
    <n v="882800"/>
    <x v="156"/>
    <x v="79"/>
    <x v="26"/>
    <s v="Renee"/>
    <n v="65"/>
    <x v="145"/>
    <x v="132"/>
    <n v="-8.1829999999999998"/>
    <x v="1"/>
    <n v="9"/>
    <n v="5.4800000000000001E-2"/>
    <n v="0.755"/>
    <n v="2.5300000000000001E-3"/>
    <x v="127"/>
    <n v="0.42399999999999999"/>
    <n v="108.95699999999999"/>
    <n v="4"/>
    <n v="179125"/>
    <n v="4"/>
    <n v="179125"/>
    <n v="4"/>
    <n v="179125"/>
    <x v="0"/>
    <x v="0"/>
  </r>
  <r>
    <x v="0"/>
    <n v="882600"/>
    <x v="156"/>
    <x v="79"/>
    <x v="26"/>
    <s v="Renee"/>
    <n v="65"/>
    <x v="145"/>
    <x v="132"/>
    <n v="-8.1829999999999998"/>
    <x v="1"/>
    <n v="9"/>
    <n v="5.4800000000000001E-2"/>
    <n v="0.755"/>
    <n v="2.5300000000000001E-3"/>
    <x v="127"/>
    <n v="0.42399999999999999"/>
    <n v="108.95699999999999"/>
    <n v="4"/>
    <n v="179125"/>
    <n v="4"/>
    <n v="179125"/>
    <n v="4"/>
    <n v="179125"/>
    <x v="0"/>
    <x v="0"/>
  </r>
  <r>
    <x v="0"/>
    <n v="880900"/>
    <x v="157"/>
    <x v="139"/>
    <x v="8"/>
    <s v="Future Nostalgia"/>
    <n v="78"/>
    <x v="146"/>
    <x v="46"/>
    <n v="-3.4340000000000002"/>
    <x v="0"/>
    <n v="4"/>
    <n v="8.8400000000000006E-2"/>
    <n v="0.16700000000000001"/>
    <n v="1.39E-6"/>
    <x v="135"/>
    <n v="0.46700000000000003"/>
    <n v="113.011"/>
    <n v="4"/>
    <n v="221820"/>
    <n v="4"/>
    <n v="221820"/>
    <n v="4"/>
    <n v="221820"/>
    <x v="0"/>
    <x v="0"/>
  </r>
  <r>
    <x v="1"/>
    <n v="880700"/>
    <x v="157"/>
    <x v="139"/>
    <x v="8"/>
    <s v="Future Nostalgia"/>
    <n v="78"/>
    <x v="146"/>
    <x v="46"/>
    <n v="-3.4340000000000002"/>
    <x v="0"/>
    <n v="4"/>
    <n v="8.8400000000000006E-2"/>
    <n v="0.16700000000000001"/>
    <n v="1.39E-6"/>
    <x v="135"/>
    <n v="0.46700000000000003"/>
    <n v="113.011"/>
    <n v="4"/>
    <n v="221820"/>
    <n v="4"/>
    <n v="221820"/>
    <n v="4"/>
    <n v="221820"/>
    <x v="0"/>
    <x v="0"/>
  </r>
  <r>
    <x v="3"/>
    <n v="875500"/>
    <x v="158"/>
    <x v="142"/>
    <x v="57"/>
    <s v="Every Summertime"/>
    <n v="81"/>
    <x v="147"/>
    <x v="133"/>
    <n v="-4.2270000000000003"/>
    <x v="1"/>
    <n v="6"/>
    <n v="4.24E-2"/>
    <n v="0.39300000000000002"/>
    <n v="6.9400000000000006E-5"/>
    <x v="136"/>
    <n v="0.72299999999999998"/>
    <n v="78.995999999999995"/>
    <n v="4"/>
    <n v="215687"/>
    <n v="4"/>
    <n v="215687"/>
    <n v="4"/>
    <n v="215687"/>
    <x v="0"/>
    <x v="0"/>
  </r>
  <r>
    <x v="3"/>
    <n v="867200"/>
    <x v="159"/>
    <x v="139"/>
    <x v="8"/>
    <s v="Future Nostalgia"/>
    <n v="83"/>
    <x v="55"/>
    <x v="134"/>
    <n v="-2.278"/>
    <x v="0"/>
    <n v="6"/>
    <n v="7.5300000000000006E-2"/>
    <n v="5.6099999999999997E-2"/>
    <n v="0"/>
    <x v="137"/>
    <n v="0.91400000000000003"/>
    <n v="103.014"/>
    <n v="4"/>
    <n v="203808"/>
    <n v="4"/>
    <n v="203808"/>
    <n v="4"/>
    <n v="203808"/>
    <x v="0"/>
    <x v="0"/>
  </r>
  <r>
    <x v="1"/>
    <n v="863100"/>
    <x v="160"/>
    <x v="22"/>
    <x v="2"/>
    <s v="I Hate U"/>
    <n v="79"/>
    <x v="148"/>
    <x v="135"/>
    <n v="-9.8049999999999997"/>
    <x v="0"/>
    <n v="7"/>
    <n v="0.155"/>
    <n v="0.50700000000000001"/>
    <n v="0"/>
    <x v="40"/>
    <n v="0.41199999999999998"/>
    <n v="106.703"/>
    <n v="5"/>
    <n v="174000"/>
    <n v="5"/>
    <n v="174000"/>
    <n v="5"/>
    <n v="174000"/>
    <x v="0"/>
    <x v="0"/>
  </r>
  <r>
    <x v="0"/>
    <n v="855500"/>
    <x v="161"/>
    <x v="143"/>
    <x v="2"/>
    <s v="Hotel Room Service"/>
    <n v="63"/>
    <x v="149"/>
    <x v="136"/>
    <n v="-8.1639999999999997"/>
    <x v="1"/>
    <n v="6"/>
    <n v="0.22700000000000001"/>
    <n v="3.0100000000000001E-3"/>
    <n v="2.4899999999999998E-4"/>
    <x v="138"/>
    <n v="0.76100000000000001"/>
    <n v="126.003"/>
    <n v="4"/>
    <n v="238507"/>
    <n v="4"/>
    <n v="238507"/>
    <n v="4"/>
    <n v="238507"/>
    <x v="0"/>
    <x v="0"/>
  </r>
  <r>
    <x v="0"/>
    <n v="853500"/>
    <x v="162"/>
    <x v="144"/>
    <x v="58"/>
    <s v="Take Your Man"/>
    <n v="54"/>
    <x v="150"/>
    <x v="137"/>
    <n v="-8.0519999999999996"/>
    <x v="1"/>
    <n v="0"/>
    <n v="0.108"/>
    <n v="0.41099999999999998"/>
    <n v="7.3800000000000005E-4"/>
    <x v="139"/>
    <n v="0.34399999999999997"/>
    <n v="110.015"/>
    <n v="4"/>
    <n v="117363"/>
    <n v="4"/>
    <n v="117363"/>
    <n v="4"/>
    <n v="117363"/>
    <x v="0"/>
    <x v="0"/>
  </r>
  <r>
    <x v="2"/>
    <n v="852600"/>
    <x v="162"/>
    <x v="144"/>
    <x v="59"/>
    <s v="Take Your Man"/>
    <n v="54"/>
    <x v="150"/>
    <x v="137"/>
    <n v="-8.0519999999999996"/>
    <x v="1"/>
    <n v="0"/>
    <n v="0.108"/>
    <n v="0.41099999999999998"/>
    <n v="7.3800000000000005E-4"/>
    <x v="139"/>
    <n v="0.34399999999999997"/>
    <n v="110.015"/>
    <n v="4"/>
    <n v="117363"/>
    <n v="4"/>
    <n v="117363"/>
    <n v="4"/>
    <n v="117363"/>
    <x v="0"/>
    <x v="0"/>
  </r>
  <r>
    <x v="0"/>
    <n v="841900"/>
    <x v="163"/>
    <x v="145"/>
    <x v="1"/>
    <s v="Stunnin'"/>
    <n v="2"/>
    <x v="151"/>
    <x v="138"/>
    <n v="-8.3320000000000007"/>
    <x v="0"/>
    <n v="11"/>
    <n v="7.46E-2"/>
    <n v="0.32900000000000001"/>
    <n v="0"/>
    <x v="140"/>
    <n v="0.89900000000000002"/>
    <n v="99.995999999999995"/>
    <n v="4"/>
    <n v="144013"/>
    <n v="4"/>
    <n v="144013"/>
    <n v="4"/>
    <n v="144013"/>
    <x v="1"/>
    <x v="0"/>
  </r>
  <r>
    <x v="2"/>
    <n v="826000"/>
    <x v="164"/>
    <x v="85"/>
    <x v="12"/>
    <s v="7 EP"/>
    <n v="76"/>
    <x v="90"/>
    <x v="139"/>
    <n v="-6.1120000000000001"/>
    <x v="1"/>
    <n v="1"/>
    <n v="0.127"/>
    <n v="5.7799999999999997E-2"/>
    <n v="2.2299999999999998E-6"/>
    <x v="36"/>
    <n v="0.50700000000000001"/>
    <n v="135.99799999999999"/>
    <n v="4"/>
    <n v="113000"/>
    <n v="4"/>
    <n v="113000"/>
    <n v="4"/>
    <n v="113000"/>
    <x v="1"/>
    <x v="0"/>
  </r>
  <r>
    <x v="1"/>
    <n v="825700"/>
    <x v="165"/>
    <x v="146"/>
    <x v="13"/>
    <s v="Lemonade (feat. Gunna, Don Toliver &amp; NAV)"/>
    <n v="76"/>
    <x v="152"/>
    <x v="140"/>
    <n v="-6.1529999999999996"/>
    <x v="0"/>
    <n v="1"/>
    <n v="7.9000000000000001E-2"/>
    <n v="0.25600000000000001"/>
    <n v="0"/>
    <x v="69"/>
    <n v="0.47099999999999997"/>
    <n v="140.04"/>
    <n v="4"/>
    <n v="195429"/>
    <n v="4"/>
    <n v="195429"/>
    <n v="4"/>
    <n v="195429"/>
    <x v="1"/>
    <x v="0"/>
  </r>
  <r>
    <x v="0"/>
    <n v="825500"/>
    <x v="165"/>
    <x v="146"/>
    <x v="13"/>
    <s v="Lemonade (feat. Gunna, Don Toliver &amp; NAV)"/>
    <n v="76"/>
    <x v="152"/>
    <x v="140"/>
    <n v="-6.1529999999999996"/>
    <x v="0"/>
    <n v="1"/>
    <n v="7.9000000000000001E-2"/>
    <n v="0.25600000000000001"/>
    <n v="0"/>
    <x v="69"/>
    <n v="0.47099999999999997"/>
    <n v="140.04"/>
    <n v="4"/>
    <n v="195429"/>
    <n v="4"/>
    <n v="195429"/>
    <n v="4"/>
    <n v="195429"/>
    <x v="1"/>
    <x v="0"/>
  </r>
  <r>
    <x v="3"/>
    <n v="825200"/>
    <x v="166"/>
    <x v="147"/>
    <x v="41"/>
    <s v="Encore"/>
    <n v="75"/>
    <x v="153"/>
    <x v="16"/>
    <n v="-5.3360000000000003"/>
    <x v="1"/>
    <n v="9"/>
    <n v="4.2299999999999997E-2"/>
    <n v="1.41E-2"/>
    <n v="0"/>
    <x v="141"/>
    <n v="0.224"/>
    <n v="104.879"/>
    <n v="4"/>
    <n v="220573"/>
    <n v="4"/>
    <n v="220573"/>
    <n v="4"/>
    <n v="220573"/>
    <x v="1"/>
    <x v="0"/>
  </r>
  <r>
    <x v="1"/>
    <n v="803900"/>
    <x v="167"/>
    <x v="9"/>
    <x v="8"/>
    <s v="Planet Her"/>
    <n v="85"/>
    <x v="154"/>
    <x v="141"/>
    <n v="-6.5090000000000003"/>
    <x v="1"/>
    <n v="1"/>
    <n v="7.0699999999999999E-2"/>
    <n v="0.30399999999999999"/>
    <n v="0"/>
    <x v="142"/>
    <n v="0.19400000000000001"/>
    <n v="130.041"/>
    <n v="4"/>
    <n v="210560"/>
    <n v="4"/>
    <n v="210560"/>
    <n v="4"/>
    <n v="210560"/>
    <x v="1"/>
    <x v="0"/>
  </r>
  <r>
    <x v="3"/>
    <n v="803700"/>
    <x v="167"/>
    <x v="9"/>
    <x v="8"/>
    <s v="Planet Her"/>
    <n v="85"/>
    <x v="154"/>
    <x v="141"/>
    <n v="-6.5090000000000003"/>
    <x v="1"/>
    <n v="1"/>
    <n v="7.0699999999999999E-2"/>
    <n v="0.30399999999999999"/>
    <n v="0"/>
    <x v="142"/>
    <n v="0.19400000000000001"/>
    <n v="130.041"/>
    <n v="4"/>
    <n v="210560"/>
    <n v="4"/>
    <n v="210560"/>
    <n v="4"/>
    <n v="210560"/>
    <x v="1"/>
    <x v="0"/>
  </r>
  <r>
    <x v="1"/>
    <n v="788500"/>
    <x v="168"/>
    <x v="85"/>
    <x v="12"/>
    <s v="HOLIDAY"/>
    <n v="73"/>
    <x v="131"/>
    <x v="142"/>
    <n v="-6.9240000000000004"/>
    <x v="0"/>
    <n v="5"/>
    <n v="0.16400000000000001"/>
    <n v="0.12"/>
    <n v="0"/>
    <x v="143"/>
    <n v="0.83699999999999997"/>
    <n v="151.947"/>
    <n v="4"/>
    <n v="154998"/>
    <n v="4"/>
    <n v="154998"/>
    <n v="4"/>
    <n v="154998"/>
    <x v="1"/>
    <x v="0"/>
  </r>
  <r>
    <x v="2"/>
    <n v="783300"/>
    <x v="169"/>
    <x v="148"/>
    <x v="26"/>
    <s v="Six: The Musical (Studio Cast Recording)"/>
    <n v="66"/>
    <x v="20"/>
    <x v="7"/>
    <n v="-7.6349999999999998"/>
    <x v="0"/>
    <n v="7"/>
    <n v="0.35699999999999998"/>
    <n v="0.251"/>
    <n v="0"/>
    <x v="113"/>
    <n v="0.72199999999999998"/>
    <n v="82.91"/>
    <n v="4"/>
    <n v="245303"/>
    <n v="4"/>
    <n v="245303"/>
    <n v="4"/>
    <n v="245303"/>
    <x v="1"/>
    <x v="0"/>
  </r>
  <r>
    <x v="1"/>
    <n v="780300"/>
    <x v="170"/>
    <x v="3"/>
    <x v="2"/>
    <s v="Thot Shit"/>
    <n v="72"/>
    <x v="75"/>
    <x v="143"/>
    <n v="-3.4239999999999999"/>
    <x v="1"/>
    <n v="9"/>
    <n v="8.9800000000000005E-2"/>
    <n v="1.3299999999999999E-2"/>
    <n v="0"/>
    <x v="80"/>
    <n v="0.89100000000000001"/>
    <n v="130.02000000000001"/>
    <n v="4"/>
    <n v="184635"/>
    <n v="4"/>
    <n v="184635"/>
    <n v="4"/>
    <n v="184635"/>
    <x v="1"/>
    <x v="0"/>
  </r>
  <r>
    <x v="0"/>
    <n v="778000"/>
    <x v="171"/>
    <x v="82"/>
    <x v="24"/>
    <s v="They Call Me Tiago (Her Name Is Margo)"/>
    <n v="57"/>
    <x v="155"/>
    <x v="144"/>
    <n v="-7.5810000000000004"/>
    <x v="1"/>
    <n v="0"/>
    <n v="7.22E-2"/>
    <n v="0.19600000000000001"/>
    <n v="0.433"/>
    <x v="57"/>
    <n v="0.14799999999999999"/>
    <n v="100.996"/>
    <n v="4"/>
    <n v="154455"/>
    <n v="4"/>
    <n v="154455"/>
    <n v="4"/>
    <n v="154455"/>
    <x v="1"/>
    <x v="0"/>
  </r>
  <r>
    <x v="3"/>
    <n v="777300"/>
    <x v="172"/>
    <x v="149"/>
    <x v="29"/>
    <s v="2 PhÃºt HÆ¡n (KAIZ Remix)"/>
    <n v="62"/>
    <x v="156"/>
    <x v="145"/>
    <n v="-4.5810000000000004"/>
    <x v="1"/>
    <n v="9"/>
    <n v="5.6599999999999998E-2"/>
    <n v="2.6499999999999999E-2"/>
    <n v="1.09E-2"/>
    <x v="133"/>
    <n v="0.28000000000000003"/>
    <n v="128.01599999999999"/>
    <n v="4"/>
    <n v="183832"/>
    <n v="4"/>
    <n v="183832"/>
    <n v="4"/>
    <n v="183832"/>
    <x v="1"/>
    <x v="0"/>
  </r>
  <r>
    <x v="0"/>
    <n v="766300"/>
    <x v="173"/>
    <x v="150"/>
    <x v="15"/>
    <s v="Gangland Landlord"/>
    <n v="56"/>
    <x v="157"/>
    <x v="146"/>
    <n v="-8.8460000000000001"/>
    <x v="0"/>
    <n v="11"/>
    <n v="0.21099999999999999"/>
    <n v="1.8500000000000001E-3"/>
    <n v="0"/>
    <x v="144"/>
    <n v="0.253"/>
    <n v="88.715999999999994"/>
    <n v="4"/>
    <n v="205333"/>
    <n v="4"/>
    <n v="205333"/>
    <n v="4"/>
    <n v="205333"/>
    <x v="1"/>
    <x v="0"/>
  </r>
  <r>
    <x v="0"/>
    <n v="747300"/>
    <x v="174"/>
    <x v="128"/>
    <x v="54"/>
    <s v="BALLADS 1"/>
    <n v="85"/>
    <x v="158"/>
    <x v="147"/>
    <n v="-7.4580000000000002"/>
    <x v="1"/>
    <n v="3"/>
    <n v="2.6100000000000002E-2"/>
    <n v="0.54400000000000004"/>
    <n v="5.9800000000000001E-3"/>
    <x v="145"/>
    <n v="0.28399999999999997"/>
    <n v="88.963999999999999"/>
    <n v="4"/>
    <n v="209274"/>
    <n v="4"/>
    <n v="209274"/>
    <n v="4"/>
    <n v="209274"/>
    <x v="1"/>
    <x v="0"/>
  </r>
  <r>
    <x v="2"/>
    <n v="746700"/>
    <x v="175"/>
    <x v="151"/>
    <x v="38"/>
    <s v="A.M."/>
    <n v="51"/>
    <x v="159"/>
    <x v="148"/>
    <n v="-4.7530000000000001"/>
    <x v="0"/>
    <n v="0"/>
    <n v="8.5099999999999995E-2"/>
    <n v="6.9099999999999995E-2"/>
    <n v="0"/>
    <x v="146"/>
    <n v="0.45300000000000001"/>
    <n v="146.14400000000001"/>
    <n v="4"/>
    <n v="164935"/>
    <n v="4"/>
    <n v="164935"/>
    <n v="4"/>
    <n v="164935"/>
    <x v="1"/>
    <x v="0"/>
  </r>
  <r>
    <x v="3"/>
    <n v="742300"/>
    <x v="176"/>
    <x v="125"/>
    <x v="54"/>
    <s v="SOUR"/>
    <n v="86"/>
    <x v="160"/>
    <x v="149"/>
    <n v="-9.7200000000000006"/>
    <x v="1"/>
    <n v="6"/>
    <n v="0.13300000000000001"/>
    <n v="0.76500000000000001"/>
    <n v="9.6700000000000006E-6"/>
    <x v="147"/>
    <n v="0.33800000000000002"/>
    <n v="168.92400000000001"/>
    <n v="3"/>
    <n v="175933"/>
    <n v="3"/>
    <n v="175933"/>
    <n v="3"/>
    <n v="175933"/>
    <x v="1"/>
    <x v="0"/>
  </r>
  <r>
    <x v="3"/>
    <n v="730200"/>
    <x v="177"/>
    <x v="20"/>
    <x v="13"/>
    <s v="Soul Searching"/>
    <n v="75"/>
    <x v="40"/>
    <x v="150"/>
    <n v="-6.2729999999999997"/>
    <x v="0"/>
    <n v="11"/>
    <n v="4.7899999999999998E-2"/>
    <n v="8.2799999999999999E-2"/>
    <n v="0"/>
    <x v="18"/>
    <n v="0.59099999999999997"/>
    <n v="122.06100000000001"/>
    <n v="4"/>
    <n v="169038"/>
    <n v="4"/>
    <n v="169038"/>
    <n v="4"/>
    <n v="169038"/>
    <x v="1"/>
    <x v="0"/>
  </r>
  <r>
    <x v="0"/>
    <n v="728100"/>
    <x v="178"/>
    <x v="152"/>
    <x v="11"/>
    <s v="La Roux"/>
    <n v="71"/>
    <x v="161"/>
    <x v="122"/>
    <n v="-2.7709999999999999"/>
    <x v="0"/>
    <n v="3"/>
    <n v="4.7699999999999999E-2"/>
    <n v="4.4099999999999999E-4"/>
    <n v="6.4700000000000001E-5"/>
    <x v="148"/>
    <n v="0.68200000000000005"/>
    <n v="123.01600000000001"/>
    <n v="4"/>
    <n v="205733"/>
    <n v="4"/>
    <n v="205733"/>
    <n v="4"/>
    <n v="205733"/>
    <x v="1"/>
    <x v="0"/>
  </r>
  <r>
    <x v="1"/>
    <n v="725400"/>
    <x v="179"/>
    <x v="153"/>
    <x v="0"/>
    <s v="Whoopty"/>
    <n v="74"/>
    <x v="139"/>
    <x v="151"/>
    <n v="-7.6"/>
    <x v="0"/>
    <n v="3"/>
    <n v="0.125"/>
    <n v="0.2"/>
    <n v="0"/>
    <x v="27"/>
    <n v="0.66"/>
    <n v="140.20099999999999"/>
    <n v="4"/>
    <n v="123263"/>
    <n v="4"/>
    <n v="123263"/>
    <n v="4"/>
    <n v="123263"/>
    <x v="1"/>
    <x v="0"/>
  </r>
  <r>
    <x v="1"/>
    <n v="682400"/>
    <x v="180"/>
    <x v="154"/>
    <x v="17"/>
    <s v="Gemini Rights"/>
    <n v="86"/>
    <x v="162"/>
    <x v="152"/>
    <n v="-7.093"/>
    <x v="1"/>
    <n v="1"/>
    <n v="3.5499999999999997E-2"/>
    <n v="0.61299999999999999"/>
    <n v="5.8E-5"/>
    <x v="149"/>
    <n v="0.7"/>
    <n v="168.946"/>
    <n v="4"/>
    <n v="232067"/>
    <n v="4"/>
    <n v="232067"/>
    <n v="4"/>
    <n v="232067"/>
    <x v="1"/>
    <x v="0"/>
  </r>
  <r>
    <x v="1"/>
    <n v="680600"/>
    <x v="181"/>
    <x v="155"/>
    <x v="57"/>
    <s v="Safe Haven"/>
    <n v="90"/>
    <x v="163"/>
    <x v="126"/>
    <n v="-2.9580000000000002"/>
    <x v="1"/>
    <n v="1"/>
    <n v="2.5899999999999999E-2"/>
    <n v="1.5699999999999999E-2"/>
    <n v="0"/>
    <x v="150"/>
    <n v="0.45400000000000001"/>
    <n v="116.959"/>
    <n v="3"/>
    <n v="233720"/>
    <n v="3"/>
    <n v="233720"/>
    <n v="3"/>
    <n v="233720"/>
    <x v="1"/>
    <x v="1"/>
  </r>
  <r>
    <x v="3"/>
    <n v="680600"/>
    <x v="181"/>
    <x v="155"/>
    <x v="57"/>
    <s v="Safe Haven"/>
    <n v="90"/>
    <x v="163"/>
    <x v="126"/>
    <n v="-2.9580000000000002"/>
    <x v="1"/>
    <n v="1"/>
    <n v="2.5899999999999999E-2"/>
    <n v="1.5699999999999999E-2"/>
    <n v="0"/>
    <x v="150"/>
    <n v="0.45400000000000001"/>
    <n v="116.959"/>
    <n v="3"/>
    <n v="233720"/>
    <n v="3"/>
    <n v="233720"/>
    <n v="3"/>
    <n v="233720"/>
    <x v="1"/>
    <x v="1"/>
  </r>
  <r>
    <x v="0"/>
    <n v="669800"/>
    <x v="182"/>
    <x v="156"/>
    <x v="43"/>
    <s v="folklore"/>
    <n v="79"/>
    <x v="164"/>
    <x v="153"/>
    <n v="-8.5879999999999992"/>
    <x v="0"/>
    <n v="0"/>
    <n v="4.24E-2"/>
    <n v="0.53700000000000003"/>
    <n v="3.4499999999999998E-4"/>
    <x v="151"/>
    <n v="0.55100000000000005"/>
    <n v="130.03299999999999"/>
    <n v="4"/>
    <n v="239560"/>
    <n v="4"/>
    <n v="239560"/>
    <n v="4"/>
    <n v="239560"/>
    <x v="1"/>
    <x v="1"/>
  </r>
  <r>
    <x v="1"/>
    <n v="665700"/>
    <x v="183"/>
    <x v="157"/>
    <x v="2"/>
    <s v="BLAME IT ON BABY"/>
    <n v="80"/>
    <x v="53"/>
    <x v="154"/>
    <n v="-7.9560000000000004"/>
    <x v="1"/>
    <n v="11"/>
    <n v="0.16400000000000001"/>
    <n v="0.247"/>
    <n v="0"/>
    <x v="36"/>
    <n v="0.497"/>
    <n v="89.977000000000004"/>
    <n v="4"/>
    <n v="181733"/>
    <n v="4"/>
    <n v="181733"/>
    <n v="4"/>
    <n v="181733"/>
    <x v="1"/>
    <x v="1"/>
  </r>
  <r>
    <x v="0"/>
    <n v="664600"/>
    <x v="183"/>
    <x v="157"/>
    <x v="2"/>
    <s v="BLAME IT ON BABY"/>
    <n v="80"/>
    <x v="53"/>
    <x v="154"/>
    <n v="-7.9560000000000004"/>
    <x v="1"/>
    <n v="11"/>
    <n v="0.16400000000000001"/>
    <n v="0.247"/>
    <n v="0"/>
    <x v="36"/>
    <n v="0.497"/>
    <n v="89.977000000000004"/>
    <n v="4"/>
    <n v="181733"/>
    <n v="4"/>
    <n v="181733"/>
    <n v="4"/>
    <n v="181733"/>
    <x v="1"/>
    <x v="1"/>
  </r>
  <r>
    <x v="3"/>
    <n v="658300"/>
    <x v="184"/>
    <x v="158"/>
    <x v="36"/>
    <s v="Tutu"/>
    <n v="69"/>
    <x v="165"/>
    <x v="155"/>
    <n v="-2.5920000000000001"/>
    <x v="1"/>
    <n v="9"/>
    <n v="5.0299999999999997E-2"/>
    <n v="0.27300000000000002"/>
    <n v="0"/>
    <x v="152"/>
    <n v="0.94"/>
    <n v="146.01300000000001"/>
    <n v="4"/>
    <n v="178613"/>
    <n v="4"/>
    <n v="178613"/>
    <n v="4"/>
    <n v="178613"/>
    <x v="1"/>
    <x v="1"/>
  </r>
  <r>
    <x v="0"/>
    <n v="653100"/>
    <x v="185"/>
    <x v="159"/>
    <x v="23"/>
    <s v="Mariposa"/>
    <n v="74"/>
    <x v="166"/>
    <x v="20"/>
    <n v="-5.88"/>
    <x v="1"/>
    <n v="9"/>
    <n v="2.8000000000000001E-2"/>
    <n v="0.61699999999999999"/>
    <n v="0"/>
    <x v="153"/>
    <n v="0.42099999999999999"/>
    <n v="112.011"/>
    <n v="4"/>
    <n v="210000"/>
    <n v="4"/>
    <n v="210000"/>
    <n v="4"/>
    <n v="210000"/>
    <x v="1"/>
    <x v="1"/>
  </r>
  <r>
    <x v="3"/>
    <n v="650300"/>
    <x v="186"/>
    <x v="160"/>
    <x v="27"/>
    <s v="Yours"/>
    <n v="68"/>
    <x v="166"/>
    <x v="156"/>
    <n v="-3.988"/>
    <x v="1"/>
    <n v="8"/>
    <n v="3.3799999999999997E-2"/>
    <n v="0.13700000000000001"/>
    <n v="0"/>
    <x v="83"/>
    <n v="0.39200000000000002"/>
    <n v="86.994"/>
    <n v="4"/>
    <n v="235413"/>
    <n v="4"/>
    <n v="235413"/>
    <n v="4"/>
    <n v="235413"/>
    <x v="1"/>
    <x v="1"/>
  </r>
  <r>
    <x v="3"/>
    <n v="645600"/>
    <x v="187"/>
    <x v="161"/>
    <x v="23"/>
    <s v="It's Only Me (Studio Version)"/>
    <n v="73"/>
    <x v="167"/>
    <x v="157"/>
    <n v="-13.333"/>
    <x v="1"/>
    <n v="4"/>
    <n v="3.85E-2"/>
    <n v="0.31"/>
    <n v="0"/>
    <x v="1"/>
    <n v="0.316"/>
    <n v="119.889"/>
    <n v="4"/>
    <n v="203076"/>
    <n v="4"/>
    <n v="203076"/>
    <n v="4"/>
    <n v="203076"/>
    <x v="1"/>
    <x v="1"/>
  </r>
  <r>
    <x v="1"/>
    <n v="644600"/>
    <x v="188"/>
    <x v="162"/>
    <x v="50"/>
    <s v="Running Away"/>
    <n v="72"/>
    <x v="168"/>
    <x v="34"/>
    <n v="-10.91"/>
    <x v="1"/>
    <n v="7"/>
    <n v="4.0800000000000003E-2"/>
    <n v="0.66"/>
    <n v="0.85199999999999998"/>
    <x v="99"/>
    <n v="0.72099999999999997"/>
    <n v="93.688000000000002"/>
    <n v="4"/>
    <n v="111787"/>
    <n v="4"/>
    <n v="111787"/>
    <n v="4"/>
    <n v="111787"/>
    <x v="1"/>
    <x v="1"/>
  </r>
  <r>
    <x v="1"/>
    <n v="638000"/>
    <x v="189"/>
    <x v="163"/>
    <x v="18"/>
    <s v="Long Way Down (Deluxe)"/>
    <n v="89"/>
    <x v="169"/>
    <x v="158"/>
    <n v="-8.532"/>
    <x v="0"/>
    <n v="4"/>
    <n v="0.04"/>
    <n v="0.69499999999999995"/>
    <n v="1.6500000000000001E-5"/>
    <x v="154"/>
    <n v="0.13100000000000001"/>
    <n v="122.76900000000001"/>
    <n v="4"/>
    <n v="244360"/>
    <n v="4"/>
    <n v="244360"/>
    <n v="4"/>
    <n v="244360"/>
    <x v="1"/>
    <x v="1"/>
  </r>
  <r>
    <x v="3"/>
    <n v="629900"/>
    <x v="190"/>
    <x v="164"/>
    <x v="60"/>
    <s v="My Universe"/>
    <n v="83"/>
    <x v="170"/>
    <x v="66"/>
    <n v="-6.39"/>
    <x v="1"/>
    <n v="9"/>
    <n v="4.02E-2"/>
    <n v="8.1300000000000001E-3"/>
    <n v="0"/>
    <x v="155"/>
    <n v="0.443"/>
    <n v="104.988"/>
    <n v="4"/>
    <n v="228000"/>
    <n v="4"/>
    <n v="228000"/>
    <n v="4"/>
    <n v="228000"/>
    <x v="1"/>
    <x v="1"/>
  </r>
  <r>
    <x v="3"/>
    <n v="624600"/>
    <x v="191"/>
    <x v="165"/>
    <x v="57"/>
    <s v="DIMENSION : ANSWER"/>
    <n v="79"/>
    <x v="65"/>
    <x v="159"/>
    <n v="-3.766"/>
    <x v="0"/>
    <n v="7"/>
    <n v="4.3900000000000002E-2"/>
    <n v="0.45800000000000002"/>
    <n v="0"/>
    <x v="156"/>
    <n v="0.65100000000000002"/>
    <n v="138.05500000000001"/>
    <n v="4"/>
    <n v="184602"/>
    <n v="4"/>
    <n v="184602"/>
    <n v="4"/>
    <n v="184602"/>
    <x v="1"/>
    <x v="1"/>
  </r>
  <r>
    <x v="1"/>
    <n v="619700"/>
    <x v="192"/>
    <x v="33"/>
    <x v="2"/>
    <s v="The Business"/>
    <n v="83"/>
    <x v="171"/>
    <x v="0"/>
    <n v="-7.0789999999999997"/>
    <x v="0"/>
    <n v="8"/>
    <n v="0.23200000000000001"/>
    <n v="0.41399999999999998"/>
    <n v="1.9199999999999998E-2"/>
    <x v="76"/>
    <n v="0.23499999999999999"/>
    <n v="120.03100000000001"/>
    <n v="4"/>
    <n v="164000"/>
    <n v="4"/>
    <n v="164000"/>
    <n v="4"/>
    <n v="164000"/>
    <x v="1"/>
    <x v="1"/>
  </r>
  <r>
    <x v="3"/>
    <n v="619700"/>
    <x v="192"/>
    <x v="33"/>
    <x v="2"/>
    <s v="The Business"/>
    <n v="83"/>
    <x v="171"/>
    <x v="0"/>
    <n v="-7.0789999999999997"/>
    <x v="0"/>
    <n v="8"/>
    <n v="0.23200000000000001"/>
    <n v="0.41399999999999998"/>
    <n v="1.9199999999999998E-2"/>
    <x v="76"/>
    <n v="0.23499999999999999"/>
    <n v="120.03100000000001"/>
    <n v="4"/>
    <n v="164000"/>
    <n v="4"/>
    <n v="164000"/>
    <n v="4"/>
    <n v="164000"/>
    <x v="1"/>
    <x v="1"/>
  </r>
  <r>
    <x v="2"/>
    <n v="616200"/>
    <x v="193"/>
    <x v="166"/>
    <x v="3"/>
    <s v="I'm Gonna Show You Crazy"/>
    <n v="62"/>
    <x v="172"/>
    <x v="158"/>
    <n v="-6.77"/>
    <x v="1"/>
    <n v="2"/>
    <n v="6.4899999999999999E-2"/>
    <n v="7.5800000000000006E-2"/>
    <n v="0"/>
    <x v="157"/>
    <n v="0.33500000000000002"/>
    <n v="90.102999999999994"/>
    <n v="4"/>
    <n v="207775"/>
    <n v="4"/>
    <n v="207775"/>
    <n v="4"/>
    <n v="207775"/>
    <x v="1"/>
    <x v="1"/>
  </r>
  <r>
    <x v="3"/>
    <n v="615600"/>
    <x v="194"/>
    <x v="167"/>
    <x v="61"/>
    <s v="Lenka (Expanded Edition)"/>
    <n v="57"/>
    <x v="173"/>
    <x v="160"/>
    <n v="-4.1440000000000001"/>
    <x v="1"/>
    <n v="0"/>
    <n v="3.1699999999999999E-2"/>
    <n v="0.25900000000000001"/>
    <n v="0"/>
    <x v="158"/>
    <n v="0.59299999999999997"/>
    <n v="123.02800000000001"/>
    <n v="4"/>
    <n v="235693"/>
    <n v="4"/>
    <n v="235693"/>
    <n v="4"/>
    <n v="235693"/>
    <x v="1"/>
    <x v="1"/>
  </r>
  <r>
    <x v="1"/>
    <n v="607800"/>
    <x v="195"/>
    <x v="168"/>
    <x v="18"/>
    <s v="Until I Found You"/>
    <n v="90"/>
    <x v="174"/>
    <x v="161"/>
    <n v="-6.05"/>
    <x v="1"/>
    <n v="10"/>
    <n v="2.8799999999999999E-2"/>
    <n v="0.72699999999999998"/>
    <n v="0"/>
    <x v="159"/>
    <n v="0.22700000000000001"/>
    <n v="101.358"/>
    <n v="3"/>
    <n v="177720"/>
    <n v="3"/>
    <n v="177720"/>
    <n v="3"/>
    <n v="177720"/>
    <x v="1"/>
    <x v="1"/>
  </r>
  <r>
    <x v="0"/>
    <n v="601700"/>
    <x v="196"/>
    <x v="169"/>
    <x v="5"/>
    <s v="GOOBA"/>
    <n v="7"/>
    <x v="175"/>
    <x v="162"/>
    <n v="-5.6879999999999997"/>
    <x v="1"/>
    <n v="1"/>
    <n v="0.34100000000000003"/>
    <n v="2.64E-2"/>
    <n v="0"/>
    <x v="160"/>
    <n v="0.39300000000000002"/>
    <n v="178.46199999999999"/>
    <n v="4"/>
    <n v="132303"/>
    <n v="4"/>
    <n v="132303"/>
    <n v="4"/>
    <n v="132303"/>
    <x v="1"/>
    <x v="1"/>
  </r>
  <r>
    <x v="0"/>
    <n v="598400"/>
    <x v="197"/>
    <x v="170"/>
    <x v="22"/>
    <s v="Then Leave (feat. Queendom Come)"/>
    <n v="57"/>
    <x v="176"/>
    <x v="125"/>
    <n v="-6.1070000000000002"/>
    <x v="1"/>
    <n v="2"/>
    <n v="0.47599999999999998"/>
    <n v="6.5600000000000006E-2"/>
    <n v="1.05E-4"/>
    <x v="161"/>
    <n v="0.49099999999999999"/>
    <n v="140.96799999999999"/>
    <n v="4"/>
    <n v="151520"/>
    <n v="4"/>
    <n v="151520"/>
    <n v="4"/>
    <n v="151520"/>
    <x v="1"/>
    <x v="1"/>
  </r>
  <r>
    <x v="0"/>
    <n v="587000"/>
    <x v="198"/>
    <x v="171"/>
    <x v="23"/>
    <s v="How To Kill A Rockstar"/>
    <n v="68"/>
    <x v="177"/>
    <x v="163"/>
    <n v="-10.17"/>
    <x v="1"/>
    <n v="7"/>
    <n v="5.21E-2"/>
    <n v="0.443"/>
    <n v="0"/>
    <x v="162"/>
    <n v="0.377"/>
    <n v="114.973"/>
    <n v="4"/>
    <n v="197217"/>
    <n v="4"/>
    <n v="197217"/>
    <n v="4"/>
    <n v="197217"/>
    <x v="1"/>
    <x v="1"/>
  </r>
  <r>
    <x v="2"/>
    <n v="585800"/>
    <x v="198"/>
    <x v="171"/>
    <x v="23"/>
    <s v="Psycho!"/>
    <n v="0"/>
    <x v="107"/>
    <x v="164"/>
    <n v="-9.51"/>
    <x v="1"/>
    <n v="7"/>
    <n v="3.8300000000000001E-2"/>
    <n v="0.433"/>
    <n v="0"/>
    <x v="163"/>
    <n v="0.47099999999999997"/>
    <n v="114.979"/>
    <n v="4"/>
    <n v="197217"/>
    <n v="4"/>
    <n v="197217"/>
    <n v="4"/>
    <n v="197217"/>
    <x v="1"/>
    <x v="1"/>
  </r>
  <r>
    <x v="3"/>
    <n v="584200"/>
    <x v="199"/>
    <x v="172"/>
    <x v="19"/>
    <s v="31 Minutes to Takeoff"/>
    <n v="68"/>
    <x v="13"/>
    <x v="122"/>
    <n v="-3.8959999999999999"/>
    <x v="0"/>
    <n v="4"/>
    <n v="3.1099999999999999E-2"/>
    <n v="2.96E-3"/>
    <n v="5.4399999999999997E-2"/>
    <x v="164"/>
    <n v="0.65700000000000003"/>
    <n v="120.01600000000001"/>
    <n v="4"/>
    <n v="196813"/>
    <n v="4"/>
    <n v="196813"/>
    <n v="4"/>
    <n v="196813"/>
    <x v="1"/>
    <x v="1"/>
  </r>
  <r>
    <x v="1"/>
    <n v="577800"/>
    <x v="200"/>
    <x v="109"/>
    <x v="45"/>
    <s v="As It Was"/>
    <n v="96"/>
    <x v="178"/>
    <x v="165"/>
    <n v="-5.3380000000000001"/>
    <x v="0"/>
    <n v="6"/>
    <n v="5.57E-2"/>
    <n v="0.34200000000000003"/>
    <n v="1.01E-3"/>
    <x v="165"/>
    <n v="0.66200000000000003"/>
    <n v="173.93"/>
    <n v="4"/>
    <n v="167303"/>
    <n v="4"/>
    <n v="167303"/>
    <n v="4"/>
    <n v="167303"/>
    <x v="1"/>
    <x v="1"/>
  </r>
  <r>
    <x v="2"/>
    <n v="566500"/>
    <x v="201"/>
    <x v="129"/>
    <x v="10"/>
    <s v="Femme Fatale (Deluxe Version)"/>
    <n v="71"/>
    <x v="179"/>
    <x v="166"/>
    <n v="-5.2939999999999996"/>
    <x v="1"/>
    <n v="7"/>
    <n v="2.98E-2"/>
    <n v="4.8500000000000001E-2"/>
    <n v="0"/>
    <x v="166"/>
    <n v="0.71099999999999997"/>
    <n v="107.98699999999999"/>
    <n v="4"/>
    <n v="225080"/>
    <n v="4"/>
    <n v="225080"/>
    <n v="4"/>
    <n v="225080"/>
    <x v="1"/>
    <x v="1"/>
  </r>
  <r>
    <x v="1"/>
    <n v="562400"/>
    <x v="202"/>
    <x v="9"/>
    <x v="8"/>
    <s v="Freak"/>
    <n v="72"/>
    <x v="180"/>
    <x v="10"/>
    <n v="-5.702"/>
    <x v="1"/>
    <n v="7"/>
    <n v="3.85E-2"/>
    <n v="9.69E-2"/>
    <n v="0"/>
    <x v="167"/>
    <n v="0.373"/>
    <n v="116.91200000000001"/>
    <n v="3"/>
    <n v="284480"/>
    <n v="3"/>
    <n v="284480"/>
    <n v="3"/>
    <n v="284480"/>
    <x v="1"/>
    <x v="1"/>
  </r>
  <r>
    <x v="0"/>
    <n v="562300"/>
    <x v="202"/>
    <x v="9"/>
    <x v="8"/>
    <s v="Freak"/>
    <n v="72"/>
    <x v="180"/>
    <x v="10"/>
    <n v="-5.702"/>
    <x v="1"/>
    <n v="7"/>
    <n v="3.85E-2"/>
    <n v="9.69E-2"/>
    <n v="0"/>
    <x v="167"/>
    <n v="0.373"/>
    <n v="116.91200000000001"/>
    <n v="3"/>
    <n v="284480"/>
    <n v="3"/>
    <n v="284480"/>
    <n v="3"/>
    <n v="284480"/>
    <x v="1"/>
    <x v="1"/>
  </r>
  <r>
    <x v="0"/>
    <n v="561700"/>
    <x v="203"/>
    <x v="173"/>
    <x v="21"/>
    <s v="Bad Boy"/>
    <n v="62"/>
    <x v="181"/>
    <x v="167"/>
    <n v="-4.8070000000000004"/>
    <x v="0"/>
    <n v="1"/>
    <n v="7.2800000000000004E-2"/>
    <n v="3.2000000000000001E-2"/>
    <n v="4.7600000000000002E-6"/>
    <x v="168"/>
    <n v="0.78100000000000003"/>
    <n v="118.04"/>
    <n v="4"/>
    <n v="187571"/>
    <n v="4"/>
    <n v="187571"/>
    <n v="4"/>
    <n v="187571"/>
    <x v="1"/>
    <x v="1"/>
  </r>
  <r>
    <x v="0"/>
    <n v="560500"/>
    <x v="204"/>
    <x v="118"/>
    <x v="32"/>
    <s v="Living Facts"/>
    <n v="0"/>
    <x v="182"/>
    <x v="160"/>
    <n v="-5.9610000000000003"/>
    <x v="0"/>
    <n v="2"/>
    <n v="0.121"/>
    <n v="8.5400000000000004E-2"/>
    <n v="0"/>
    <x v="19"/>
    <n v="0.61199999999999999"/>
    <n v="100.137"/>
    <n v="4"/>
    <n v="222961"/>
    <n v="4"/>
    <n v="222961"/>
    <n v="4"/>
    <n v="222961"/>
    <x v="1"/>
    <x v="1"/>
  </r>
  <r>
    <x v="2"/>
    <n v="553400"/>
    <x v="205"/>
    <x v="174"/>
    <x v="50"/>
    <s v="Coco (Original Motion Picture Soundtrack)"/>
    <n v="69"/>
    <x v="183"/>
    <x v="168"/>
    <n v="-7.5090000000000003"/>
    <x v="1"/>
    <n v="7"/>
    <n v="0.13300000000000001"/>
    <n v="0.59699999999999998"/>
    <n v="1.36E-5"/>
    <x v="169"/>
    <n v="0.63600000000000001"/>
    <n v="126.032"/>
    <n v="4"/>
    <n v="112205"/>
    <n v="4"/>
    <n v="112205"/>
    <n v="4"/>
    <n v="112205"/>
    <x v="1"/>
    <x v="1"/>
  </r>
  <r>
    <x v="0"/>
    <n v="531900"/>
    <x v="206"/>
    <x v="175"/>
    <x v="19"/>
    <s v="Out of the Blue"/>
    <n v="80"/>
    <x v="184"/>
    <x v="169"/>
    <n v="-10.054"/>
    <x v="1"/>
    <n v="10"/>
    <n v="3.2899999999999999E-2"/>
    <n v="0.65200000000000002"/>
    <n v="3.7299999999999999E-6"/>
    <x v="170"/>
    <n v="0.47799999999999998"/>
    <n v="177.76499999999999"/>
    <n v="4"/>
    <n v="303373"/>
    <n v="4"/>
    <n v="303373"/>
    <n v="4"/>
    <n v="303373"/>
    <x v="1"/>
    <x v="1"/>
  </r>
  <r>
    <x v="2"/>
    <n v="531800"/>
    <x v="207"/>
    <x v="176"/>
    <x v="26"/>
    <s v="#AndSeeThatsTheThing"/>
    <n v="54"/>
    <x v="182"/>
    <x v="170"/>
    <n v="-8.3019999999999996"/>
    <x v="1"/>
    <n v="9"/>
    <n v="0.33800000000000002"/>
    <n v="0.14699999999999999"/>
    <n v="4.5299999999999998E-6"/>
    <x v="171"/>
    <n v="0.435"/>
    <n v="80.012"/>
    <n v="4"/>
    <n v="241267"/>
    <n v="4"/>
    <n v="241267"/>
    <n v="4"/>
    <n v="241267"/>
    <x v="1"/>
    <x v="1"/>
  </r>
  <r>
    <x v="0"/>
    <n v="525600"/>
    <x v="208"/>
    <x v="177"/>
    <x v="41"/>
    <s v="There's Really A Wolf"/>
    <n v="72"/>
    <x v="36"/>
    <x v="171"/>
    <n v="-10.039999999999999"/>
    <x v="0"/>
    <n v="1"/>
    <n v="0.379"/>
    <n v="0.48399999999999999"/>
    <n v="0"/>
    <x v="172"/>
    <n v="0.39800000000000002"/>
    <n v="139.553"/>
    <n v="4"/>
    <n v="165853"/>
    <n v="4"/>
    <n v="165853"/>
    <n v="4"/>
    <n v="165853"/>
    <x v="1"/>
    <x v="1"/>
  </r>
  <r>
    <x v="1"/>
    <n v="524600"/>
    <x v="209"/>
    <x v="178"/>
    <x v="31"/>
    <s v="First Class"/>
    <n v="89"/>
    <x v="185"/>
    <x v="172"/>
    <n v="-6.1349999999999998"/>
    <x v="1"/>
    <n v="8"/>
    <n v="0.10199999999999999"/>
    <n v="2.5399999999999999E-2"/>
    <n v="9.7100000000000002E-6"/>
    <x v="18"/>
    <n v="0.32400000000000001"/>
    <n v="106.998"/>
    <n v="4"/>
    <n v="173948"/>
    <n v="4"/>
    <n v="173948"/>
    <n v="4"/>
    <n v="173948"/>
    <x v="1"/>
    <x v="1"/>
  </r>
  <r>
    <x v="1"/>
    <n v="523700"/>
    <x v="210"/>
    <x v="179"/>
    <x v="17"/>
    <s v="I Love You."/>
    <n v="90"/>
    <x v="186"/>
    <x v="173"/>
    <n v="-2.81"/>
    <x v="1"/>
    <n v="10"/>
    <n v="3.3599999999999998E-2"/>
    <n v="4.9500000000000002E-2"/>
    <n v="1.77E-2"/>
    <x v="36"/>
    <n v="0.39800000000000002"/>
    <n v="124.053"/>
    <n v="4"/>
    <n v="240400"/>
    <n v="4"/>
    <n v="240400"/>
    <n v="4"/>
    <n v="240400"/>
    <x v="1"/>
    <x v="1"/>
  </r>
  <r>
    <x v="2"/>
    <n v="522400"/>
    <x v="210"/>
    <x v="179"/>
    <x v="17"/>
    <s v="I Love You."/>
    <n v="90"/>
    <x v="186"/>
    <x v="173"/>
    <n v="-2.81"/>
    <x v="1"/>
    <n v="10"/>
    <n v="3.3599999999999998E-2"/>
    <n v="4.9500000000000002E-2"/>
    <n v="1.77E-2"/>
    <x v="36"/>
    <n v="0.39800000000000002"/>
    <n v="124.053"/>
    <n v="4"/>
    <n v="240400"/>
    <n v="4"/>
    <n v="240400"/>
    <n v="4"/>
    <n v="240400"/>
    <x v="1"/>
    <x v="1"/>
  </r>
  <r>
    <x v="0"/>
    <n v="521400"/>
    <x v="211"/>
    <x v="180"/>
    <x v="4"/>
    <s v="Play Me Again"/>
    <n v="66"/>
    <x v="69"/>
    <x v="174"/>
    <n v="-10.002000000000001"/>
    <x v="1"/>
    <n v="7"/>
    <n v="3.4500000000000003E-2"/>
    <n v="0.28799999999999998"/>
    <n v="0.85599999999999998"/>
    <x v="55"/>
    <n v="5.8400000000000001E-2"/>
    <n v="117.986"/>
    <n v="4"/>
    <n v="390639"/>
    <n v="4"/>
    <n v="390639"/>
    <n v="4"/>
    <n v="390639"/>
    <x v="1"/>
    <x v="1"/>
  </r>
  <r>
    <x v="0"/>
    <n v="520000"/>
    <x v="212"/>
    <x v="156"/>
    <x v="43"/>
    <s v="Love Story (Taylorâ€™s Version)"/>
    <n v="73"/>
    <x v="187"/>
    <x v="175"/>
    <n v="-4.3019999999999996"/>
    <x v="1"/>
    <n v="2"/>
    <n v="3.1099999999999999E-2"/>
    <n v="0.13500000000000001"/>
    <n v="3.9700000000000001E-6"/>
    <x v="167"/>
    <n v="0.41599999999999998"/>
    <n v="119.08199999999999"/>
    <n v="4"/>
    <n v="235767"/>
    <n v="4"/>
    <n v="235767"/>
    <n v="4"/>
    <n v="235767"/>
    <x v="1"/>
    <x v="1"/>
  </r>
  <r>
    <x v="1"/>
    <n v="518600"/>
    <x v="213"/>
    <x v="139"/>
    <x v="8"/>
    <s v="Future Nostalgia"/>
    <n v="85"/>
    <x v="94"/>
    <x v="176"/>
    <n v="-3.7869999999999999"/>
    <x v="0"/>
    <n v="6"/>
    <n v="6.0100000000000001E-2"/>
    <n v="8.8299999999999993E-3"/>
    <n v="0"/>
    <x v="173"/>
    <n v="0.91500000000000004"/>
    <n v="102.977"/>
    <n v="4"/>
    <n v="203064"/>
    <n v="4"/>
    <n v="203064"/>
    <n v="4"/>
    <n v="203064"/>
    <x v="1"/>
    <x v="1"/>
  </r>
  <r>
    <x v="1"/>
    <n v="518100"/>
    <x v="214"/>
    <x v="85"/>
    <x v="12"/>
    <s v="MONTERO"/>
    <n v="88"/>
    <x v="188"/>
    <x v="177"/>
    <n v="-4.51"/>
    <x v="0"/>
    <n v="1"/>
    <n v="0.22"/>
    <n v="6.1399999999999996E-3"/>
    <n v="0"/>
    <x v="174"/>
    <n v="0.54600000000000004"/>
    <n v="87.980999999999995"/>
    <n v="4"/>
    <n v="143901"/>
    <n v="4"/>
    <n v="143901"/>
    <n v="4"/>
    <n v="143901"/>
    <x v="1"/>
    <x v="1"/>
  </r>
  <r>
    <x v="3"/>
    <n v="518100"/>
    <x v="214"/>
    <x v="85"/>
    <x v="12"/>
    <s v="MONTERO"/>
    <n v="88"/>
    <x v="188"/>
    <x v="177"/>
    <n v="-4.51"/>
    <x v="0"/>
    <n v="1"/>
    <n v="0.22"/>
    <n v="6.1399999999999996E-3"/>
    <n v="0"/>
    <x v="174"/>
    <n v="0.54600000000000004"/>
    <n v="87.980999999999995"/>
    <n v="4"/>
    <n v="143901"/>
    <n v="4"/>
    <n v="143901"/>
    <n v="4"/>
    <n v="143901"/>
    <x v="1"/>
    <x v="1"/>
  </r>
  <r>
    <x v="3"/>
    <n v="518000"/>
    <x v="215"/>
    <x v="181"/>
    <x v="44"/>
    <s v="Red Diary Page.1"/>
    <n v="72"/>
    <x v="189"/>
    <x v="88"/>
    <n v="-2.8490000000000002"/>
    <x v="0"/>
    <n v="1"/>
    <n v="6.2899999999999998E-2"/>
    <n v="0.41699999999999998"/>
    <n v="0"/>
    <x v="175"/>
    <n v="0.78200000000000003"/>
    <n v="103.991"/>
    <n v="4"/>
    <n v="181373"/>
    <n v="4"/>
    <n v="181373"/>
    <n v="4"/>
    <n v="181373"/>
    <x v="1"/>
    <x v="1"/>
  </r>
  <r>
    <x v="0"/>
    <n v="513600"/>
    <x v="216"/>
    <x v="182"/>
    <x v="49"/>
    <s v="Vibin'"/>
    <n v="41"/>
    <x v="162"/>
    <x v="178"/>
    <n v="-6.8159999999999998"/>
    <x v="0"/>
    <n v="11"/>
    <n v="0.154"/>
    <n v="4.7800000000000004E-3"/>
    <n v="1.0899999999999999E-6"/>
    <x v="64"/>
    <n v="0.28899999999999998"/>
    <n v="130.98099999999999"/>
    <n v="4"/>
    <n v="154567"/>
    <n v="4"/>
    <n v="154567"/>
    <n v="4"/>
    <n v="154567"/>
    <x v="1"/>
    <x v="1"/>
  </r>
  <r>
    <x v="2"/>
    <n v="513600"/>
    <x v="216"/>
    <x v="182"/>
    <x v="62"/>
    <s v="Vibin'"/>
    <n v="41"/>
    <x v="162"/>
    <x v="178"/>
    <n v="-6.8159999999999998"/>
    <x v="0"/>
    <n v="11"/>
    <n v="0.154"/>
    <n v="4.7800000000000004E-3"/>
    <n v="1.0899999999999999E-6"/>
    <x v="64"/>
    <n v="0.28899999999999998"/>
    <n v="130.98099999999999"/>
    <n v="4"/>
    <n v="154567"/>
    <n v="4"/>
    <n v="154567"/>
    <n v="4"/>
    <n v="154567"/>
    <x v="1"/>
    <x v="1"/>
  </r>
  <r>
    <x v="2"/>
    <n v="504900"/>
    <x v="217"/>
    <x v="55"/>
    <x v="18"/>
    <s v="DROPPED OUTTA COLLEGE"/>
    <n v="72"/>
    <x v="53"/>
    <x v="179"/>
    <n v="-4.8410000000000002"/>
    <x v="0"/>
    <n v="9"/>
    <n v="0.17899999999999999"/>
    <n v="0.19900000000000001"/>
    <n v="0"/>
    <x v="113"/>
    <n v="0.52300000000000002"/>
    <n v="150.964"/>
    <n v="4"/>
    <n v="179133"/>
    <n v="4"/>
    <n v="179133"/>
    <n v="4"/>
    <n v="179133"/>
    <x v="1"/>
    <x v="1"/>
  </r>
  <r>
    <x v="1"/>
    <n v="502900"/>
    <x v="218"/>
    <x v="183"/>
    <x v="10"/>
    <s v="Death of a Bachelor"/>
    <n v="86"/>
    <x v="190"/>
    <x v="180"/>
    <n v="-5.0510000000000002"/>
    <x v="0"/>
    <n v="11"/>
    <n v="3.3500000000000002E-2"/>
    <n v="2.7200000000000002E-3"/>
    <n v="0"/>
    <x v="174"/>
    <n v="0.50600000000000001"/>
    <n v="109.952"/>
    <n v="4"/>
    <n v="208707"/>
    <n v="4"/>
    <n v="208707"/>
    <n v="4"/>
    <n v="208707"/>
    <x v="1"/>
    <x v="1"/>
  </r>
  <r>
    <x v="0"/>
    <n v="500800"/>
    <x v="219"/>
    <x v="184"/>
    <x v="23"/>
    <s v="Ungodly Hour"/>
    <n v="67"/>
    <x v="77"/>
    <x v="181"/>
    <n v="-7.2859999999999996"/>
    <x v="0"/>
    <n v="5"/>
    <n v="5.5E-2"/>
    <n v="9.3200000000000005E-2"/>
    <n v="2.3300000000000001E-6"/>
    <x v="76"/>
    <n v="0.56599999999999995"/>
    <n v="82.965999999999994"/>
    <n v="4"/>
    <n v="176787"/>
    <n v="4"/>
    <n v="176787"/>
    <n v="4"/>
    <n v="176787"/>
    <x v="1"/>
    <x v="1"/>
  </r>
  <r>
    <x v="2"/>
    <n v="499700"/>
    <x v="220"/>
    <x v="185"/>
    <x v="20"/>
    <s v="Smack a Bitch"/>
    <n v="61"/>
    <x v="191"/>
    <x v="182"/>
    <n v="-2.4169999999999998"/>
    <x v="1"/>
    <n v="2"/>
    <n v="0.221"/>
    <n v="5.4999999999999997E-3"/>
    <n v="0"/>
    <x v="79"/>
    <n v="0.34"/>
    <n v="169.86099999999999"/>
    <n v="4"/>
    <n v="138353"/>
    <n v="4"/>
    <n v="138353"/>
    <n v="4"/>
    <n v="138353"/>
    <x v="1"/>
    <x v="1"/>
  </r>
  <r>
    <x v="0"/>
    <n v="495300"/>
    <x v="221"/>
    <x v="186"/>
    <x v="44"/>
    <s v="Crisis"/>
    <n v="59"/>
    <x v="192"/>
    <x v="183"/>
    <n v="-4.3109999999999999"/>
    <x v="0"/>
    <n v="10"/>
    <n v="0.34399999999999997"/>
    <n v="0.26300000000000001"/>
    <n v="3.2399999999999998E-3"/>
    <x v="15"/>
    <n v="0.58299999999999996"/>
    <n v="165.99"/>
    <n v="4"/>
    <n v="109595"/>
    <n v="4"/>
    <n v="109595"/>
    <n v="4"/>
    <n v="109595"/>
    <x v="1"/>
    <x v="1"/>
  </r>
  <r>
    <x v="0"/>
    <n v="488000"/>
    <x v="222"/>
    <x v="187"/>
    <x v="50"/>
    <s v="The Dice Beat Pt. 1"/>
    <n v="34"/>
    <x v="193"/>
    <x v="184"/>
    <n v="-10.061"/>
    <x v="1"/>
    <n v="1"/>
    <n v="0.56699999999999995"/>
    <n v="1.7999999999999999E-2"/>
    <n v="6.8000000000000005E-2"/>
    <x v="19"/>
    <n v="9.9900000000000003E-2"/>
    <n v="125.95"/>
    <n v="4"/>
    <n v="100000"/>
    <n v="4"/>
    <n v="100000"/>
    <n v="4"/>
    <n v="100000"/>
    <x v="1"/>
    <x v="1"/>
  </r>
  <r>
    <x v="0"/>
    <n v="484000"/>
    <x v="223"/>
    <x v="188"/>
    <x v="24"/>
    <s v="3 Musketeers"/>
    <n v="65"/>
    <x v="194"/>
    <x v="185"/>
    <n v="-10.234"/>
    <x v="1"/>
    <n v="0"/>
    <n v="8.4699999999999998E-2"/>
    <n v="0.25800000000000001"/>
    <n v="0"/>
    <x v="176"/>
    <n v="0.57199999999999995"/>
    <n v="104.97199999999999"/>
    <n v="4"/>
    <n v="166857"/>
    <n v="4"/>
    <n v="166857"/>
    <n v="4"/>
    <n v="166857"/>
    <x v="1"/>
    <x v="1"/>
  </r>
  <r>
    <x v="2"/>
    <n v="483700"/>
    <x v="224"/>
    <x v="189"/>
    <x v="40"/>
    <s v="No Rain No Flowers"/>
    <n v="61"/>
    <x v="49"/>
    <x v="186"/>
    <n v="-6.2990000000000004"/>
    <x v="1"/>
    <n v="3"/>
    <n v="9.5100000000000004E-2"/>
    <n v="9.4200000000000006E-2"/>
    <n v="0"/>
    <x v="79"/>
    <n v="0.48799999999999999"/>
    <n v="149.94999999999999"/>
    <n v="4"/>
    <n v="181543"/>
    <n v="4"/>
    <n v="181543"/>
    <n v="4"/>
    <n v="181543"/>
    <x v="1"/>
    <x v="1"/>
  </r>
  <r>
    <x v="1"/>
    <n v="482900"/>
    <x v="225"/>
    <x v="190"/>
    <x v="16"/>
    <s v="Rover (feat. DTG)"/>
    <n v="78"/>
    <x v="164"/>
    <x v="186"/>
    <n v="-6.66"/>
    <x v="0"/>
    <n v="11"/>
    <n v="0.20599999999999999"/>
    <n v="0.496"/>
    <n v="0"/>
    <x v="177"/>
    <n v="0.80300000000000005"/>
    <n v="62.948"/>
    <n v="5"/>
    <n v="167917"/>
    <n v="5"/>
    <n v="167917"/>
    <n v="5"/>
    <n v="167917"/>
    <x v="1"/>
    <x v="1"/>
  </r>
  <r>
    <x v="0"/>
    <n v="472400"/>
    <x v="226"/>
    <x v="191"/>
    <x v="11"/>
    <s v="Someone To You"/>
    <n v="0"/>
    <x v="195"/>
    <x v="187"/>
    <n v="-3.649"/>
    <x v="1"/>
    <n v="2"/>
    <n v="4.41E-2"/>
    <n v="5.5999999999999999E-3"/>
    <n v="0"/>
    <x v="178"/>
    <n v="0.67300000000000004"/>
    <n v="75.010000000000005"/>
    <n v="4"/>
    <n v="219813"/>
    <n v="4"/>
    <n v="219813"/>
    <n v="4"/>
    <n v="219813"/>
    <x v="1"/>
    <x v="1"/>
  </r>
  <r>
    <x v="1"/>
    <n v="472100"/>
    <x v="227"/>
    <x v="192"/>
    <x v="14"/>
    <s v="I AM WOMAN"/>
    <n v="76"/>
    <x v="196"/>
    <x v="188"/>
    <n v="-9.2469999999999999"/>
    <x v="1"/>
    <n v="10"/>
    <n v="0.157"/>
    <n v="0.122"/>
    <n v="0"/>
    <x v="179"/>
    <n v="0.45500000000000002"/>
    <n v="170.084"/>
    <n v="4"/>
    <n v="232813"/>
    <n v="4"/>
    <n v="232813"/>
    <n v="4"/>
    <n v="232813"/>
    <x v="1"/>
    <x v="1"/>
  </r>
  <r>
    <x v="1"/>
    <n v="471400"/>
    <x v="228"/>
    <x v="96"/>
    <x v="47"/>
    <s v="Doo-Wops &amp; Hooligans"/>
    <n v="76"/>
    <x v="197"/>
    <x v="160"/>
    <n v="-4.7210000000000001"/>
    <x v="0"/>
    <n v="1"/>
    <n v="3.2000000000000001E-2"/>
    <n v="0.51100000000000001"/>
    <n v="0"/>
    <x v="77"/>
    <n v="7.8399999999999997E-2"/>
    <n v="145.86699999999999"/>
    <n v="4"/>
    <n v="217867"/>
    <n v="4"/>
    <n v="217867"/>
    <n v="4"/>
    <n v="217867"/>
    <x v="1"/>
    <x v="1"/>
  </r>
  <r>
    <x v="0"/>
    <n v="470600"/>
    <x v="229"/>
    <x v="193"/>
    <x v="33"/>
    <s v="Whack World"/>
    <n v="57"/>
    <x v="198"/>
    <x v="189"/>
    <n v="-5.6909999999999998"/>
    <x v="0"/>
    <n v="4"/>
    <n v="4.8800000000000003E-2"/>
    <n v="2.2700000000000001E-2"/>
    <n v="7.4400000000000004E-3"/>
    <x v="55"/>
    <n v="0.77800000000000002"/>
    <n v="136.63999999999999"/>
    <n v="4"/>
    <n v="60000"/>
    <n v="4"/>
    <n v="60000"/>
    <n v="4"/>
    <n v="60000"/>
    <x v="1"/>
    <x v="1"/>
  </r>
  <r>
    <x v="2"/>
    <n v="470600"/>
    <x v="229"/>
    <x v="193"/>
    <x v="33"/>
    <s v="Whack World"/>
    <n v="57"/>
    <x v="198"/>
    <x v="189"/>
    <n v="-5.6909999999999998"/>
    <x v="0"/>
    <n v="4"/>
    <n v="4.8800000000000003E-2"/>
    <n v="2.2700000000000001E-2"/>
    <n v="7.4400000000000004E-3"/>
    <x v="55"/>
    <n v="0.77800000000000002"/>
    <n v="136.63999999999999"/>
    <n v="4"/>
    <n v="60000"/>
    <n v="4"/>
    <n v="60000"/>
    <n v="4"/>
    <n v="60000"/>
    <x v="1"/>
    <x v="1"/>
  </r>
  <r>
    <x v="2"/>
    <n v="465300"/>
    <x v="230"/>
    <x v="194"/>
    <x v="19"/>
    <s v="YOU"/>
    <n v="79"/>
    <x v="199"/>
    <x v="190"/>
    <n v="-6.9720000000000004"/>
    <x v="0"/>
    <n v="11"/>
    <n v="2.87E-2"/>
    <n v="0.374"/>
    <n v="0"/>
    <x v="180"/>
    <n v="0.39700000000000002"/>
    <n v="95.971000000000004"/>
    <n v="4"/>
    <n v="212607"/>
    <n v="4"/>
    <n v="212607"/>
    <n v="4"/>
    <n v="212607"/>
    <x v="1"/>
    <x v="1"/>
  </r>
  <r>
    <x v="2"/>
    <n v="465300"/>
    <x v="230"/>
    <x v="194"/>
    <x v="19"/>
    <s v="It's You"/>
    <n v="5"/>
    <x v="199"/>
    <x v="190"/>
    <n v="-6.9720000000000004"/>
    <x v="0"/>
    <n v="11"/>
    <n v="2.87E-2"/>
    <n v="0.374"/>
    <n v="0"/>
    <x v="180"/>
    <n v="0.39700000000000002"/>
    <n v="95.971000000000004"/>
    <n v="4"/>
    <n v="212607"/>
    <n v="4"/>
    <n v="212607"/>
    <n v="4"/>
    <n v="212607"/>
    <x v="1"/>
    <x v="1"/>
  </r>
  <r>
    <x v="0"/>
    <n v="449100"/>
    <x v="231"/>
    <x v="195"/>
    <x v="9"/>
    <s v="Weezer (Green Album)"/>
    <n v="78"/>
    <x v="63"/>
    <x v="191"/>
    <n v="-6.26"/>
    <x v="0"/>
    <n v="4"/>
    <n v="2.8799999999999999E-2"/>
    <n v="7.1900000000000002E-3"/>
    <n v="2.5100000000000001E-3"/>
    <x v="34"/>
    <n v="0.66100000000000003"/>
    <n v="114.623"/>
    <n v="4"/>
    <n v="200307"/>
    <n v="4"/>
    <n v="200307"/>
    <n v="4"/>
    <n v="200307"/>
    <x v="1"/>
    <x v="1"/>
  </r>
  <r>
    <x v="1"/>
    <n v="446000"/>
    <x v="232"/>
    <x v="196"/>
    <x v="5"/>
    <s v="Where the Light Is"/>
    <n v="77"/>
    <x v="155"/>
    <x v="20"/>
    <n v="-6.8319999999999999"/>
    <x v="1"/>
    <n v="5"/>
    <n v="5.7799999999999997E-2"/>
    <n v="0.183"/>
    <n v="0"/>
    <x v="181"/>
    <n v="0.69399999999999995"/>
    <n v="112.02200000000001"/>
    <n v="4"/>
    <n v="158571"/>
    <n v="4"/>
    <n v="158571"/>
    <n v="4"/>
    <n v="158571"/>
    <x v="1"/>
    <x v="1"/>
  </r>
  <r>
    <x v="0"/>
    <n v="445900"/>
    <x v="232"/>
    <x v="196"/>
    <x v="5"/>
    <s v="Where the Light Is"/>
    <n v="77"/>
    <x v="155"/>
    <x v="20"/>
    <n v="-6.8319999999999999"/>
    <x v="1"/>
    <n v="5"/>
    <n v="5.7799999999999997E-2"/>
    <n v="0.183"/>
    <n v="0"/>
    <x v="181"/>
    <n v="0.69399999999999995"/>
    <n v="112.02200000000001"/>
    <n v="4"/>
    <n v="158571"/>
    <n v="4"/>
    <n v="158571"/>
    <n v="4"/>
    <n v="158571"/>
    <x v="1"/>
    <x v="1"/>
  </r>
  <r>
    <x v="2"/>
    <n v="440800"/>
    <x v="233"/>
    <x v="197"/>
    <x v="14"/>
    <s v="GOODMORNINGTOKYO!"/>
    <n v="70"/>
    <x v="90"/>
    <x v="192"/>
    <n v="-7.782"/>
    <x v="1"/>
    <n v="4"/>
    <n v="0.36"/>
    <n v="4.0800000000000003E-2"/>
    <n v="0"/>
    <x v="182"/>
    <n v="0.66400000000000003"/>
    <n v="124.91800000000001"/>
    <n v="4"/>
    <n v="150115"/>
    <n v="4"/>
    <n v="150115"/>
    <n v="4"/>
    <n v="150115"/>
    <x v="1"/>
    <x v="1"/>
  </r>
  <r>
    <x v="0"/>
    <n v="432400"/>
    <x v="234"/>
    <x v="198"/>
    <x v="20"/>
    <s v="the masquerade"/>
    <n v="73"/>
    <x v="200"/>
    <x v="193"/>
    <n v="-6.048"/>
    <x v="1"/>
    <n v="10"/>
    <n v="4.4600000000000001E-2"/>
    <n v="0.69799999999999995"/>
    <n v="0"/>
    <x v="23"/>
    <n v="0.42099999999999999"/>
    <n v="119.94199999999999"/>
    <n v="4"/>
    <n v="197933"/>
    <n v="4"/>
    <n v="197933"/>
    <n v="4"/>
    <n v="197933"/>
    <x v="1"/>
    <x v="1"/>
  </r>
  <r>
    <x v="2"/>
    <n v="431800"/>
    <x v="234"/>
    <x v="198"/>
    <x v="20"/>
    <s v="the masquerade"/>
    <n v="73"/>
    <x v="200"/>
    <x v="193"/>
    <n v="-6.048"/>
    <x v="1"/>
    <n v="10"/>
    <n v="4.4600000000000001E-2"/>
    <n v="0.69799999999999995"/>
    <n v="0"/>
    <x v="23"/>
    <n v="0.42099999999999999"/>
    <n v="119.94199999999999"/>
    <n v="4"/>
    <n v="197933"/>
    <n v="4"/>
    <n v="197933"/>
    <n v="4"/>
    <n v="197933"/>
    <x v="1"/>
    <x v="1"/>
  </r>
  <r>
    <x v="0"/>
    <n v="430200"/>
    <x v="235"/>
    <x v="34"/>
    <x v="10"/>
    <s v="Heaven Or Hell"/>
    <n v="80"/>
    <x v="61"/>
    <x v="126"/>
    <n v="-8.0449999999999999"/>
    <x v="1"/>
    <n v="5"/>
    <n v="3.7600000000000001E-2"/>
    <n v="9.8099999999999993E-3"/>
    <n v="0.33100000000000002"/>
    <x v="183"/>
    <n v="0.45300000000000001"/>
    <n v="162.94800000000001"/>
    <n v="4"/>
    <n v="167916"/>
    <n v="4"/>
    <n v="167916"/>
    <n v="4"/>
    <n v="167916"/>
    <x v="1"/>
    <x v="1"/>
  </r>
  <r>
    <x v="0"/>
    <n v="426100"/>
    <x v="236"/>
    <x v="199"/>
    <x v="15"/>
    <s v="Moral of the Story"/>
    <n v="76"/>
    <x v="201"/>
    <x v="194"/>
    <n v="-8.6240000000000006"/>
    <x v="1"/>
    <n v="10"/>
    <n v="4.2700000000000002E-2"/>
    <n v="0.58699999999999997"/>
    <n v="4.4800000000000003E-6"/>
    <x v="55"/>
    <n v="0.26500000000000001"/>
    <n v="119.812"/>
    <n v="4"/>
    <n v="201084"/>
    <n v="4"/>
    <n v="201084"/>
    <n v="4"/>
    <n v="201084"/>
    <x v="1"/>
    <x v="1"/>
  </r>
  <r>
    <x v="0"/>
    <n v="415600"/>
    <x v="237"/>
    <x v="200"/>
    <x v="6"/>
    <s v="My Ordinary Life"/>
    <n v="79"/>
    <x v="202"/>
    <x v="195"/>
    <n v="-4.78"/>
    <x v="0"/>
    <n v="9"/>
    <n v="4.2000000000000003E-2"/>
    <n v="5.3299999999999997E-3"/>
    <n v="0.33800000000000002"/>
    <x v="184"/>
    <n v="0.59799999999999998"/>
    <n v="176.005"/>
    <n v="4"/>
    <n v="230895"/>
    <n v="4"/>
    <n v="230895"/>
    <n v="4"/>
    <n v="230895"/>
    <x v="1"/>
    <x v="1"/>
  </r>
  <r>
    <x v="2"/>
    <n v="411300"/>
    <x v="238"/>
    <x v="201"/>
    <x v="0"/>
    <s v="i think you think too much of me"/>
    <n v="65"/>
    <x v="203"/>
    <x v="196"/>
    <n v="-4.4690000000000003"/>
    <x v="1"/>
    <n v="9"/>
    <n v="4.6600000000000003E-2"/>
    <n v="0.16200000000000001"/>
    <n v="0"/>
    <x v="185"/>
    <n v="0.53200000000000003"/>
    <n v="103.39100000000001"/>
    <n v="4"/>
    <n v="218808"/>
    <n v="4"/>
    <n v="218808"/>
    <n v="4"/>
    <n v="218808"/>
    <x v="1"/>
    <x v="1"/>
  </r>
  <r>
    <x v="2"/>
    <n v="404000"/>
    <x v="239"/>
    <x v="202"/>
    <x v="57"/>
    <s v="Lil Boat 2"/>
    <n v="54"/>
    <x v="204"/>
    <x v="197"/>
    <n v="-5.6550000000000002"/>
    <x v="1"/>
    <n v="1"/>
    <n v="0.23"/>
    <n v="2.9499999999999998E-2"/>
    <n v="0"/>
    <x v="186"/>
    <n v="0.13100000000000001"/>
    <n v="119.994"/>
    <n v="4"/>
    <n v="160518"/>
    <n v="4"/>
    <n v="160518"/>
    <n v="4"/>
    <n v="160518"/>
    <x v="1"/>
    <x v="1"/>
  </r>
  <r>
    <x v="1"/>
    <n v="403900"/>
    <x v="240"/>
    <x v="203"/>
    <x v="51"/>
    <s v="Just The Two of Us"/>
    <n v="67"/>
    <x v="205"/>
    <x v="198"/>
    <n v="-13.468"/>
    <x v="1"/>
    <n v="1"/>
    <n v="0.115"/>
    <n v="0.93600000000000005"/>
    <n v="1.6200000000000001E-5"/>
    <x v="182"/>
    <n v="0.42199999999999999"/>
    <n v="81.671999999999997"/>
    <n v="4"/>
    <n v="117037"/>
    <n v="4"/>
    <n v="117037"/>
    <n v="4"/>
    <n v="117037"/>
    <x v="1"/>
    <x v="1"/>
  </r>
  <r>
    <x v="2"/>
    <n v="403800"/>
    <x v="241"/>
    <x v="148"/>
    <x v="26"/>
    <s v="Six: The Musical (Studio Cast Recording)"/>
    <n v="61"/>
    <x v="206"/>
    <x v="194"/>
    <n v="-9.9049999999999994"/>
    <x v="0"/>
    <n v="4"/>
    <n v="0.10199999999999999"/>
    <n v="9.8600000000000007E-3"/>
    <n v="0"/>
    <x v="187"/>
    <n v="0.39"/>
    <n v="102.985"/>
    <n v="4"/>
    <n v="253993"/>
    <n v="4"/>
    <n v="253993"/>
    <n v="4"/>
    <n v="253993"/>
    <x v="1"/>
    <x v="1"/>
  </r>
  <r>
    <x v="0"/>
    <n v="396800"/>
    <x v="177"/>
    <x v="164"/>
    <x v="60"/>
    <s v="Mylo Xyloto"/>
    <n v="82"/>
    <x v="207"/>
    <x v="199"/>
    <n v="-6.7610000000000001"/>
    <x v="1"/>
    <n v="5"/>
    <n v="2.6800000000000001E-2"/>
    <n v="5.0900000000000001E-2"/>
    <n v="8.7499999999999999E-5"/>
    <x v="188"/>
    <n v="0.21199999999999999"/>
    <n v="139.631"/>
    <n v="4"/>
    <n v="278719"/>
    <n v="4"/>
    <n v="278719"/>
    <n v="4"/>
    <n v="278719"/>
    <x v="1"/>
    <x v="1"/>
  </r>
  <r>
    <x v="0"/>
    <n v="394600"/>
    <x v="242"/>
    <x v="204"/>
    <x v="27"/>
    <s v="Yellow Hearts"/>
    <n v="68"/>
    <x v="208"/>
    <x v="200"/>
    <n v="-8.9429999999999996"/>
    <x v="1"/>
    <n v="7"/>
    <n v="7.1900000000000006E-2"/>
    <n v="0.17699999999999999"/>
    <n v="0"/>
    <x v="189"/>
    <n v="0.69499999999999995"/>
    <n v="129.03899999999999"/>
    <n v="4"/>
    <n v="223258"/>
    <n v="4"/>
    <n v="223258"/>
    <n v="4"/>
    <n v="223258"/>
    <x v="1"/>
    <x v="1"/>
  </r>
  <r>
    <x v="2"/>
    <n v="394200"/>
    <x v="242"/>
    <x v="204"/>
    <x v="27"/>
    <s v="Yellow Hearts"/>
    <n v="0"/>
    <x v="208"/>
    <x v="201"/>
    <n v="-10.938000000000001"/>
    <x v="1"/>
    <n v="7"/>
    <n v="7.4499999999999997E-2"/>
    <n v="0.11700000000000001"/>
    <n v="0"/>
    <x v="190"/>
    <n v="0.71299999999999997"/>
    <n v="129.047"/>
    <n v="4"/>
    <n v="223256"/>
    <n v="4"/>
    <n v="223256"/>
    <n v="4"/>
    <n v="223256"/>
    <x v="1"/>
    <x v="1"/>
  </r>
  <r>
    <x v="2"/>
    <n v="391800"/>
    <x v="243"/>
    <x v="205"/>
    <x v="58"/>
    <s v="HighDefGang Vol.1"/>
    <n v="44"/>
    <x v="209"/>
    <x v="202"/>
    <n v="-8.8000000000000007"/>
    <x v="1"/>
    <n v="1"/>
    <n v="0.40699999999999997"/>
    <n v="6.8599999999999998E-4"/>
    <n v="0"/>
    <x v="191"/>
    <n v="0.49099999999999999"/>
    <n v="141.00800000000001"/>
    <n v="4"/>
    <n v="206733"/>
    <n v="4"/>
    <n v="206733"/>
    <n v="4"/>
    <n v="206733"/>
    <x v="1"/>
    <x v="1"/>
  </r>
  <r>
    <x v="0"/>
    <n v="389200"/>
    <x v="244"/>
    <x v="206"/>
    <x v="63"/>
    <s v="Interior Crocodile Alligator"/>
    <n v="45"/>
    <x v="112"/>
    <x v="203"/>
    <n v="-6.9139999999999997"/>
    <x v="1"/>
    <n v="1"/>
    <n v="0.48699999999999999"/>
    <n v="1.3599999999999999E-2"/>
    <n v="0"/>
    <x v="192"/>
    <n v="0.77400000000000002"/>
    <n v="178.40100000000001"/>
    <n v="4"/>
    <n v="110253"/>
    <n v="4"/>
    <n v="110253"/>
    <n v="4"/>
    <n v="110253"/>
    <x v="1"/>
    <x v="1"/>
  </r>
  <r>
    <x v="2"/>
    <n v="385600"/>
    <x v="245"/>
    <x v="207"/>
    <x v="41"/>
    <s v="We Love You Tecca"/>
    <n v="78"/>
    <x v="21"/>
    <x v="49"/>
    <n v="-6.2569999999999997"/>
    <x v="0"/>
    <n v="7"/>
    <n v="0.28699999999999998"/>
    <n v="2.0400000000000001E-2"/>
    <n v="0"/>
    <x v="193"/>
    <n v="0.22600000000000001"/>
    <n v="179.97399999999999"/>
    <n v="4"/>
    <n v="131240"/>
    <n v="4"/>
    <n v="131240"/>
    <n v="4"/>
    <n v="131240"/>
    <x v="1"/>
    <x v="1"/>
  </r>
  <r>
    <x v="2"/>
    <n v="382100"/>
    <x v="246"/>
    <x v="208"/>
    <x v="64"/>
    <s v="Who R U"/>
    <n v="35"/>
    <x v="210"/>
    <x v="204"/>
    <n v="-13.445"/>
    <x v="1"/>
    <n v="1"/>
    <n v="0.41"/>
    <n v="1.35E-2"/>
    <n v="0"/>
    <x v="194"/>
    <n v="0.52900000000000003"/>
    <n v="91.477999999999994"/>
    <n v="4"/>
    <n v="124613"/>
    <n v="4"/>
    <n v="124613"/>
    <n v="4"/>
    <n v="124613"/>
    <x v="1"/>
    <x v="1"/>
  </r>
  <r>
    <x v="0"/>
    <n v="381500"/>
    <x v="247"/>
    <x v="209"/>
    <x v="20"/>
    <s v="Ho, why is you here ?"/>
    <n v="61"/>
    <x v="54"/>
    <x v="205"/>
    <n v="-3.5470000000000002"/>
    <x v="1"/>
    <n v="1"/>
    <n v="0.20200000000000001"/>
    <n v="8.2799999999999999E-2"/>
    <n v="0"/>
    <x v="195"/>
    <n v="0.85"/>
    <n v="106.032"/>
    <n v="4"/>
    <n v="163019"/>
    <n v="4"/>
    <n v="163019"/>
    <n v="4"/>
    <n v="163019"/>
    <x v="1"/>
    <x v="1"/>
  </r>
  <r>
    <x v="2"/>
    <n v="379400"/>
    <x v="248"/>
    <x v="210"/>
    <x v="51"/>
    <s v="Holo"/>
    <n v="0"/>
    <x v="211"/>
    <x v="104"/>
    <n v="-10.631"/>
    <x v="1"/>
    <n v="7"/>
    <n v="0.158"/>
    <n v="0.85199999999999998"/>
    <n v="0.11799999999999999"/>
    <x v="19"/>
    <n v="7.0000000000000007E-2"/>
    <n v="119.905"/>
    <n v="4"/>
    <n v="164113"/>
    <n v="4"/>
    <n v="164113"/>
    <n v="4"/>
    <n v="164113"/>
    <x v="1"/>
    <x v="1"/>
  </r>
  <r>
    <x v="3"/>
    <n v="378900"/>
    <x v="249"/>
    <x v="211"/>
    <x v="3"/>
    <s v="Faded"/>
    <n v="5"/>
    <x v="212"/>
    <x v="146"/>
    <n v="-6.6269999999999998"/>
    <x v="0"/>
    <n v="8"/>
    <n v="0.36299999999999999"/>
    <n v="0.83499999999999996"/>
    <n v="0"/>
    <x v="196"/>
    <n v="0.68700000000000006"/>
    <n v="179.62899999999999"/>
    <n v="4"/>
    <n v="168020"/>
    <n v="4"/>
    <n v="168020"/>
    <n v="4"/>
    <n v="168020"/>
    <x v="1"/>
    <x v="1"/>
  </r>
  <r>
    <x v="0"/>
    <n v="374000"/>
    <x v="250"/>
    <x v="212"/>
    <x v="65"/>
    <s v="Walked In"/>
    <n v="41"/>
    <x v="213"/>
    <x v="117"/>
    <n v="-6.7240000000000002"/>
    <x v="1"/>
    <n v="2"/>
    <n v="0.39400000000000002"/>
    <n v="0.123"/>
    <n v="0"/>
    <x v="197"/>
    <n v="0.64300000000000002"/>
    <n v="80.031999999999996"/>
    <n v="4"/>
    <n v="107404"/>
    <n v="4"/>
    <n v="107404"/>
    <n v="4"/>
    <n v="107404"/>
    <x v="1"/>
    <x v="1"/>
  </r>
  <r>
    <x v="2"/>
    <n v="373500"/>
    <x v="251"/>
    <x v="213"/>
    <x v="56"/>
    <s v="Baby Yoda"/>
    <n v="38"/>
    <x v="214"/>
    <x v="206"/>
    <n v="-16.616"/>
    <x v="1"/>
    <n v="2"/>
    <n v="0.20599999999999999"/>
    <n v="0.373"/>
    <n v="6.8500000000000005E-2"/>
    <x v="127"/>
    <n v="0.84799999999999998"/>
    <n v="160.07400000000001"/>
    <n v="4"/>
    <n v="87000"/>
    <n v="4"/>
    <n v="87000"/>
    <n v="4"/>
    <n v="87000"/>
    <x v="1"/>
    <x v="1"/>
  </r>
  <r>
    <x v="2"/>
    <n v="373400"/>
    <x v="250"/>
    <x v="212"/>
    <x v="65"/>
    <s v="Orichalcos"/>
    <n v="42"/>
    <x v="213"/>
    <x v="117"/>
    <n v="-6.7240000000000002"/>
    <x v="1"/>
    <n v="2"/>
    <n v="0.39400000000000002"/>
    <n v="0.123"/>
    <n v="0"/>
    <x v="197"/>
    <n v="0.64300000000000002"/>
    <n v="80.031999999999996"/>
    <n v="4"/>
    <n v="107404"/>
    <n v="4"/>
    <n v="107404"/>
    <n v="4"/>
    <n v="107404"/>
    <x v="1"/>
    <x v="1"/>
  </r>
  <r>
    <x v="2"/>
    <n v="373000"/>
    <x v="252"/>
    <x v="3"/>
    <x v="2"/>
    <s v="Fever"/>
    <n v="67"/>
    <x v="215"/>
    <x v="57"/>
    <n v="-4.9039999999999999"/>
    <x v="1"/>
    <n v="1"/>
    <n v="0.41599999999999998"/>
    <n v="2.18E-2"/>
    <n v="0"/>
    <x v="198"/>
    <n v="0.54900000000000004"/>
    <n v="130.02799999999999"/>
    <n v="4"/>
    <n v="192540"/>
    <n v="4"/>
    <n v="192540"/>
    <n v="4"/>
    <n v="192540"/>
    <x v="1"/>
    <x v="1"/>
  </r>
  <r>
    <x v="0"/>
    <n v="364100"/>
    <x v="253"/>
    <x v="214"/>
    <x v="4"/>
    <s v="Thousand Peaces"/>
    <n v="68"/>
    <x v="180"/>
    <x v="207"/>
    <n v="-10.667999999999999"/>
    <x v="0"/>
    <n v="6"/>
    <n v="5.4199999999999998E-2"/>
    <n v="0.23"/>
    <n v="1.5699999999999999E-4"/>
    <x v="199"/>
    <n v="0.872"/>
    <n v="85.486000000000004"/>
    <n v="4"/>
    <n v="224661"/>
    <n v="4"/>
    <n v="224661"/>
    <n v="4"/>
    <n v="224661"/>
    <x v="1"/>
    <x v="1"/>
  </r>
  <r>
    <x v="2"/>
    <n v="364000"/>
    <x v="253"/>
    <x v="214"/>
    <x v="4"/>
    <s v="Thousand Peaces"/>
    <n v="68"/>
    <x v="180"/>
    <x v="207"/>
    <n v="-10.667999999999999"/>
    <x v="0"/>
    <n v="6"/>
    <n v="5.4199999999999998E-2"/>
    <n v="0.23"/>
    <n v="1.5699999999999999E-4"/>
    <x v="199"/>
    <n v="0.872"/>
    <n v="85.486000000000004"/>
    <n v="4"/>
    <n v="224661"/>
    <n v="4"/>
    <n v="224661"/>
    <n v="4"/>
    <n v="224661"/>
    <x v="1"/>
    <x v="1"/>
  </r>
  <r>
    <x v="1"/>
    <n v="361200"/>
    <x v="254"/>
    <x v="215"/>
    <x v="57"/>
    <s v="MIDDLE OF THE NIGHT"/>
    <n v="91"/>
    <x v="216"/>
    <x v="120"/>
    <n v="-8.2710000000000008"/>
    <x v="0"/>
    <n v="4"/>
    <n v="4.6699999999999998E-2"/>
    <n v="2.2800000000000001E-2"/>
    <n v="0"/>
    <x v="71"/>
    <n v="8.9899999999999994E-2"/>
    <n v="185.727"/>
    <n v="3"/>
    <n v="184448"/>
    <n v="3"/>
    <n v="184448"/>
    <n v="3"/>
    <n v="184448"/>
    <x v="1"/>
    <x v="1"/>
  </r>
  <r>
    <x v="3"/>
    <n v="361200"/>
    <x v="254"/>
    <x v="215"/>
    <x v="57"/>
    <s v="MIDDLE OF THE NIGHT"/>
    <n v="91"/>
    <x v="216"/>
    <x v="120"/>
    <n v="-8.2710000000000008"/>
    <x v="0"/>
    <n v="4"/>
    <n v="4.6699999999999998E-2"/>
    <n v="2.2800000000000001E-2"/>
    <n v="0"/>
    <x v="71"/>
    <n v="8.9899999999999994E-2"/>
    <n v="185.727"/>
    <n v="3"/>
    <n v="184448"/>
    <n v="3"/>
    <n v="184448"/>
    <n v="3"/>
    <n v="184448"/>
    <x v="1"/>
    <x v="1"/>
  </r>
  <r>
    <x v="1"/>
    <n v="360400"/>
    <x v="255"/>
    <x v="216"/>
    <x v="55"/>
    <s v="Calling My Phone"/>
    <n v="15"/>
    <x v="90"/>
    <x v="208"/>
    <n v="-7.6360000000000001"/>
    <x v="0"/>
    <n v="4"/>
    <n v="5.3900000000000003E-2"/>
    <n v="0.45100000000000001"/>
    <n v="1.35E-6"/>
    <x v="30"/>
    <n v="0.20200000000000001"/>
    <n v="104.949"/>
    <n v="4"/>
    <n v="205458"/>
    <n v="4"/>
    <n v="205458"/>
    <n v="4"/>
    <n v="205458"/>
    <x v="1"/>
    <x v="1"/>
  </r>
  <r>
    <x v="3"/>
    <n v="360400"/>
    <x v="255"/>
    <x v="216"/>
    <x v="55"/>
    <s v="Destined 2 Win"/>
    <n v="80"/>
    <x v="90"/>
    <x v="208"/>
    <n v="-7.6360000000000001"/>
    <x v="0"/>
    <n v="4"/>
    <n v="5.3900000000000003E-2"/>
    <n v="0.45100000000000001"/>
    <n v="1.35E-6"/>
    <x v="30"/>
    <n v="0.20200000000000001"/>
    <n v="104.949"/>
    <n v="4"/>
    <n v="205458"/>
    <n v="4"/>
    <n v="205458"/>
    <n v="4"/>
    <n v="205458"/>
    <x v="1"/>
    <x v="1"/>
  </r>
  <r>
    <x v="2"/>
    <n v="357100"/>
    <x v="256"/>
    <x v="124"/>
    <x v="53"/>
    <s v="I Don't Care (with Justin Bieber)"/>
    <n v="78"/>
    <x v="171"/>
    <x v="209"/>
    <n v="-5.0410000000000004"/>
    <x v="1"/>
    <n v="6"/>
    <n v="4.4200000000000003E-2"/>
    <n v="9.1200000000000003E-2"/>
    <n v="0"/>
    <x v="200"/>
    <n v="0.84199999999999997"/>
    <n v="101.956"/>
    <n v="4"/>
    <n v="219947"/>
    <n v="4"/>
    <n v="219947"/>
    <n v="4"/>
    <n v="219947"/>
    <x v="1"/>
    <x v="1"/>
  </r>
  <r>
    <x v="3"/>
    <n v="356900"/>
    <x v="257"/>
    <x v="217"/>
    <x v="36"/>
    <s v="Take You Dancing"/>
    <n v="79"/>
    <x v="217"/>
    <x v="210"/>
    <n v="-4.2480000000000002"/>
    <x v="1"/>
    <n v="2"/>
    <n v="4.1000000000000002E-2"/>
    <n v="3.32E-2"/>
    <n v="0"/>
    <x v="201"/>
    <n v="0.753"/>
    <n v="112.985"/>
    <n v="4"/>
    <n v="190306"/>
    <n v="4"/>
    <n v="190306"/>
    <n v="4"/>
    <n v="190306"/>
    <x v="1"/>
    <x v="1"/>
  </r>
  <r>
    <x v="1"/>
    <n v="355500"/>
    <x v="258"/>
    <x v="87"/>
    <x v="43"/>
    <s v="After Hours"/>
    <n v="79"/>
    <x v="218"/>
    <x v="211"/>
    <n v="-5.3710000000000004"/>
    <x v="0"/>
    <n v="7"/>
    <n v="3.4599999999999999E-2"/>
    <n v="2.8500000000000001E-3"/>
    <n v="8.1000000000000004E-5"/>
    <x v="202"/>
    <n v="0.71699999999999997"/>
    <n v="100.021"/>
    <n v="4"/>
    <n v="237520"/>
    <n v="4"/>
    <n v="237520"/>
    <n v="4"/>
    <n v="237520"/>
    <x v="1"/>
    <x v="1"/>
  </r>
  <r>
    <x v="3"/>
    <n v="355300"/>
    <x v="259"/>
    <x v="218"/>
    <x v="55"/>
    <s v="Heaven &amp; Hell"/>
    <n v="80"/>
    <x v="219"/>
    <x v="212"/>
    <n v="-4.7190000000000003"/>
    <x v="1"/>
    <n v="1"/>
    <n v="4.7300000000000002E-2"/>
    <n v="6.8400000000000002E-2"/>
    <n v="0"/>
    <x v="203"/>
    <n v="0.62"/>
    <n v="133.00200000000001"/>
    <n v="4"/>
    <n v="187436"/>
    <n v="4"/>
    <n v="187436"/>
    <n v="4"/>
    <n v="187436"/>
    <x v="1"/>
    <x v="1"/>
  </r>
  <r>
    <x v="0"/>
    <n v="353900"/>
    <x v="260"/>
    <x v="219"/>
    <x v="54"/>
    <s v="Eternal Atake (Deluxe) - LUV vs. The World 2"/>
    <n v="73"/>
    <x v="102"/>
    <x v="213"/>
    <n v="-6.976"/>
    <x v="0"/>
    <n v="8"/>
    <n v="0.29799999999999999"/>
    <n v="5.5E-2"/>
    <n v="0"/>
    <x v="204"/>
    <n v="0.57299999999999995"/>
    <n v="155.047"/>
    <n v="4"/>
    <n v="224955"/>
    <n v="4"/>
    <n v="224955"/>
    <n v="4"/>
    <n v="224955"/>
    <x v="1"/>
    <x v="1"/>
  </r>
  <r>
    <x v="1"/>
    <n v="352300"/>
    <x v="261"/>
    <x v="220"/>
    <x v="11"/>
    <s v="Build a Bitch"/>
    <n v="76"/>
    <x v="220"/>
    <x v="190"/>
    <n v="-7.4539999999999997"/>
    <x v="1"/>
    <n v="3"/>
    <n v="3.6700000000000003E-2"/>
    <n v="0.217"/>
    <n v="1.77E-5"/>
    <x v="205"/>
    <n v="0.86599999999999999"/>
    <n v="102.931"/>
    <n v="4"/>
    <n v="122773"/>
    <n v="4"/>
    <n v="122773"/>
    <n v="4"/>
    <n v="122773"/>
    <x v="1"/>
    <x v="1"/>
  </r>
  <r>
    <x v="3"/>
    <n v="352300"/>
    <x v="261"/>
    <x v="220"/>
    <x v="11"/>
    <s v="Build a Bitch"/>
    <n v="76"/>
    <x v="220"/>
    <x v="190"/>
    <n v="-7.4539999999999997"/>
    <x v="1"/>
    <n v="3"/>
    <n v="3.6700000000000003E-2"/>
    <n v="0.217"/>
    <n v="1.77E-5"/>
    <x v="205"/>
    <n v="0.86599999999999999"/>
    <n v="102.931"/>
    <n v="4"/>
    <n v="122773"/>
    <n v="4"/>
    <n v="122773"/>
    <n v="4"/>
    <n v="122773"/>
    <x v="1"/>
    <x v="1"/>
  </r>
  <r>
    <x v="1"/>
    <n v="347000"/>
    <x v="262"/>
    <x v="221"/>
    <x v="36"/>
    <s v="Gravity (feat. Tyler, The Creator)"/>
    <n v="72"/>
    <x v="174"/>
    <x v="214"/>
    <n v="-8.7460000000000004"/>
    <x v="0"/>
    <n v="1"/>
    <n v="0.252"/>
    <n v="0.17299999999999999"/>
    <n v="5.5999999999999999E-3"/>
    <x v="206"/>
    <n v="0.49299999999999999"/>
    <n v="163.92400000000001"/>
    <n v="4"/>
    <n v="214693"/>
    <n v="4"/>
    <n v="214693"/>
    <n v="4"/>
    <n v="214693"/>
    <x v="1"/>
    <x v="1"/>
  </r>
  <r>
    <x v="0"/>
    <n v="344600"/>
    <x v="263"/>
    <x v="222"/>
    <x v="2"/>
    <s v="channel ORANGE"/>
    <n v="84"/>
    <x v="221"/>
    <x v="215"/>
    <n v="-4.8920000000000003"/>
    <x v="1"/>
    <n v="8"/>
    <n v="0.22600000000000001"/>
    <n v="2.7199999999999998E-2"/>
    <n v="5.0299999999999997E-4"/>
    <x v="207"/>
    <n v="0.497"/>
    <n v="123.06100000000001"/>
    <n v="4"/>
    <n v="234093"/>
    <n v="4"/>
    <n v="234093"/>
    <n v="4"/>
    <n v="234093"/>
    <x v="1"/>
    <x v="1"/>
  </r>
  <r>
    <x v="1"/>
    <n v="344500"/>
    <x v="263"/>
    <x v="222"/>
    <x v="2"/>
    <s v="channel ORANGE"/>
    <n v="0"/>
    <x v="176"/>
    <x v="216"/>
    <n v="-4.8940000000000001"/>
    <x v="0"/>
    <n v="10"/>
    <n v="0.22600000000000001"/>
    <n v="3.1899999999999998E-2"/>
    <n v="1.2199999999999999E-3"/>
    <x v="23"/>
    <n v="0.51400000000000001"/>
    <n v="123.07"/>
    <n v="4"/>
    <n v="234093"/>
    <n v="4"/>
    <n v="234093"/>
    <n v="4"/>
    <n v="234093"/>
    <x v="1"/>
    <x v="1"/>
  </r>
  <r>
    <x v="1"/>
    <n v="335000"/>
    <x v="264"/>
    <x v="223"/>
    <x v="0"/>
    <s v="Astronomia"/>
    <n v="60"/>
    <x v="100"/>
    <x v="217"/>
    <n v="-2.6339999999999999"/>
    <x v="1"/>
    <n v="5"/>
    <n v="9.6000000000000002E-2"/>
    <n v="5.6100000000000004E-3"/>
    <n v="0.91500000000000004"/>
    <x v="208"/>
    <n v="0.32500000000000001"/>
    <n v="126.093"/>
    <n v="4"/>
    <n v="198095"/>
    <n v="4"/>
    <n v="198095"/>
    <n v="4"/>
    <n v="198095"/>
    <x v="1"/>
    <x v="1"/>
  </r>
  <r>
    <x v="0"/>
    <n v="334600"/>
    <x v="265"/>
    <x v="224"/>
    <x v="40"/>
    <s v="Million Dollar Mindset"/>
    <n v="60"/>
    <x v="45"/>
    <x v="66"/>
    <n v="-9.4770000000000003"/>
    <x v="0"/>
    <n v="6"/>
    <n v="0.23699999999999999"/>
    <n v="0.314"/>
    <n v="0"/>
    <x v="23"/>
    <n v="0.37"/>
    <n v="94.981999999999999"/>
    <n v="4"/>
    <n v="151579"/>
    <n v="4"/>
    <n v="151579"/>
    <n v="4"/>
    <n v="151579"/>
    <x v="1"/>
    <x v="1"/>
  </r>
  <r>
    <x v="0"/>
    <n v="329800"/>
    <x v="266"/>
    <x v="225"/>
    <x v="26"/>
    <s v="When She Loved Me"/>
    <n v="61"/>
    <x v="142"/>
    <x v="218"/>
    <n v="-19.030999999999999"/>
    <x v="1"/>
    <n v="4"/>
    <n v="7.6200000000000004E-2"/>
    <n v="0.97299999999999998"/>
    <n v="0"/>
    <x v="209"/>
    <n v="0.61699999999999999"/>
    <n v="76.234999999999999"/>
    <n v="3"/>
    <n v="187709"/>
    <n v="3"/>
    <n v="187709"/>
    <n v="3"/>
    <n v="187709"/>
    <x v="1"/>
    <x v="1"/>
  </r>
  <r>
    <x v="0"/>
    <n v="329100"/>
    <x v="267"/>
    <x v="128"/>
    <x v="54"/>
    <s v="Nectar"/>
    <n v="65"/>
    <x v="222"/>
    <x v="219"/>
    <n v="-6.9169999999999998"/>
    <x v="1"/>
    <n v="5"/>
    <n v="9.7600000000000006E-2"/>
    <n v="0.69499999999999995"/>
    <n v="2.4299999999999999E-2"/>
    <x v="210"/>
    <n v="7.3599999999999999E-2"/>
    <n v="126.384"/>
    <n v="3"/>
    <n v="214558"/>
    <n v="3"/>
    <n v="214558"/>
    <n v="3"/>
    <n v="214558"/>
    <x v="1"/>
    <x v="1"/>
  </r>
  <r>
    <x v="1"/>
    <n v="323100"/>
    <x v="268"/>
    <x v="226"/>
    <x v="17"/>
    <s v="Light Switch (Instrumental)"/>
    <n v="79"/>
    <x v="46"/>
    <x v="220"/>
    <n v="-5.6929999999999996"/>
    <x v="1"/>
    <n v="6"/>
    <n v="0.30599999999999999"/>
    <n v="0.105"/>
    <n v="3.3500000000000001E-4"/>
    <x v="211"/>
    <n v="0.91200000000000003"/>
    <n v="184.00899999999999"/>
    <n v="4"/>
    <n v="185681"/>
    <n v="4"/>
    <n v="185681"/>
    <n v="4"/>
    <n v="185681"/>
    <x v="1"/>
    <x v="1"/>
  </r>
  <r>
    <x v="2"/>
    <n v="321800"/>
    <x v="269"/>
    <x v="227"/>
    <x v="57"/>
    <s v="we fell in love in october / forget her"/>
    <n v="82"/>
    <x v="223"/>
    <x v="221"/>
    <n v="-12.808"/>
    <x v="1"/>
    <n v="7"/>
    <n v="2.8000000000000001E-2"/>
    <n v="0.113"/>
    <n v="0.18099999999999999"/>
    <x v="212"/>
    <n v="0.23699999999999999"/>
    <n v="129.959"/>
    <n v="4"/>
    <n v="184154"/>
    <n v="4"/>
    <n v="184154"/>
    <n v="4"/>
    <n v="184154"/>
    <x v="1"/>
    <x v="1"/>
  </r>
  <r>
    <x v="0"/>
    <n v="319700"/>
    <x v="270"/>
    <x v="228"/>
    <x v="24"/>
    <s v="F2020"/>
    <n v="0"/>
    <x v="94"/>
    <x v="91"/>
    <n v="-7.0670000000000002"/>
    <x v="1"/>
    <n v="2"/>
    <n v="0.20699999999999999"/>
    <n v="0.58699999999999997"/>
    <n v="3.6200000000000001E-6"/>
    <x v="76"/>
    <n v="0.38300000000000001"/>
    <n v="85.016000000000005"/>
    <n v="4"/>
    <n v="181852"/>
    <n v="4"/>
    <n v="181852"/>
    <n v="4"/>
    <n v="181852"/>
    <x v="1"/>
    <x v="1"/>
  </r>
  <r>
    <x v="0"/>
    <n v="312400"/>
    <x v="271"/>
    <x v="229"/>
    <x v="22"/>
    <s v="Paris"/>
    <n v="63"/>
    <x v="14"/>
    <x v="222"/>
    <n v="-8.3049999999999997"/>
    <x v="0"/>
    <n v="8"/>
    <n v="2.7E-2"/>
    <n v="2.3E-2"/>
    <n v="0.58199999999999996"/>
    <x v="139"/>
    <n v="0.54"/>
    <n v="102.979"/>
    <n v="4"/>
    <n v="209709"/>
    <n v="4"/>
    <n v="209709"/>
    <n v="4"/>
    <n v="209709"/>
    <x v="1"/>
    <x v="1"/>
  </r>
  <r>
    <x v="0"/>
    <n v="310500"/>
    <x v="272"/>
    <x v="230"/>
    <x v="4"/>
    <s v="Bad Ideas"/>
    <n v="65"/>
    <x v="194"/>
    <x v="223"/>
    <n v="-9.5500000000000007"/>
    <x v="1"/>
    <n v="1"/>
    <n v="8.5699999999999998E-2"/>
    <n v="2.9700000000000001E-2"/>
    <n v="1.8000000000000001E-4"/>
    <x v="213"/>
    <n v="0.82499999999999996"/>
    <n v="135.99299999999999"/>
    <n v="4"/>
    <n v="216267"/>
    <n v="4"/>
    <n v="216267"/>
    <n v="4"/>
    <n v="216267"/>
    <x v="1"/>
    <x v="1"/>
  </r>
  <r>
    <x v="2"/>
    <n v="310200"/>
    <x v="272"/>
    <x v="230"/>
    <x v="4"/>
    <s v="Bad Ideas"/>
    <n v="0"/>
    <x v="176"/>
    <x v="224"/>
    <n v="-9.5359999999999996"/>
    <x v="1"/>
    <n v="1"/>
    <n v="8.5599999999999996E-2"/>
    <n v="0.03"/>
    <n v="1.4100000000000001E-4"/>
    <x v="214"/>
    <n v="0.82"/>
    <n v="135.995"/>
    <n v="4"/>
    <n v="215832"/>
    <n v="4"/>
    <n v="215832"/>
    <n v="4"/>
    <n v="215832"/>
    <x v="1"/>
    <x v="1"/>
  </r>
  <r>
    <x v="3"/>
    <n v="305900"/>
    <x v="273"/>
    <x v="231"/>
    <x v="36"/>
    <s v="TAKE TIME"/>
    <n v="83"/>
    <x v="207"/>
    <x v="197"/>
    <n v="-8.9640000000000004"/>
    <x v="1"/>
    <n v="0"/>
    <n v="7.9100000000000004E-2"/>
    <n v="0.52400000000000002"/>
    <n v="1.02E-6"/>
    <x v="215"/>
    <n v="0.54300000000000004"/>
    <n v="89.087000000000003"/>
    <n v="3"/>
    <n v="198371"/>
    <n v="3"/>
    <n v="198371"/>
    <n v="3"/>
    <n v="198371"/>
    <x v="1"/>
    <x v="1"/>
  </r>
  <r>
    <x v="2"/>
    <n v="305800"/>
    <x v="274"/>
    <x v="232"/>
    <x v="4"/>
    <s v="Y U Gotta B Like That"/>
    <n v="58"/>
    <x v="199"/>
    <x v="63"/>
    <n v="-6.3529999999999998"/>
    <x v="1"/>
    <n v="9"/>
    <n v="7.0199999999999999E-2"/>
    <n v="0.28699999999999998"/>
    <n v="0"/>
    <x v="216"/>
    <n v="0.76100000000000001"/>
    <n v="92.066000000000003"/>
    <n v="4"/>
    <n v="154456"/>
    <n v="4"/>
    <n v="154456"/>
    <n v="4"/>
    <n v="154456"/>
    <x v="1"/>
    <x v="1"/>
  </r>
  <r>
    <x v="0"/>
    <n v="305700"/>
    <x v="274"/>
    <x v="232"/>
    <x v="4"/>
    <s v="Y U Gotta B Like That"/>
    <n v="58"/>
    <x v="199"/>
    <x v="63"/>
    <n v="-6.3529999999999998"/>
    <x v="1"/>
    <n v="9"/>
    <n v="7.0199999999999999E-2"/>
    <n v="0.28699999999999998"/>
    <n v="0"/>
    <x v="216"/>
    <n v="0.76100000000000001"/>
    <n v="92.066000000000003"/>
    <n v="4"/>
    <n v="154456"/>
    <n v="4"/>
    <n v="154456"/>
    <n v="4"/>
    <n v="154456"/>
    <x v="1"/>
    <x v="1"/>
  </r>
  <r>
    <x v="0"/>
    <n v="303400"/>
    <x v="275"/>
    <x v="233"/>
    <x v="12"/>
    <s v="Kid Krow"/>
    <n v="86"/>
    <x v="224"/>
    <x v="225"/>
    <n v="-7.3010000000000002"/>
    <x v="1"/>
    <n v="5"/>
    <n v="3.3300000000000003E-2"/>
    <n v="0.58399999999999996"/>
    <n v="0"/>
    <x v="169"/>
    <n v="0.27"/>
    <n v="102.078"/>
    <n v="3"/>
    <n v="198040"/>
    <n v="3"/>
    <n v="198040"/>
    <n v="3"/>
    <n v="198040"/>
    <x v="1"/>
    <x v="1"/>
  </r>
  <r>
    <x v="0"/>
    <n v="297300"/>
    <x v="276"/>
    <x v="234"/>
    <x v="41"/>
    <s v="Deep End Freestyle"/>
    <n v="64"/>
    <x v="177"/>
    <x v="147"/>
    <n v="-6.6870000000000003"/>
    <x v="0"/>
    <n v="4"/>
    <n v="0.44"/>
    <n v="0.70299999999999996"/>
    <n v="0"/>
    <x v="55"/>
    <n v="0.77600000000000002"/>
    <n v="133.858"/>
    <n v="4"/>
    <n v="115200"/>
    <n v="4"/>
    <n v="115200"/>
    <n v="4"/>
    <n v="115200"/>
    <x v="1"/>
    <x v="1"/>
  </r>
  <r>
    <x v="1"/>
    <n v="293000"/>
    <x v="277"/>
    <x v="235"/>
    <x v="51"/>
    <s v="Later Bitches"/>
    <n v="49"/>
    <x v="134"/>
    <x v="226"/>
    <n v="-6.5629999999999997"/>
    <x v="1"/>
    <n v="8"/>
    <n v="0.10199999999999999"/>
    <n v="5.7300000000000005E-4"/>
    <n v="0.108"/>
    <x v="217"/>
    <n v="0.504"/>
    <n v="121.116"/>
    <n v="4"/>
    <n v="247976"/>
    <n v="4"/>
    <n v="247976"/>
    <n v="4"/>
    <n v="247976"/>
    <x v="1"/>
    <x v="1"/>
  </r>
  <r>
    <x v="0"/>
    <n v="291500"/>
    <x v="278"/>
    <x v="125"/>
    <x v="54"/>
    <s v="High School Musical: The Musical: The Series (Original Soundtrack)"/>
    <n v="75"/>
    <x v="225"/>
    <x v="61"/>
    <n v="-6.585"/>
    <x v="0"/>
    <n v="0"/>
    <n v="3.2800000000000003E-2"/>
    <n v="9.0200000000000002E-2"/>
    <n v="0"/>
    <x v="218"/>
    <n v="0.129"/>
    <n v="77.599000000000004"/>
    <n v="3"/>
    <n v="177323"/>
    <n v="3"/>
    <n v="177323"/>
    <n v="3"/>
    <n v="177323"/>
    <x v="1"/>
    <x v="1"/>
  </r>
  <r>
    <x v="1"/>
    <n v="289000"/>
    <x v="279"/>
    <x v="236"/>
    <x v="23"/>
    <s v="Don't Rush (feat. Headie One)"/>
    <n v="63"/>
    <x v="226"/>
    <x v="227"/>
    <n v="-8.6839999999999993"/>
    <x v="1"/>
    <n v="9"/>
    <n v="0.27"/>
    <n v="0.20200000000000001"/>
    <n v="4.0200000000000001E-3"/>
    <x v="219"/>
    <n v="0.32400000000000001"/>
    <n v="108.02800000000001"/>
    <n v="4"/>
    <n v="207640"/>
    <n v="4"/>
    <n v="207640"/>
    <n v="4"/>
    <n v="207640"/>
    <x v="1"/>
    <x v="1"/>
  </r>
  <r>
    <x v="2"/>
    <n v="286400"/>
    <x v="280"/>
    <x v="237"/>
    <x v="60"/>
    <s v="7 rings"/>
    <n v="1"/>
    <x v="77"/>
    <x v="228"/>
    <n v="-10.744"/>
    <x v="0"/>
    <n v="1"/>
    <n v="0.32300000000000001"/>
    <n v="0.57799999999999996"/>
    <n v="0"/>
    <x v="220"/>
    <n v="0.31900000000000001"/>
    <n v="70.141999999999996"/>
    <n v="4"/>
    <n v="178640"/>
    <n v="4"/>
    <n v="178640"/>
    <n v="4"/>
    <n v="178640"/>
    <x v="1"/>
    <x v="1"/>
  </r>
  <r>
    <x v="0"/>
    <n v="276000"/>
    <x v="281"/>
    <x v="238"/>
    <x v="61"/>
    <s v="Figure It Out"/>
    <n v="54"/>
    <x v="227"/>
    <x v="29"/>
    <n v="-6.1539999999999999"/>
    <x v="0"/>
    <n v="8"/>
    <n v="0.28899999999999998"/>
    <n v="0.49299999999999999"/>
    <n v="4.2499999999999998E-4"/>
    <x v="221"/>
    <n v="0.58499999999999996"/>
    <n v="96.988"/>
    <n v="4"/>
    <n v="164318"/>
    <n v="4"/>
    <n v="164318"/>
    <n v="4"/>
    <n v="164318"/>
    <x v="1"/>
    <x v="1"/>
  </r>
  <r>
    <x v="0"/>
    <n v="271700"/>
    <x v="282"/>
    <x v="237"/>
    <x v="60"/>
    <s v="Stuck with U"/>
    <n v="82"/>
    <x v="228"/>
    <x v="92"/>
    <n v="-6.6580000000000004"/>
    <x v="1"/>
    <n v="8"/>
    <n v="4.1799999999999997E-2"/>
    <n v="0.223"/>
    <n v="0"/>
    <x v="222"/>
    <n v="0.53700000000000003"/>
    <n v="178.76499999999999"/>
    <n v="3"/>
    <n v="228482"/>
    <n v="3"/>
    <n v="228482"/>
    <n v="3"/>
    <n v="228482"/>
    <x v="1"/>
    <x v="1"/>
  </r>
  <r>
    <x v="2"/>
    <n v="269000"/>
    <x v="283"/>
    <x v="239"/>
    <x v="26"/>
    <s v="tobi lou and the Loop - EP"/>
    <n v="59"/>
    <x v="136"/>
    <x v="229"/>
    <n v="-6.0469999999999997"/>
    <x v="1"/>
    <n v="5"/>
    <n v="5.7099999999999998E-2"/>
    <n v="0.24299999999999999"/>
    <n v="0"/>
    <x v="36"/>
    <n v="0.51200000000000001"/>
    <n v="156.04"/>
    <n v="4"/>
    <n v="215385"/>
    <n v="4"/>
    <n v="215385"/>
    <n v="4"/>
    <n v="215385"/>
    <x v="1"/>
    <x v="1"/>
  </r>
  <r>
    <x v="0"/>
    <n v="267300"/>
    <x v="284"/>
    <x v="87"/>
    <x v="43"/>
    <s v="After Hours"/>
    <n v="88"/>
    <x v="51"/>
    <x v="96"/>
    <n v="-5.4870000000000001"/>
    <x v="1"/>
    <n v="0"/>
    <n v="3.09E-2"/>
    <n v="2.12E-2"/>
    <n v="1.24E-5"/>
    <x v="223"/>
    <n v="0.64400000000000002"/>
    <n v="118.051"/>
    <n v="4"/>
    <n v="215627"/>
    <n v="4"/>
    <n v="215627"/>
    <n v="4"/>
    <n v="215627"/>
    <x v="1"/>
    <x v="1"/>
  </r>
  <r>
    <x v="3"/>
    <n v="267200"/>
    <x v="284"/>
    <x v="87"/>
    <x v="43"/>
    <s v="After Hours"/>
    <n v="88"/>
    <x v="51"/>
    <x v="96"/>
    <n v="-5.4870000000000001"/>
    <x v="1"/>
    <n v="0"/>
    <n v="3.09E-2"/>
    <n v="2.12E-2"/>
    <n v="1.24E-5"/>
    <x v="223"/>
    <n v="0.64400000000000002"/>
    <n v="118.051"/>
    <n v="4"/>
    <n v="215627"/>
    <n v="4"/>
    <n v="215627"/>
    <n v="4"/>
    <n v="215627"/>
    <x v="1"/>
    <x v="1"/>
  </r>
  <r>
    <x v="3"/>
    <n v="266100"/>
    <x v="285"/>
    <x v="240"/>
    <x v="21"/>
    <s v="PLAY"/>
    <n v="61"/>
    <x v="229"/>
    <x v="212"/>
    <n v="-4.5359999999999996"/>
    <x v="1"/>
    <n v="5"/>
    <n v="6.9500000000000006E-2"/>
    <n v="0.33200000000000002"/>
    <n v="0"/>
    <x v="224"/>
    <n v="0.83899999999999997"/>
    <n v="95.992000000000004"/>
    <n v="4"/>
    <n v="176532"/>
    <n v="4"/>
    <n v="176532"/>
    <n v="4"/>
    <n v="176532"/>
    <x v="1"/>
    <x v="1"/>
  </r>
  <r>
    <x v="3"/>
    <n v="265400"/>
    <x v="286"/>
    <x v="241"/>
    <x v="33"/>
    <s v="#BrooklynBloodPop!"/>
    <n v="75"/>
    <x v="47"/>
    <x v="230"/>
    <n v="-3.7879999999999998"/>
    <x v="0"/>
    <n v="1"/>
    <n v="0.11700000000000001"/>
    <n v="1.6400000000000001E-2"/>
    <n v="0"/>
    <x v="225"/>
    <n v="0.50900000000000001"/>
    <n v="132.012"/>
    <n v="4"/>
    <n v="145611"/>
    <n v="4"/>
    <n v="145611"/>
    <n v="4"/>
    <n v="145611"/>
    <x v="1"/>
    <x v="1"/>
  </r>
  <r>
    <x v="1"/>
    <n v="263600"/>
    <x v="287"/>
    <x v="242"/>
    <x v="36"/>
    <s v="hot girl bummer"/>
    <n v="5"/>
    <x v="16"/>
    <x v="231"/>
    <n v="-7.109"/>
    <x v="0"/>
    <n v="6"/>
    <n v="7.7600000000000002E-2"/>
    <n v="0.128"/>
    <n v="0"/>
    <x v="226"/>
    <n v="0.67800000000000005"/>
    <n v="129.989"/>
    <n v="1"/>
    <n v="185093"/>
    <n v="1"/>
    <n v="185093"/>
    <n v="1"/>
    <n v="185093"/>
    <x v="1"/>
    <x v="1"/>
  </r>
  <r>
    <x v="3"/>
    <n v="263600"/>
    <x v="287"/>
    <x v="242"/>
    <x v="36"/>
    <s v="hot girl bummer"/>
    <n v="5"/>
    <x v="16"/>
    <x v="231"/>
    <n v="-7.109"/>
    <x v="0"/>
    <n v="6"/>
    <n v="7.7600000000000002E-2"/>
    <n v="0.128"/>
    <n v="0"/>
    <x v="226"/>
    <n v="0.67800000000000005"/>
    <n v="129.989"/>
    <n v="1"/>
    <n v="185093"/>
    <n v="1"/>
    <n v="185093"/>
    <n v="1"/>
    <n v="185093"/>
    <x v="1"/>
    <x v="1"/>
  </r>
  <r>
    <x v="2"/>
    <n v="263300"/>
    <x v="287"/>
    <x v="242"/>
    <x v="55"/>
    <s v="hot girl bummer"/>
    <n v="5"/>
    <x v="16"/>
    <x v="231"/>
    <n v="-7.109"/>
    <x v="0"/>
    <n v="6"/>
    <n v="7.7600000000000002E-2"/>
    <n v="0.128"/>
    <n v="0"/>
    <x v="226"/>
    <n v="0.67800000000000005"/>
    <n v="129.989"/>
    <n v="1"/>
    <n v="185093"/>
    <n v="1"/>
    <n v="185093"/>
    <n v="1"/>
    <n v="185093"/>
    <x v="1"/>
    <x v="1"/>
  </r>
  <r>
    <x v="1"/>
    <n v="261800"/>
    <x v="288"/>
    <x v="243"/>
    <x v="15"/>
    <s v="The Papercut Chronicles"/>
    <n v="77"/>
    <x v="219"/>
    <x v="232"/>
    <n v="-6.9379999999999997"/>
    <x v="0"/>
    <n v="1"/>
    <n v="0.12"/>
    <n v="0.23699999999999999"/>
    <n v="0"/>
    <x v="140"/>
    <n v="0.61899999999999999"/>
    <n v="78.953000000000003"/>
    <n v="4"/>
    <n v="243773"/>
    <n v="4"/>
    <n v="243773"/>
    <n v="4"/>
    <n v="243773"/>
    <x v="1"/>
    <x v="1"/>
  </r>
  <r>
    <x v="1"/>
    <n v="256600"/>
    <x v="289"/>
    <x v="244"/>
    <x v="50"/>
    <s v="Escapism: Instrumentals"/>
    <n v="1"/>
    <x v="31"/>
    <x v="74"/>
    <n v="-4.6580000000000004"/>
    <x v="0"/>
    <n v="10"/>
    <n v="4.4400000000000002E-2"/>
    <n v="3.5500000000000002E-3"/>
    <n v="0.93899999999999995"/>
    <x v="227"/>
    <n v="0.78100000000000003"/>
    <n v="93.004999999999995"/>
    <n v="4"/>
    <n v="188421"/>
    <n v="4"/>
    <n v="188421"/>
    <n v="4"/>
    <n v="188421"/>
    <x v="1"/>
    <x v="1"/>
  </r>
  <r>
    <x v="0"/>
    <n v="254900"/>
    <x v="290"/>
    <x v="245"/>
    <x v="7"/>
    <s v="Champion Status"/>
    <n v="46"/>
    <x v="150"/>
    <x v="233"/>
    <n v="-9.5640000000000001"/>
    <x v="0"/>
    <n v="4"/>
    <n v="0.33800000000000002"/>
    <n v="5.0600000000000003E-3"/>
    <n v="0"/>
    <x v="228"/>
    <n v="0.28899999999999998"/>
    <n v="140.02199999999999"/>
    <n v="4"/>
    <n v="118776"/>
    <n v="4"/>
    <n v="118776"/>
    <n v="4"/>
    <n v="118776"/>
    <x v="1"/>
    <x v="1"/>
  </r>
  <r>
    <x v="2"/>
    <n v="254900"/>
    <x v="290"/>
    <x v="245"/>
    <x v="7"/>
    <s v="Champion Status"/>
    <n v="46"/>
    <x v="150"/>
    <x v="233"/>
    <n v="-9.5640000000000001"/>
    <x v="0"/>
    <n v="4"/>
    <n v="0.33800000000000002"/>
    <n v="5.0600000000000003E-3"/>
    <n v="0"/>
    <x v="228"/>
    <n v="0.28899999999999998"/>
    <n v="140.02199999999999"/>
    <n v="4"/>
    <n v="118776"/>
    <n v="4"/>
    <n v="118776"/>
    <n v="4"/>
    <n v="118776"/>
    <x v="1"/>
    <x v="1"/>
  </r>
  <r>
    <x v="0"/>
    <n v="252500"/>
    <x v="291"/>
    <x v="157"/>
    <x v="2"/>
    <s v="KIRK"/>
    <n v="71"/>
    <x v="10"/>
    <x v="111"/>
    <n v="-2.7080000000000002"/>
    <x v="0"/>
    <n v="1"/>
    <n v="0.307"/>
    <n v="0.113"/>
    <n v="0"/>
    <x v="77"/>
    <n v="0.77700000000000002"/>
    <n v="154.18700000000001"/>
    <n v="4"/>
    <n v="144935"/>
    <n v="4"/>
    <n v="144935"/>
    <n v="4"/>
    <n v="144935"/>
    <x v="1"/>
    <x v="1"/>
  </r>
  <r>
    <x v="3"/>
    <n v="252000"/>
    <x v="292"/>
    <x v="246"/>
    <x v="11"/>
    <s v="The Blessed Unrest"/>
    <n v="70"/>
    <x v="230"/>
    <x v="234"/>
    <n v="-3.8380000000000001"/>
    <x v="0"/>
    <n v="10"/>
    <n v="5.2400000000000002E-2"/>
    <n v="5.0200000000000002E-3"/>
    <n v="2.0999999999999999E-5"/>
    <x v="229"/>
    <n v="0.75800000000000001"/>
    <n v="185.06299999999999"/>
    <n v="4"/>
    <n v="220573"/>
    <n v="4"/>
    <n v="220573"/>
    <n v="4"/>
    <n v="220573"/>
    <x v="1"/>
    <x v="1"/>
  </r>
  <r>
    <x v="0"/>
    <n v="247000"/>
    <x v="293"/>
    <x v="247"/>
    <x v="14"/>
    <s v="MELT"/>
    <n v="64"/>
    <x v="45"/>
    <x v="17"/>
    <n v="-7.5229999999999997"/>
    <x v="0"/>
    <n v="7"/>
    <n v="3.0099999999999998E-2"/>
    <n v="0.48799999999999999"/>
    <n v="1.6000000000000001E-4"/>
    <x v="230"/>
    <n v="0.53700000000000003"/>
    <n v="126.754"/>
    <n v="4"/>
    <n v="184060"/>
    <n v="4"/>
    <n v="184060"/>
    <n v="4"/>
    <n v="184060"/>
    <x v="1"/>
    <x v="1"/>
  </r>
  <r>
    <x v="2"/>
    <n v="246000"/>
    <x v="294"/>
    <x v="248"/>
    <x v="26"/>
    <s v="The Muffin Song (asdfmovie)"/>
    <n v="59"/>
    <x v="231"/>
    <x v="235"/>
    <n v="-4.8449999999999998"/>
    <x v="1"/>
    <n v="10"/>
    <n v="9.2200000000000004E-2"/>
    <n v="0.20499999999999999"/>
    <n v="1.4800000000000001E-5"/>
    <x v="79"/>
    <n v="0.57799999999999996"/>
    <n v="112.01600000000001"/>
    <n v="4"/>
    <n v="187046"/>
    <n v="4"/>
    <n v="187046"/>
    <n v="4"/>
    <n v="187046"/>
    <x v="1"/>
    <x v="1"/>
  </r>
  <r>
    <x v="3"/>
    <n v="243300"/>
    <x v="295"/>
    <x v="249"/>
    <x v="61"/>
    <s v="Ð Ð°Ñ‚Ð°Ñ‚Ð°"/>
    <n v="59"/>
    <x v="215"/>
    <x v="94"/>
    <n v="-7.0739999999999998"/>
    <x v="0"/>
    <n v="8"/>
    <n v="5.6899999999999999E-2"/>
    <n v="0.17199999999999999"/>
    <n v="0"/>
    <x v="231"/>
    <n v="0.89500000000000002"/>
    <n v="129.995"/>
    <n v="4"/>
    <n v="137077"/>
    <n v="4"/>
    <n v="137077"/>
    <n v="4"/>
    <n v="137077"/>
    <x v="1"/>
    <x v="1"/>
  </r>
  <r>
    <x v="0"/>
    <n v="240900"/>
    <x v="296"/>
    <x v="250"/>
    <x v="20"/>
    <s v="Kala"/>
    <n v="77"/>
    <x v="232"/>
    <x v="236"/>
    <n v="-6.1749999999999998"/>
    <x v="1"/>
    <n v="2"/>
    <n v="0.222"/>
    <n v="3.3000000000000002E-2"/>
    <n v="7.4599999999999997E-5"/>
    <x v="232"/>
    <n v="0.48499999999999999"/>
    <n v="172.25299999999999"/>
    <n v="4"/>
    <n v="205200"/>
    <n v="4"/>
    <n v="205200"/>
    <n v="4"/>
    <n v="205200"/>
    <x v="1"/>
    <x v="1"/>
  </r>
  <r>
    <x v="0"/>
    <n v="240600"/>
    <x v="297"/>
    <x v="251"/>
    <x v="10"/>
    <s v="The Slow Rush"/>
    <n v="78"/>
    <x v="114"/>
    <x v="237"/>
    <n v="-3.0670000000000002"/>
    <x v="0"/>
    <n v="5"/>
    <n v="3.6900000000000002E-2"/>
    <n v="4.0599999999999997E-2"/>
    <n v="9.0999999999999993E-6"/>
    <x v="38"/>
    <n v="0.873"/>
    <n v="97.96"/>
    <n v="4"/>
    <n v="237800"/>
    <n v="4"/>
    <n v="237800"/>
    <n v="4"/>
    <n v="237800"/>
    <x v="1"/>
    <x v="1"/>
  </r>
  <r>
    <x v="2"/>
    <n v="235700"/>
    <x v="298"/>
    <x v="78"/>
    <x v="12"/>
    <s v="Cuz I Love You (Deluxe)"/>
    <n v="63"/>
    <x v="233"/>
    <x v="186"/>
    <n v="-3.0459999999999998"/>
    <x v="0"/>
    <n v="4"/>
    <n v="0.114"/>
    <n v="0.11"/>
    <n v="0"/>
    <x v="23"/>
    <n v="0.41199999999999998"/>
    <n v="158.08699999999999"/>
    <n v="4"/>
    <n v="173325"/>
    <n v="4"/>
    <n v="173325"/>
    <n v="4"/>
    <n v="173325"/>
    <x v="1"/>
    <x v="1"/>
  </r>
  <r>
    <x v="2"/>
    <n v="234200"/>
    <x v="299"/>
    <x v="252"/>
    <x v="19"/>
    <s v="UNDERTALE Soundtrack"/>
    <n v="1"/>
    <x v="179"/>
    <x v="238"/>
    <n v="-12.647"/>
    <x v="1"/>
    <n v="8"/>
    <n v="3.2000000000000001E-2"/>
    <n v="0.98399999999999999"/>
    <n v="0.624"/>
    <x v="107"/>
    <n v="0.84799999999999998"/>
    <n v="154.929"/>
    <n v="4"/>
    <n v="50274"/>
    <n v="4"/>
    <n v="50274"/>
    <n v="4"/>
    <n v="50274"/>
    <x v="1"/>
    <x v="1"/>
  </r>
  <r>
    <x v="3"/>
    <n v="231600"/>
    <x v="300"/>
    <x v="253"/>
    <x v="0"/>
    <s v="everything sucks"/>
    <n v="76"/>
    <x v="192"/>
    <x v="239"/>
    <n v="-8.9640000000000004"/>
    <x v="1"/>
    <n v="6"/>
    <n v="5.3100000000000001E-2"/>
    <n v="7.7200000000000003E-3"/>
    <n v="0"/>
    <x v="233"/>
    <n v="0.65300000000000002"/>
    <n v="138.023"/>
    <n v="4"/>
    <n v="115402"/>
    <n v="4"/>
    <n v="115402"/>
    <n v="4"/>
    <n v="115402"/>
    <x v="1"/>
    <x v="1"/>
  </r>
  <r>
    <x v="2"/>
    <n v="231200"/>
    <x v="301"/>
    <x v="254"/>
    <x v="21"/>
    <s v="Stranger Things: Soundtrack from the Netflix Original Series, Season 3"/>
    <n v="75"/>
    <x v="234"/>
    <x v="240"/>
    <n v="-11.568"/>
    <x v="1"/>
    <n v="0"/>
    <n v="4.65E-2"/>
    <n v="1.03E-2"/>
    <n v="1.22E-5"/>
    <x v="234"/>
    <n v="0.182"/>
    <n v="136.077"/>
    <n v="3"/>
    <n v="125480"/>
    <n v="3"/>
    <n v="125480"/>
    <n v="3"/>
    <n v="125480"/>
    <x v="1"/>
    <x v="1"/>
  </r>
  <r>
    <x v="0"/>
    <n v="229100"/>
    <x v="302"/>
    <x v="24"/>
    <x v="20"/>
    <s v="FIRE ON MARZZ"/>
    <n v="66"/>
    <x v="235"/>
    <x v="241"/>
    <n v="-5.157"/>
    <x v="1"/>
    <n v="7"/>
    <n v="4.8500000000000001E-2"/>
    <n v="8.6300000000000002E-2"/>
    <n v="0"/>
    <x v="219"/>
    <n v="0.57999999999999996"/>
    <n v="116.934"/>
    <n v="4"/>
    <n v="180147"/>
    <n v="4"/>
    <n v="180147"/>
    <n v="4"/>
    <n v="180147"/>
    <x v="1"/>
    <x v="1"/>
  </r>
  <r>
    <x v="0"/>
    <n v="225900"/>
    <x v="303"/>
    <x v="255"/>
    <x v="4"/>
    <s v="Presenting the Fabulous Ronettes Featuring Veronica"/>
    <n v="65"/>
    <x v="236"/>
    <x v="242"/>
    <n v="-7.0060000000000002"/>
    <x v="1"/>
    <n v="4"/>
    <n v="4.02E-2"/>
    <n v="0.16800000000000001"/>
    <n v="0"/>
    <x v="235"/>
    <n v="0.80300000000000005"/>
    <n v="129.63900000000001"/>
    <n v="4"/>
    <n v="160907"/>
    <n v="4"/>
    <n v="160907"/>
    <n v="4"/>
    <n v="160907"/>
    <x v="1"/>
    <x v="1"/>
  </r>
  <r>
    <x v="1"/>
    <n v="223900"/>
    <x v="304"/>
    <x v="256"/>
    <x v="15"/>
    <s v="Afraid To Feel"/>
    <n v="86"/>
    <x v="237"/>
    <x v="243"/>
    <n v="-3.9289999999999998"/>
    <x v="1"/>
    <n v="1"/>
    <n v="0.114"/>
    <n v="1.66E-2"/>
    <n v="3.62E-3"/>
    <x v="236"/>
    <n v="0.68"/>
    <n v="127.87"/>
    <n v="4"/>
    <n v="177525"/>
    <n v="4"/>
    <n v="177525"/>
    <n v="4"/>
    <n v="177525"/>
    <x v="1"/>
    <x v="1"/>
  </r>
  <r>
    <x v="0"/>
    <n v="222300"/>
    <x v="305"/>
    <x v="55"/>
    <x v="18"/>
    <s v="DROPPED OUTTA COLLEGE"/>
    <n v="72"/>
    <x v="162"/>
    <x v="244"/>
    <n v="-4.9930000000000003"/>
    <x v="0"/>
    <n v="0"/>
    <n v="4.9299999999999997E-2"/>
    <n v="4.2000000000000003E-2"/>
    <n v="0"/>
    <x v="237"/>
    <n v="0.72399999999999998"/>
    <n v="120.08199999999999"/>
    <n v="4"/>
    <n v="112493"/>
    <n v="4"/>
    <n v="112493"/>
    <n v="4"/>
    <n v="112493"/>
    <x v="1"/>
    <x v="1"/>
  </r>
  <r>
    <x v="3"/>
    <n v="221300"/>
    <x v="306"/>
    <x v="257"/>
    <x v="29"/>
    <s v="Ð¯ Ð±ÑƒÐ´Ñƒ ÐµÐ±Ð°Ñ‚ÑŒ"/>
    <n v="64"/>
    <x v="238"/>
    <x v="245"/>
    <n v="-6.5670000000000002"/>
    <x v="1"/>
    <n v="11"/>
    <n v="0.30399999999999999"/>
    <n v="0.14199999999999999"/>
    <n v="9.3399999999999993E-5"/>
    <x v="238"/>
    <n v="0.497"/>
    <n v="203.91800000000001"/>
    <n v="4"/>
    <n v="141218"/>
    <n v="4"/>
    <n v="141218"/>
    <n v="4"/>
    <n v="141218"/>
    <x v="1"/>
    <x v="1"/>
  </r>
  <r>
    <x v="2"/>
    <n v="220600"/>
    <x v="307"/>
    <x v="85"/>
    <x v="12"/>
    <s v="Panini"/>
    <n v="70"/>
    <x v="191"/>
    <x v="216"/>
    <n v="-6.1459999999999999"/>
    <x v="0"/>
    <n v="5"/>
    <n v="7.5200000000000003E-2"/>
    <n v="0.34200000000000003"/>
    <n v="0"/>
    <x v="23"/>
    <n v="0.47499999999999998"/>
    <n v="153.84800000000001"/>
    <n v="4"/>
    <n v="114893"/>
    <n v="4"/>
    <n v="114893"/>
    <n v="4"/>
    <n v="114893"/>
    <x v="1"/>
    <x v="1"/>
  </r>
  <r>
    <x v="1"/>
    <n v="219500"/>
    <x v="308"/>
    <x v="178"/>
    <x v="31"/>
    <s v="WHATS POPPIN"/>
    <n v="4"/>
    <x v="239"/>
    <x v="138"/>
    <n v="-6.6710000000000003"/>
    <x v="0"/>
    <n v="11"/>
    <n v="0.245"/>
    <n v="1.7000000000000001E-2"/>
    <n v="0"/>
    <x v="53"/>
    <n v="0.82599999999999996"/>
    <n v="145.06200000000001"/>
    <n v="4"/>
    <n v="139741"/>
    <n v="4"/>
    <n v="139741"/>
    <n v="4"/>
    <n v="139741"/>
    <x v="1"/>
    <x v="1"/>
  </r>
  <r>
    <x v="0"/>
    <n v="219300"/>
    <x v="308"/>
    <x v="178"/>
    <x v="31"/>
    <s v="Sweet Action"/>
    <n v="77"/>
    <x v="239"/>
    <x v="138"/>
    <n v="-6.6710000000000003"/>
    <x v="0"/>
    <n v="11"/>
    <n v="0.245"/>
    <n v="1.7000000000000001E-2"/>
    <n v="0"/>
    <x v="53"/>
    <n v="0.82599999999999996"/>
    <n v="145.06200000000001"/>
    <n v="4"/>
    <n v="139741"/>
    <n v="4"/>
    <n v="139741"/>
    <n v="4"/>
    <n v="139741"/>
    <x v="1"/>
    <x v="1"/>
  </r>
  <r>
    <x v="2"/>
    <n v="219100"/>
    <x v="309"/>
    <x v="258"/>
    <x v="21"/>
    <s v="Amour plastique"/>
    <n v="68"/>
    <x v="24"/>
    <x v="246"/>
    <n v="-14.042999999999999"/>
    <x v="0"/>
    <n v="6"/>
    <n v="3.4500000000000003E-2"/>
    <n v="0.76500000000000001"/>
    <n v="1.58E-3"/>
    <x v="46"/>
    <n v="0.245"/>
    <n v="119.965"/>
    <n v="4"/>
    <n v="227027"/>
    <n v="4"/>
    <n v="227027"/>
    <n v="4"/>
    <n v="227027"/>
    <x v="1"/>
    <x v="1"/>
  </r>
  <r>
    <x v="3"/>
    <n v="217600"/>
    <x v="310"/>
    <x v="233"/>
    <x v="12"/>
    <s v="Kid Krow"/>
    <n v="81"/>
    <x v="147"/>
    <x v="247"/>
    <n v="-5.46"/>
    <x v="1"/>
    <n v="8"/>
    <n v="4.3499999999999997E-2"/>
    <n v="1.6199999999999999E-3"/>
    <n v="0"/>
    <x v="239"/>
    <n v="0.49299999999999999"/>
    <n v="108.045"/>
    <n v="4"/>
    <n v="185773"/>
    <n v="4"/>
    <n v="185773"/>
    <n v="4"/>
    <n v="185773"/>
    <x v="1"/>
    <x v="1"/>
  </r>
  <r>
    <x v="1"/>
    <n v="217400"/>
    <x v="104"/>
    <x v="98"/>
    <x v="36"/>
    <s v="Dreamland (+ Bonus Levels)"/>
    <n v="89"/>
    <x v="95"/>
    <x v="20"/>
    <n v="-6.9"/>
    <x v="1"/>
    <n v="11"/>
    <n v="9.4399999999999998E-2"/>
    <n v="0.44"/>
    <n v="6.7000000000000002E-6"/>
    <x v="94"/>
    <n v="0.53100000000000003"/>
    <n v="80.87"/>
    <n v="4"/>
    <n v="238805"/>
    <n v="4"/>
    <n v="238805"/>
    <n v="4"/>
    <n v="238805"/>
    <x v="1"/>
    <x v="1"/>
  </r>
  <r>
    <x v="2"/>
    <n v="217400"/>
    <x v="311"/>
    <x v="259"/>
    <x v="59"/>
    <s v="Liar"/>
    <n v="50"/>
    <x v="140"/>
    <x v="95"/>
    <n v="-12.118"/>
    <x v="1"/>
    <n v="7"/>
    <n v="0.35399999999999998"/>
    <n v="0.33900000000000002"/>
    <n v="0"/>
    <x v="203"/>
    <n v="0.59"/>
    <n v="94.959000000000003"/>
    <n v="4"/>
    <n v="146526"/>
    <n v="4"/>
    <n v="146526"/>
    <n v="4"/>
    <n v="146526"/>
    <x v="1"/>
    <x v="1"/>
  </r>
  <r>
    <x v="3"/>
    <n v="214400"/>
    <x v="312"/>
    <x v="226"/>
    <x v="17"/>
    <s v="Cheating on You"/>
    <n v="77"/>
    <x v="240"/>
    <x v="170"/>
    <n v="-6.7850000000000001"/>
    <x v="1"/>
    <n v="4"/>
    <n v="3.3599999999999998E-2"/>
    <n v="1.3100000000000001E-2"/>
    <n v="3.65E-5"/>
    <x v="240"/>
    <n v="0.60099999999999998"/>
    <n v="123.042"/>
    <n v="4"/>
    <n v="196607"/>
    <n v="4"/>
    <n v="196607"/>
    <n v="4"/>
    <n v="196607"/>
    <x v="1"/>
    <x v="1"/>
  </r>
  <r>
    <x v="1"/>
    <n v="211600"/>
    <x v="313"/>
    <x v="260"/>
    <x v="57"/>
    <s v="How Can You Mend A Broken Heart"/>
    <n v="76"/>
    <x v="241"/>
    <x v="248"/>
    <n v="-6.24"/>
    <x v="1"/>
    <n v="7"/>
    <n v="3.7900000000000003E-2"/>
    <n v="0.17499999999999999"/>
    <n v="8.3999999999999995E-5"/>
    <x v="241"/>
    <n v="0.67300000000000004"/>
    <n v="106.164"/>
    <n v="4"/>
    <n v="196213"/>
    <n v="4"/>
    <n v="196213"/>
    <n v="4"/>
    <n v="196213"/>
    <x v="1"/>
    <x v="1"/>
  </r>
  <r>
    <x v="0"/>
    <n v="211600"/>
    <x v="313"/>
    <x v="260"/>
    <x v="57"/>
    <s v="Greatest"/>
    <n v="63"/>
    <x v="242"/>
    <x v="124"/>
    <n v="-6.4340000000000002"/>
    <x v="1"/>
    <n v="7"/>
    <n v="3.8300000000000001E-2"/>
    <n v="0.16300000000000001"/>
    <n v="1.2999999999999999E-4"/>
    <x v="242"/>
    <n v="0.70099999999999996"/>
    <n v="105.955"/>
    <n v="4"/>
    <n v="197213"/>
    <n v="4"/>
    <n v="197213"/>
    <n v="4"/>
    <n v="197213"/>
    <x v="1"/>
    <x v="1"/>
  </r>
  <r>
    <x v="1"/>
    <n v="208600"/>
    <x v="314"/>
    <x v="261"/>
    <x v="15"/>
    <s v="Friday (feat. Mufasa &amp; Hypeman) [Dopamine Re-Edit]"/>
    <n v="83"/>
    <x v="1"/>
    <x v="249"/>
    <n v="-3.4239999999999999"/>
    <x v="1"/>
    <n v="2"/>
    <n v="0.126"/>
    <n v="7.6E-3"/>
    <n v="1.3200000000000001E-4"/>
    <x v="215"/>
    <n v="0.80100000000000005"/>
    <n v="122.98"/>
    <n v="4"/>
    <n v="169153"/>
    <n v="4"/>
    <n v="169153"/>
    <n v="4"/>
    <n v="169153"/>
    <x v="1"/>
    <x v="1"/>
  </r>
  <r>
    <x v="1"/>
    <n v="207200"/>
    <x v="315"/>
    <x v="18"/>
    <x v="17"/>
    <s v="Shoot For The Stars Aim For The Moon"/>
    <n v="80"/>
    <x v="243"/>
    <x v="103"/>
    <n v="-6.6059999999999999"/>
    <x v="0"/>
    <n v="6"/>
    <n v="0.2"/>
    <n v="0.114"/>
    <n v="0"/>
    <x v="243"/>
    <n v="0.34699999999999998"/>
    <n v="125.971"/>
    <n v="4"/>
    <n v="190476"/>
    <n v="4"/>
    <n v="190476"/>
    <n v="4"/>
    <n v="190476"/>
    <x v="1"/>
    <x v="1"/>
  </r>
  <r>
    <x v="0"/>
    <n v="207100"/>
    <x v="316"/>
    <x v="262"/>
    <x v="44"/>
    <s v="Skiptracing"/>
    <n v="0"/>
    <x v="244"/>
    <x v="250"/>
    <n v="-8.1669999999999998"/>
    <x v="1"/>
    <n v="5"/>
    <n v="2.87E-2"/>
    <n v="0.153"/>
    <n v="2.5699999999999998E-3"/>
    <x v="244"/>
    <n v="0.41599999999999998"/>
    <n v="73.372"/>
    <n v="4"/>
    <n v="177493"/>
    <n v="4"/>
    <n v="177493"/>
    <n v="4"/>
    <n v="177493"/>
    <x v="1"/>
    <x v="1"/>
  </r>
  <r>
    <x v="0"/>
    <n v="206300"/>
    <x v="317"/>
    <x v="263"/>
    <x v="57"/>
    <s v="Snow Cougar"/>
    <n v="72"/>
    <x v="135"/>
    <x v="66"/>
    <n v="-6.0529999999999999"/>
    <x v="1"/>
    <n v="9"/>
    <n v="0.16200000000000001"/>
    <n v="0.68500000000000005"/>
    <n v="6.2199999999999997E-6"/>
    <x v="47"/>
    <n v="0.626"/>
    <n v="106.74"/>
    <n v="4"/>
    <n v="211150"/>
    <n v="4"/>
    <n v="211150"/>
    <n v="4"/>
    <n v="211150"/>
    <x v="1"/>
    <x v="1"/>
  </r>
  <r>
    <x v="0"/>
    <n v="203400"/>
    <x v="318"/>
    <x v="264"/>
    <x v="20"/>
    <s v="Alright, Still (Deluxe)"/>
    <n v="71"/>
    <x v="242"/>
    <x v="247"/>
    <n v="-5.9379999999999997"/>
    <x v="1"/>
    <n v="5"/>
    <n v="2.5899999999999999E-2"/>
    <n v="1.4300000000000001E-3"/>
    <n v="0"/>
    <x v="245"/>
    <n v="0.73299999999999998"/>
    <n v="95.506"/>
    <n v="4"/>
    <n v="196893"/>
    <n v="4"/>
    <n v="196893"/>
    <n v="4"/>
    <n v="196893"/>
    <x v="1"/>
    <x v="1"/>
  </r>
  <r>
    <x v="1"/>
    <n v="202500"/>
    <x v="319"/>
    <x v="265"/>
    <x v="6"/>
    <s v="Freaks"/>
    <n v="85"/>
    <x v="245"/>
    <x v="251"/>
    <n v="-9.9179999999999993"/>
    <x v="1"/>
    <n v="9"/>
    <n v="4.6600000000000003E-2"/>
    <n v="3.8399999999999998E-5"/>
    <n v="0.63300000000000001"/>
    <x v="246"/>
    <n v="0.40699999999999997"/>
    <n v="179.626"/>
    <n v="4"/>
    <n v="147062"/>
    <n v="4"/>
    <n v="147062"/>
    <n v="4"/>
    <n v="147062"/>
    <x v="1"/>
    <x v="1"/>
  </r>
  <r>
    <x v="1"/>
    <n v="202200"/>
    <x v="320"/>
    <x v="0"/>
    <x v="0"/>
    <s v="Savage Love (Laxed - Siren Beat)"/>
    <n v="77"/>
    <x v="246"/>
    <x v="252"/>
    <n v="-8.52"/>
    <x v="0"/>
    <n v="0"/>
    <n v="8.0299999999999996E-2"/>
    <n v="0.23400000000000001"/>
    <n v="0"/>
    <x v="247"/>
    <n v="0.76100000000000001"/>
    <n v="150.07599999999999"/>
    <n v="4"/>
    <n v="171375"/>
    <n v="4"/>
    <n v="171375"/>
    <n v="4"/>
    <n v="171375"/>
    <x v="1"/>
    <x v="1"/>
  </r>
  <r>
    <x v="3"/>
    <n v="202200"/>
    <x v="320"/>
    <x v="0"/>
    <x v="0"/>
    <s v="Savage Love (Laxed - Siren Beat)"/>
    <n v="77"/>
    <x v="246"/>
    <x v="252"/>
    <n v="-8.52"/>
    <x v="0"/>
    <n v="0"/>
    <n v="8.0299999999999996E-2"/>
    <n v="0.23400000000000001"/>
    <n v="0"/>
    <x v="247"/>
    <n v="0.76100000000000001"/>
    <n v="150.07599999999999"/>
    <n v="4"/>
    <n v="171375"/>
    <n v="4"/>
    <n v="171375"/>
    <n v="4"/>
    <n v="171375"/>
    <x v="1"/>
    <x v="1"/>
  </r>
  <r>
    <x v="0"/>
    <n v="202200"/>
    <x v="320"/>
    <x v="0"/>
    <x v="0"/>
    <s v="Savage Love (Laxed - Siren Beat)"/>
    <n v="77"/>
    <x v="246"/>
    <x v="252"/>
    <n v="-8.52"/>
    <x v="0"/>
    <n v="0"/>
    <n v="8.0299999999999996E-2"/>
    <n v="0.23400000000000001"/>
    <n v="0"/>
    <x v="247"/>
    <n v="0.76100000000000001"/>
    <n v="150.07599999999999"/>
    <n v="4"/>
    <n v="171375"/>
    <n v="4"/>
    <n v="171375"/>
    <n v="4"/>
    <n v="171375"/>
    <x v="1"/>
    <x v="1"/>
  </r>
  <r>
    <x v="0"/>
    <n v="201600"/>
    <x v="321"/>
    <x v="266"/>
    <x v="29"/>
    <s v="THICK (feat. Megan Thee Stallion) [Remix]"/>
    <n v="52"/>
    <x v="59"/>
    <x v="253"/>
    <n v="-5.8730000000000002"/>
    <x v="1"/>
    <n v="4"/>
    <n v="0.36499999999999999"/>
    <n v="2.8799999999999999E-2"/>
    <n v="0"/>
    <x v="236"/>
    <n v="0.67900000000000005"/>
    <n v="145.16200000000001"/>
    <n v="4"/>
    <n v="205296"/>
    <n v="4"/>
    <n v="205296"/>
    <n v="4"/>
    <n v="205296"/>
    <x v="1"/>
    <x v="1"/>
  </r>
  <r>
    <x v="2"/>
    <n v="195600"/>
    <x v="322"/>
    <x v="267"/>
    <x v="66"/>
    <s v="Wanna Be Like You"/>
    <n v="17"/>
    <x v="182"/>
    <x v="254"/>
    <n v="-10.362"/>
    <x v="1"/>
    <n v="5"/>
    <n v="0.10100000000000001"/>
    <n v="0.48699999999999999"/>
    <n v="3.41E-6"/>
    <x v="97"/>
    <n v="0.59499999999999997"/>
    <n v="104.274"/>
    <n v="4"/>
    <n v="229415"/>
    <n v="4"/>
    <n v="229415"/>
    <n v="4"/>
    <n v="229415"/>
    <x v="1"/>
    <x v="1"/>
  </r>
  <r>
    <x v="3"/>
    <n v="192900"/>
    <x v="323"/>
    <x v="268"/>
    <x v="53"/>
    <s v="My World 2.0"/>
    <n v="81"/>
    <x v="15"/>
    <x v="255"/>
    <n v="-5.2370000000000001"/>
    <x v="0"/>
    <n v="5"/>
    <n v="0.13700000000000001"/>
    <n v="4.0099999999999997E-2"/>
    <n v="0"/>
    <x v="69"/>
    <n v="0.53500000000000003"/>
    <n v="65.043000000000006"/>
    <n v="4"/>
    <n v="214240"/>
    <n v="4"/>
    <n v="214240"/>
    <n v="4"/>
    <n v="214240"/>
    <x v="1"/>
    <x v="1"/>
  </r>
  <r>
    <x v="2"/>
    <n v="192900"/>
    <x v="324"/>
    <x v="269"/>
    <x v="59"/>
    <s v="Steppin'"/>
    <n v="55"/>
    <x v="247"/>
    <x v="256"/>
    <n v="-4.5019999999999998"/>
    <x v="1"/>
    <n v="1"/>
    <n v="0.104"/>
    <n v="4.0400000000000001E-4"/>
    <n v="8.2100000000000006E-2"/>
    <x v="181"/>
    <n v="0.12"/>
    <n v="160.05500000000001"/>
    <n v="4"/>
    <n v="145253"/>
    <n v="4"/>
    <n v="145253"/>
    <n v="4"/>
    <n v="145253"/>
    <x v="1"/>
    <x v="1"/>
  </r>
  <r>
    <x v="2"/>
    <n v="192900"/>
    <x v="325"/>
    <x v="268"/>
    <x v="53"/>
    <s v="My Worlds (International Version)"/>
    <n v="47"/>
    <x v="248"/>
    <x v="257"/>
    <n v="-3.319"/>
    <x v="0"/>
    <n v="5"/>
    <n v="6.5600000000000006E-2"/>
    <n v="9.3900000000000008E-3"/>
    <n v="0"/>
    <x v="177"/>
    <n v="0.65200000000000002"/>
    <n v="125.02800000000001"/>
    <n v="4"/>
    <n v="191573"/>
    <n v="4"/>
    <n v="191573"/>
    <n v="4"/>
    <n v="191573"/>
    <x v="1"/>
    <x v="1"/>
  </r>
  <r>
    <x v="3"/>
    <n v="192800"/>
    <x v="325"/>
    <x v="268"/>
    <x v="53"/>
    <s v="My World"/>
    <n v="68"/>
    <x v="249"/>
    <x v="257"/>
    <n v="-3.319"/>
    <x v="1"/>
    <n v="3"/>
    <n v="6.0900000000000003E-2"/>
    <n v="9.3900000000000008E-3"/>
    <n v="0"/>
    <x v="177"/>
    <n v="0.63200000000000001"/>
    <n v="124.95699999999999"/>
    <n v="4"/>
    <n v="191573"/>
    <n v="4"/>
    <n v="191573"/>
    <n v="4"/>
    <n v="191573"/>
    <x v="1"/>
    <x v="1"/>
  </r>
  <r>
    <x v="1"/>
    <n v="190800"/>
    <x v="149"/>
    <x v="9"/>
    <x v="8"/>
    <s v="Boss Bitch"/>
    <n v="78"/>
    <x v="138"/>
    <x v="128"/>
    <n v="-4.593"/>
    <x v="0"/>
    <n v="10"/>
    <n v="0.222"/>
    <n v="0.127"/>
    <n v="0"/>
    <x v="131"/>
    <n v="0.57499999999999996"/>
    <n v="125.989"/>
    <n v="4"/>
    <n v="134240"/>
    <n v="4"/>
    <n v="134240"/>
    <n v="4"/>
    <n v="134240"/>
    <x v="1"/>
    <x v="1"/>
  </r>
  <r>
    <x v="0"/>
    <n v="190100"/>
    <x v="326"/>
    <x v="270"/>
    <x v="6"/>
    <s v="It Is What It Is"/>
    <n v="72"/>
    <x v="93"/>
    <x v="258"/>
    <n v="-8.7720000000000002"/>
    <x v="1"/>
    <n v="7"/>
    <n v="0.439"/>
    <n v="0.82699999999999996"/>
    <n v="0.64200000000000002"/>
    <x v="248"/>
    <n v="0.65"/>
    <n v="140.023"/>
    <n v="3"/>
    <n v="116630"/>
    <n v="3"/>
    <n v="116630"/>
    <n v="3"/>
    <n v="116630"/>
    <x v="1"/>
    <x v="1"/>
  </r>
  <r>
    <x v="2"/>
    <n v="185700"/>
    <x v="327"/>
    <x v="271"/>
    <x v="67"/>
    <s v="I Lived"/>
    <n v="35"/>
    <x v="250"/>
    <x v="193"/>
    <n v="-9.6229999999999993"/>
    <x v="1"/>
    <n v="2"/>
    <n v="3.3599999999999998E-2"/>
    <n v="0.215"/>
    <n v="1.9700000000000001E-5"/>
    <x v="249"/>
    <n v="0.18"/>
    <n v="119.955"/>
    <n v="4"/>
    <n v="188056"/>
    <n v="4"/>
    <n v="188056"/>
    <n v="4"/>
    <n v="188056"/>
    <x v="1"/>
    <x v="1"/>
  </r>
  <r>
    <x v="1"/>
    <n v="185200"/>
    <x v="328"/>
    <x v="272"/>
    <x v="20"/>
    <s v="Dopamine"/>
    <n v="82"/>
    <x v="175"/>
    <x v="259"/>
    <n v="-7.6269999999999998"/>
    <x v="0"/>
    <n v="6"/>
    <n v="5.33E-2"/>
    <n v="5.4299999999999999E-3"/>
    <n v="1.3699999999999999E-3"/>
    <x v="250"/>
    <n v="0.51800000000000002"/>
    <n v="120.041"/>
    <n v="4"/>
    <n v="218107"/>
    <n v="4"/>
    <n v="218107"/>
    <n v="4"/>
    <n v="218107"/>
    <x v="1"/>
    <x v="1"/>
  </r>
  <r>
    <x v="3"/>
    <n v="185200"/>
    <x v="328"/>
    <x v="272"/>
    <x v="20"/>
    <s v="Dopamine"/>
    <n v="82"/>
    <x v="175"/>
    <x v="259"/>
    <n v="-7.6269999999999998"/>
    <x v="0"/>
    <n v="6"/>
    <n v="5.33E-2"/>
    <n v="5.4299999999999999E-3"/>
    <n v="1.3699999999999999E-3"/>
    <x v="250"/>
    <n v="0.51800000000000002"/>
    <n v="120.041"/>
    <n v="4"/>
    <n v="218107"/>
    <n v="4"/>
    <n v="218107"/>
    <n v="4"/>
    <n v="218107"/>
    <x v="1"/>
    <x v="1"/>
  </r>
  <r>
    <x v="0"/>
    <n v="185200"/>
    <x v="328"/>
    <x v="272"/>
    <x v="20"/>
    <s v="Dopamine"/>
    <n v="82"/>
    <x v="175"/>
    <x v="259"/>
    <n v="-7.6269999999999998"/>
    <x v="0"/>
    <n v="6"/>
    <n v="5.33E-2"/>
    <n v="5.4299999999999999E-3"/>
    <n v="1.3699999999999999E-3"/>
    <x v="250"/>
    <n v="0.51800000000000002"/>
    <n v="120.041"/>
    <n v="4"/>
    <n v="218107"/>
    <n v="4"/>
    <n v="218107"/>
    <n v="4"/>
    <n v="218107"/>
    <x v="1"/>
    <x v="1"/>
  </r>
  <r>
    <x v="0"/>
    <n v="183800"/>
    <x v="329"/>
    <x v="273"/>
    <x v="47"/>
    <s v="Indigo"/>
    <n v="79"/>
    <x v="179"/>
    <x v="35"/>
    <n v="-6.7560000000000002"/>
    <x v="0"/>
    <n v="1"/>
    <n v="0.153"/>
    <n v="0.123"/>
    <n v="0"/>
    <x v="212"/>
    <n v="0.13600000000000001"/>
    <n v="92.927999999999997"/>
    <n v="4"/>
    <n v="260640"/>
    <n v="4"/>
    <n v="260640"/>
    <n v="4"/>
    <n v="260640"/>
    <x v="1"/>
    <x v="1"/>
  </r>
  <r>
    <x v="3"/>
    <n v="182600"/>
    <x v="330"/>
    <x v="274"/>
    <x v="26"/>
    <s v="Jalebi Baby (Tesher x Jason Derulo)"/>
    <n v="73"/>
    <x v="47"/>
    <x v="260"/>
    <n v="-7.1790000000000003"/>
    <x v="1"/>
    <n v="0"/>
    <n v="4.1200000000000001E-2"/>
    <n v="2.8899999999999999E-2"/>
    <n v="0"/>
    <x v="251"/>
    <n v="0.86599999999999999"/>
    <n v="93.058999999999997"/>
    <n v="4"/>
    <n v="169154"/>
    <n v="4"/>
    <n v="169154"/>
    <n v="4"/>
    <n v="169154"/>
    <x v="1"/>
    <x v="1"/>
  </r>
  <r>
    <x v="1"/>
    <n v="182400"/>
    <x v="330"/>
    <x v="274"/>
    <x v="26"/>
    <s v="Jalebi Baby (Tesher x Jason Derulo)"/>
    <n v="73"/>
    <x v="47"/>
    <x v="260"/>
    <n v="-7.1790000000000003"/>
    <x v="1"/>
    <n v="0"/>
    <n v="4.1200000000000001E-2"/>
    <n v="2.8899999999999999E-2"/>
    <n v="0"/>
    <x v="251"/>
    <n v="0.86599999999999999"/>
    <n v="93.058999999999997"/>
    <n v="4"/>
    <n v="169154"/>
    <n v="4"/>
    <n v="169154"/>
    <n v="4"/>
    <n v="169154"/>
    <x v="1"/>
    <x v="1"/>
  </r>
  <r>
    <x v="0"/>
    <n v="177900"/>
    <x v="331"/>
    <x v="275"/>
    <x v="34"/>
    <s v="BEYONCÃ‰ [Platinum Edition]"/>
    <n v="71"/>
    <x v="251"/>
    <x v="261"/>
    <n v="-11.522"/>
    <x v="0"/>
    <n v="11"/>
    <n v="0.28299999999999997"/>
    <n v="2.9000000000000001E-2"/>
    <n v="7.0699999999999999E-2"/>
    <x v="252"/>
    <n v="0.17199999999999999"/>
    <n v="175.928"/>
    <n v="4"/>
    <n v="319467"/>
    <n v="4"/>
    <n v="319467"/>
    <n v="4"/>
    <n v="319467"/>
    <x v="1"/>
    <x v="1"/>
  </r>
  <r>
    <x v="0"/>
    <n v="177900"/>
    <x v="332"/>
    <x v="276"/>
    <x v="29"/>
    <s v="Different"/>
    <n v="38"/>
    <x v="193"/>
    <x v="262"/>
    <n v="-5.5339999999999998"/>
    <x v="1"/>
    <n v="0"/>
    <n v="7.2400000000000006E-2"/>
    <n v="0.20399999999999999"/>
    <n v="0"/>
    <x v="253"/>
    <n v="0.73099999999999998"/>
    <n v="100.01300000000001"/>
    <n v="4"/>
    <n v="164880"/>
    <n v="4"/>
    <n v="164880"/>
    <n v="4"/>
    <n v="164880"/>
    <x v="1"/>
    <x v="1"/>
  </r>
  <r>
    <x v="1"/>
    <n v="175400"/>
    <x v="333"/>
    <x v="277"/>
    <x v="17"/>
    <s v="Without Me"/>
    <n v="77"/>
    <x v="252"/>
    <x v="263"/>
    <n v="-7.05"/>
    <x v="1"/>
    <n v="6"/>
    <n v="7.0499999999999993E-2"/>
    <n v="0.29699999999999999"/>
    <n v="9.1099999999999992E-6"/>
    <x v="24"/>
    <n v="0.53300000000000003"/>
    <n v="136.041"/>
    <n v="4"/>
    <n v="201661"/>
    <n v="4"/>
    <n v="201661"/>
    <n v="4"/>
    <n v="201661"/>
    <x v="1"/>
    <x v="1"/>
  </r>
  <r>
    <x v="3"/>
    <n v="173600"/>
    <x v="334"/>
    <x v="278"/>
    <x v="54"/>
    <s v="Oral Fixation, Vol. 2 (Expanded Edition)"/>
    <n v="83"/>
    <x v="16"/>
    <x v="264"/>
    <n v="-5.8920000000000003"/>
    <x v="0"/>
    <n v="10"/>
    <n v="7.0699999999999999E-2"/>
    <n v="0.28399999999999997"/>
    <n v="0"/>
    <x v="254"/>
    <n v="0.75800000000000001"/>
    <n v="100.024"/>
    <n v="4"/>
    <n v="218093"/>
    <n v="4"/>
    <n v="218093"/>
    <n v="4"/>
    <n v="218093"/>
    <x v="1"/>
    <x v="1"/>
  </r>
  <r>
    <x v="1"/>
    <n v="170700"/>
    <x v="335"/>
    <x v="237"/>
    <x v="60"/>
    <s v="positions"/>
    <n v="3"/>
    <x v="0"/>
    <x v="265"/>
    <n v="-4.7590000000000003"/>
    <x v="1"/>
    <n v="0"/>
    <n v="8.6400000000000005E-2"/>
    <n v="0.46800000000000003"/>
    <n v="0"/>
    <x v="255"/>
    <n v="0.67500000000000004"/>
    <n v="144.005"/>
    <n v="4"/>
    <n v="172325"/>
    <n v="4"/>
    <n v="172325"/>
    <n v="4"/>
    <n v="172325"/>
    <x v="1"/>
    <x v="1"/>
  </r>
  <r>
    <x v="3"/>
    <n v="170700"/>
    <x v="335"/>
    <x v="237"/>
    <x v="60"/>
    <s v="Positions"/>
    <n v="85"/>
    <x v="188"/>
    <x v="265"/>
    <n v="-4.7709999999999999"/>
    <x v="1"/>
    <n v="0"/>
    <n v="8.7800000000000003E-2"/>
    <n v="0.46800000000000003"/>
    <n v="0"/>
    <x v="256"/>
    <n v="0.68200000000000005"/>
    <n v="144.01499999999999"/>
    <n v="4"/>
    <n v="172325"/>
    <n v="4"/>
    <n v="172325"/>
    <n v="4"/>
    <n v="172325"/>
    <x v="1"/>
    <x v="1"/>
  </r>
  <r>
    <x v="3"/>
    <n v="169000"/>
    <x v="336"/>
    <x v="279"/>
    <x v="58"/>
    <s v="Dá»… Äáº¿n Dá»… Äi"/>
    <n v="46"/>
    <x v="253"/>
    <x v="266"/>
    <n v="-7.1390000000000002"/>
    <x v="1"/>
    <n v="10"/>
    <n v="4.41E-2"/>
    <n v="0.752"/>
    <n v="3.9300000000000002E-2"/>
    <x v="257"/>
    <n v="0.40600000000000003"/>
    <n v="105.017"/>
    <n v="4"/>
    <n v="270048"/>
    <n v="4"/>
    <n v="270048"/>
    <n v="4"/>
    <n v="270048"/>
    <x v="1"/>
    <x v="1"/>
  </r>
  <r>
    <x v="2"/>
    <n v="168700"/>
    <x v="337"/>
    <x v="280"/>
    <x v="44"/>
    <s v="Cartier"/>
    <n v="56"/>
    <x v="149"/>
    <x v="267"/>
    <n v="-5.4429999999999996"/>
    <x v="1"/>
    <n v="0"/>
    <n v="0.217"/>
    <n v="3.5799999999999998E-2"/>
    <n v="1.4300000000000001E-6"/>
    <x v="22"/>
    <n v="0.63400000000000001"/>
    <n v="126.842"/>
    <n v="4"/>
    <n v="232422"/>
    <n v="4"/>
    <n v="232422"/>
    <n v="4"/>
    <n v="232422"/>
    <x v="1"/>
    <x v="1"/>
  </r>
  <r>
    <x v="3"/>
    <n v="166100"/>
    <x v="338"/>
    <x v="281"/>
    <x v="32"/>
    <s v="In A Tidal Wave Of Mystery (Deluxe Edition)"/>
    <n v="82"/>
    <x v="254"/>
    <x v="268"/>
    <n v="-4.8520000000000003"/>
    <x v="1"/>
    <n v="0"/>
    <n v="3.1600000000000003E-2"/>
    <n v="1.76E-4"/>
    <n v="3.7399999999999998E-3"/>
    <x v="258"/>
    <n v="0.76600000000000001"/>
    <n v="117.956"/>
    <n v="5"/>
    <n v="192790"/>
    <n v="5"/>
    <n v="192790"/>
    <n v="5"/>
    <n v="192790"/>
    <x v="1"/>
    <x v="1"/>
  </r>
  <r>
    <x v="1"/>
    <n v="165200"/>
    <x v="339"/>
    <x v="69"/>
    <x v="17"/>
    <s v="Thousand Miles"/>
    <n v="84"/>
    <x v="225"/>
    <x v="174"/>
    <n v="-4.6580000000000004"/>
    <x v="1"/>
    <n v="7"/>
    <n v="7.6799999999999993E-2"/>
    <n v="8.5800000000000001E-2"/>
    <n v="0"/>
    <x v="220"/>
    <n v="0.20300000000000001"/>
    <n v="80.564999999999998"/>
    <n v="4"/>
    <n v="164782"/>
    <n v="4"/>
    <n v="164782"/>
    <n v="4"/>
    <n v="164782"/>
    <x v="1"/>
    <x v="1"/>
  </r>
  <r>
    <x v="2"/>
    <n v="163800"/>
    <x v="340"/>
    <x v="282"/>
    <x v="68"/>
    <s v="WTF"/>
    <n v="0"/>
    <x v="84"/>
    <x v="269"/>
    <n v="-5.7359999999999998"/>
    <x v="1"/>
    <n v="8"/>
    <n v="0.32400000000000001"/>
    <n v="0.372"/>
    <n v="6.2199999999999994E-5"/>
    <x v="259"/>
    <n v="0.90200000000000002"/>
    <n v="172.09399999999999"/>
    <n v="4"/>
    <n v="89293"/>
    <n v="4"/>
    <n v="89293"/>
    <n v="4"/>
    <n v="89293"/>
    <x v="1"/>
    <x v="1"/>
  </r>
  <r>
    <x v="0"/>
    <n v="163500"/>
    <x v="341"/>
    <x v="283"/>
    <x v="32"/>
    <s v="Crystal Castles"/>
    <n v="66"/>
    <x v="53"/>
    <x v="270"/>
    <n v="-7.5330000000000004"/>
    <x v="0"/>
    <n v="4"/>
    <n v="4.0300000000000002E-2"/>
    <n v="0.184"/>
    <n v="2.5899999999999999E-2"/>
    <x v="97"/>
    <n v="0.88800000000000001"/>
    <n v="119.982"/>
    <n v="4"/>
    <n v="258453"/>
    <n v="4"/>
    <n v="258453"/>
    <n v="4"/>
    <n v="258453"/>
    <x v="1"/>
    <x v="1"/>
  </r>
  <r>
    <x v="3"/>
    <n v="163300"/>
    <x v="342"/>
    <x v="284"/>
    <x v="6"/>
    <s v="Sit Still, Look Pretty"/>
    <n v="0"/>
    <x v="255"/>
    <x v="27"/>
    <n v="-4.0810000000000004"/>
    <x v="1"/>
    <n v="2"/>
    <n v="0.27400000000000002"/>
    <n v="0.14099999999999999"/>
    <n v="0"/>
    <x v="253"/>
    <n v="0.54300000000000004"/>
    <n v="181.994"/>
    <n v="4"/>
    <n v="202221"/>
    <n v="4"/>
    <n v="202221"/>
    <n v="4"/>
    <n v="202221"/>
    <x v="1"/>
    <x v="1"/>
  </r>
  <r>
    <x v="2"/>
    <n v="163200"/>
    <x v="343"/>
    <x v="285"/>
    <x v="40"/>
    <s v="Asshole"/>
    <n v="56"/>
    <x v="256"/>
    <x v="265"/>
    <n v="-6.2709999999999999"/>
    <x v="1"/>
    <n v="5"/>
    <n v="0.113"/>
    <n v="0.59499999999999997"/>
    <n v="6.78E-4"/>
    <x v="18"/>
    <n v="0.874"/>
    <n v="159.98400000000001"/>
    <n v="4"/>
    <n v="156078"/>
    <n v="4"/>
    <n v="156078"/>
    <n v="4"/>
    <n v="156078"/>
    <x v="1"/>
    <x v="1"/>
  </r>
  <r>
    <x v="3"/>
    <n v="159900"/>
    <x v="344"/>
    <x v="286"/>
    <x v="41"/>
    <s v="Mail on Sunday"/>
    <n v="80"/>
    <x v="43"/>
    <x v="141"/>
    <n v="-5.64"/>
    <x v="0"/>
    <n v="10"/>
    <n v="7.9100000000000004E-2"/>
    <n v="9.2799999999999994E-2"/>
    <n v="0"/>
    <x v="260"/>
    <n v="0.30399999999999999"/>
    <n v="128.00800000000001"/>
    <n v="4"/>
    <n v="231400"/>
    <n v="4"/>
    <n v="231400"/>
    <n v="4"/>
    <n v="231400"/>
    <x v="1"/>
    <x v="1"/>
  </r>
  <r>
    <x v="2"/>
    <n v="159300"/>
    <x v="344"/>
    <x v="286"/>
    <x v="41"/>
    <s v="Mail on Sunday"/>
    <n v="80"/>
    <x v="43"/>
    <x v="141"/>
    <n v="-5.64"/>
    <x v="0"/>
    <n v="10"/>
    <n v="7.9100000000000004E-2"/>
    <n v="9.2799999999999994E-2"/>
    <n v="0"/>
    <x v="260"/>
    <n v="0.30399999999999999"/>
    <n v="128.00800000000001"/>
    <n v="4"/>
    <n v="231400"/>
    <n v="4"/>
    <n v="231400"/>
    <n v="4"/>
    <n v="231400"/>
    <x v="1"/>
    <x v="1"/>
  </r>
  <r>
    <x v="1"/>
    <n v="157100"/>
    <x v="345"/>
    <x v="9"/>
    <x v="8"/>
    <s v="Planet Her"/>
    <n v="81"/>
    <x v="220"/>
    <x v="263"/>
    <n v="-4.601"/>
    <x v="1"/>
    <n v="3"/>
    <n v="0.20799999999999999"/>
    <n v="0.50600000000000001"/>
    <n v="0"/>
    <x v="205"/>
    <n v="0.61899999999999999"/>
    <n v="124.09699999999999"/>
    <n v="4"/>
    <n v="174253"/>
    <n v="4"/>
    <n v="174253"/>
    <n v="4"/>
    <n v="174253"/>
    <x v="1"/>
    <x v="1"/>
  </r>
  <r>
    <x v="1"/>
    <n v="156200"/>
    <x v="346"/>
    <x v="287"/>
    <x v="17"/>
    <s v="Be Kind (with Halsey)"/>
    <n v="77"/>
    <x v="257"/>
    <x v="271"/>
    <n v="-7.0880000000000001"/>
    <x v="1"/>
    <n v="4"/>
    <n v="4.5699999999999998E-2"/>
    <n v="7.7600000000000004E-3"/>
    <n v="0"/>
    <x v="261"/>
    <n v="0.45200000000000001"/>
    <n v="93.995000000000005"/>
    <n v="4"/>
    <n v="172762"/>
    <n v="4"/>
    <n v="172762"/>
    <n v="4"/>
    <n v="172762"/>
    <x v="1"/>
    <x v="1"/>
  </r>
  <r>
    <x v="3"/>
    <n v="156200"/>
    <x v="346"/>
    <x v="287"/>
    <x v="17"/>
    <s v="Be Kind (with Halsey)"/>
    <n v="77"/>
    <x v="257"/>
    <x v="271"/>
    <n v="-7.0880000000000001"/>
    <x v="1"/>
    <n v="4"/>
    <n v="4.5699999999999998E-2"/>
    <n v="7.7600000000000004E-3"/>
    <n v="0"/>
    <x v="261"/>
    <n v="0.45200000000000001"/>
    <n v="93.995000000000005"/>
    <n v="4"/>
    <n v="172762"/>
    <n v="4"/>
    <n v="172762"/>
    <n v="4"/>
    <n v="172762"/>
    <x v="1"/>
    <x v="1"/>
  </r>
  <r>
    <x v="0"/>
    <n v="154700"/>
    <x v="347"/>
    <x v="288"/>
    <x v="18"/>
    <s v="Loose"/>
    <n v="79"/>
    <x v="258"/>
    <x v="272"/>
    <n v="-6.3280000000000003"/>
    <x v="1"/>
    <n v="1"/>
    <n v="0.13900000000000001"/>
    <n v="4.7600000000000003E-2"/>
    <n v="1.1199999999999999E-3"/>
    <x v="262"/>
    <n v="0.80900000000000005"/>
    <n v="116.94799999999999"/>
    <n v="4"/>
    <n v="223080"/>
    <n v="4"/>
    <n v="223080"/>
    <n v="4"/>
    <n v="223080"/>
    <x v="1"/>
    <x v="1"/>
  </r>
  <r>
    <x v="2"/>
    <n v="154600"/>
    <x v="348"/>
    <x v="289"/>
    <x v="19"/>
    <s v="Prom Queen"/>
    <n v="80"/>
    <x v="259"/>
    <x v="259"/>
    <n v="-7.4870000000000001"/>
    <x v="1"/>
    <n v="4"/>
    <n v="4.8500000000000001E-2"/>
    <n v="3.9100000000000002E-4"/>
    <n v="1.0999999999999999E-2"/>
    <x v="21"/>
    <n v="0.751"/>
    <n v="143.785"/>
    <n v="4"/>
    <n v="136562"/>
    <n v="4"/>
    <n v="136562"/>
    <n v="4"/>
    <n v="136562"/>
    <x v="1"/>
    <x v="1"/>
  </r>
  <r>
    <x v="0"/>
    <n v="153500"/>
    <x v="349"/>
    <x v="290"/>
    <x v="14"/>
    <s v="Marlboro Nights"/>
    <n v="0"/>
    <x v="260"/>
    <x v="176"/>
    <n v="-6.7720000000000002"/>
    <x v="1"/>
    <n v="2"/>
    <n v="0.27800000000000002"/>
    <n v="1.66E-3"/>
    <n v="2.8400000000000002E-4"/>
    <x v="156"/>
    <n v="0.81200000000000006"/>
    <n v="87.942999999999998"/>
    <n v="4"/>
    <n v="68586"/>
    <n v="4"/>
    <n v="68586"/>
    <n v="4"/>
    <n v="68586"/>
    <x v="1"/>
    <x v="1"/>
  </r>
  <r>
    <x v="2"/>
    <n v="153500"/>
    <x v="349"/>
    <x v="290"/>
    <x v="14"/>
    <s v="Marlboro Nights"/>
    <n v="75"/>
    <x v="261"/>
    <x v="44"/>
    <n v="-6.6349999999999998"/>
    <x v="1"/>
    <n v="2"/>
    <n v="0.311"/>
    <n v="2.3700000000000001E-3"/>
    <n v="3.21E-4"/>
    <x v="221"/>
    <n v="0.78200000000000003"/>
    <n v="175.797"/>
    <n v="4"/>
    <n v="68523"/>
    <n v="4"/>
    <n v="68523"/>
    <n v="4"/>
    <n v="68523"/>
    <x v="1"/>
    <x v="1"/>
  </r>
  <r>
    <x v="0"/>
    <n v="150600"/>
    <x v="350"/>
    <x v="291"/>
    <x v="36"/>
    <s v="ABBA Gold"/>
    <n v="72"/>
    <x v="55"/>
    <x v="66"/>
    <n v="-6.4349999999999996"/>
    <x v="1"/>
    <n v="0"/>
    <n v="2.81E-2"/>
    <n v="1.8700000000000001E-2"/>
    <n v="4.6399999999999997E-2"/>
    <x v="160"/>
    <n v="0.57999999999999996"/>
    <n v="133"/>
    <n v="4"/>
    <n v="272507"/>
    <n v="4"/>
    <n v="272507"/>
    <n v="4"/>
    <n v="272507"/>
    <x v="1"/>
    <x v="1"/>
  </r>
  <r>
    <x v="2"/>
    <n v="149800"/>
    <x v="351"/>
    <x v="292"/>
    <x v="14"/>
    <s v="Pumpkins scream in the dead of night"/>
    <n v="0"/>
    <x v="238"/>
    <x v="273"/>
    <n v="-5.9969999999999999"/>
    <x v="1"/>
    <n v="1"/>
    <n v="0.439"/>
    <n v="0.14000000000000001"/>
    <n v="0"/>
    <x v="263"/>
    <n v="0.45500000000000002"/>
    <n v="171.09200000000001"/>
    <n v="4"/>
    <n v="148140"/>
    <n v="4"/>
    <n v="148140"/>
    <n v="4"/>
    <n v="148140"/>
    <x v="1"/>
    <x v="1"/>
  </r>
  <r>
    <x v="1"/>
    <n v="149200"/>
    <x v="352"/>
    <x v="237"/>
    <x v="60"/>
    <s v="Positions (Deluxe)"/>
    <n v="57"/>
    <x v="217"/>
    <x v="274"/>
    <n v="-5.6639999999999997"/>
    <x v="0"/>
    <n v="10"/>
    <n v="6.5199999999999994E-2"/>
    <n v="6.8099999999999994E-2"/>
    <n v="0"/>
    <x v="203"/>
    <n v="0.66100000000000003"/>
    <n v="116.965"/>
    <n v="4"/>
    <n v="167990"/>
    <n v="4"/>
    <n v="167990"/>
    <n v="4"/>
    <n v="167990"/>
    <x v="1"/>
    <x v="1"/>
  </r>
  <r>
    <x v="3"/>
    <n v="149000"/>
    <x v="352"/>
    <x v="237"/>
    <x v="60"/>
    <s v="Positions"/>
    <n v="79"/>
    <x v="217"/>
    <x v="274"/>
    <n v="-5.6639999999999997"/>
    <x v="0"/>
    <n v="10"/>
    <n v="6.5199999999999994E-2"/>
    <n v="6.8099999999999994E-2"/>
    <n v="0"/>
    <x v="203"/>
    <n v="0.66100000000000003"/>
    <n v="116.965"/>
    <n v="4"/>
    <n v="167990"/>
    <n v="4"/>
    <n v="167990"/>
    <n v="4"/>
    <n v="167990"/>
    <x v="1"/>
    <x v="1"/>
  </r>
  <r>
    <x v="1"/>
    <n v="148200"/>
    <x v="353"/>
    <x v="293"/>
    <x v="15"/>
    <s v="Down Under (feat. Colin Hay)"/>
    <n v="72"/>
    <x v="262"/>
    <x v="275"/>
    <n v="-4.1120000000000001"/>
    <x v="0"/>
    <n v="11"/>
    <n v="0.17199999999999999"/>
    <n v="1.2E-2"/>
    <n v="1.0300000000000001E-3"/>
    <x v="264"/>
    <n v="3.8600000000000002E-2"/>
    <n v="171.96600000000001"/>
    <n v="4"/>
    <n v="158774"/>
    <n v="4"/>
    <n v="158774"/>
    <n v="4"/>
    <n v="158774"/>
    <x v="1"/>
    <x v="1"/>
  </r>
  <r>
    <x v="3"/>
    <n v="147700"/>
    <x v="354"/>
    <x v="59"/>
    <x v="18"/>
    <s v="Thank You (Deluxe Version)"/>
    <n v="72"/>
    <x v="150"/>
    <x v="276"/>
    <n v="-5.8490000000000002"/>
    <x v="0"/>
    <n v="11"/>
    <n v="0.10100000000000001"/>
    <n v="9.7100000000000006E-2"/>
    <n v="1.1999999999999999E-6"/>
    <x v="265"/>
    <n v="0.83299999999999996"/>
    <n v="123.831"/>
    <n v="4"/>
    <n v="181240"/>
    <n v="4"/>
    <n v="181240"/>
    <n v="4"/>
    <n v="181240"/>
    <x v="1"/>
    <x v="1"/>
  </r>
  <r>
    <x v="0"/>
    <n v="146900"/>
    <x v="355"/>
    <x v="139"/>
    <x v="8"/>
    <s v="Future Nostalgia"/>
    <n v="75"/>
    <x v="263"/>
    <x v="121"/>
    <n v="-3.7559999999999998"/>
    <x v="1"/>
    <n v="0"/>
    <n v="4.5699999999999998E-2"/>
    <n v="1.37E-2"/>
    <n v="6.5799999999999995E-4"/>
    <x v="55"/>
    <n v="0.746"/>
    <n v="146.96700000000001"/>
    <n v="4"/>
    <n v="193829"/>
    <n v="4"/>
    <n v="193829"/>
    <n v="4"/>
    <n v="193829"/>
    <x v="1"/>
    <x v="1"/>
  </r>
  <r>
    <x v="0"/>
    <n v="144600"/>
    <x v="356"/>
    <x v="294"/>
    <x v="20"/>
    <s v="When The Sun Goes Down"/>
    <n v="76"/>
    <x v="264"/>
    <x v="277"/>
    <n v="-2.915"/>
    <x v="1"/>
    <n v="4"/>
    <n v="4.7899999999999998E-2"/>
    <n v="8.43E-2"/>
    <n v="0"/>
    <x v="266"/>
    <n v="0.74399999999999999"/>
    <n v="101.01900000000001"/>
    <n v="4"/>
    <n v="195613"/>
    <n v="4"/>
    <n v="195613"/>
    <n v="4"/>
    <n v="195613"/>
    <x v="1"/>
    <x v="1"/>
  </r>
  <r>
    <x v="0"/>
    <n v="144000"/>
    <x v="357"/>
    <x v="268"/>
    <x v="53"/>
    <s v="Journals"/>
    <n v="65"/>
    <x v="65"/>
    <x v="172"/>
    <n v="-5.4669999999999996"/>
    <x v="0"/>
    <n v="5"/>
    <n v="0.11"/>
    <n v="0.113"/>
    <n v="0"/>
    <x v="145"/>
    <n v="0.876"/>
    <n v="134.13200000000001"/>
    <n v="4"/>
    <n v="248133"/>
    <n v="4"/>
    <n v="248133"/>
    <n v="4"/>
    <n v="248133"/>
    <x v="1"/>
    <x v="1"/>
  </r>
  <r>
    <x v="3"/>
    <n v="143400"/>
    <x v="358"/>
    <x v="295"/>
    <x v="38"/>
    <s v="PYRO"/>
    <n v="60"/>
    <x v="29"/>
    <x v="278"/>
    <n v="-1.8240000000000001"/>
    <x v="1"/>
    <n v="1"/>
    <n v="6.6799999999999998E-2"/>
    <n v="0.14299999999999999"/>
    <n v="3.1800000000000002E-2"/>
    <x v="267"/>
    <n v="0.25900000000000001"/>
    <n v="125.983"/>
    <n v="4"/>
    <n v="148364"/>
    <n v="4"/>
    <n v="148364"/>
    <n v="4"/>
    <n v="148364"/>
    <x v="1"/>
    <x v="1"/>
  </r>
  <r>
    <x v="2"/>
    <n v="143300"/>
    <x v="359"/>
    <x v="296"/>
    <x v="23"/>
    <s v="Bangers[2].Zip"/>
    <n v="60"/>
    <x v="265"/>
    <x v="251"/>
    <n v="-3.8069999999999999"/>
    <x v="0"/>
    <n v="11"/>
    <n v="0.48099999999999998"/>
    <n v="3.6999999999999998E-2"/>
    <n v="1.37E-2"/>
    <x v="244"/>
    <n v="0.52100000000000002"/>
    <n v="75.400999999999996"/>
    <n v="4"/>
    <n v="198400"/>
    <n v="4"/>
    <n v="198400"/>
    <n v="4"/>
    <n v="198400"/>
    <x v="1"/>
    <x v="1"/>
  </r>
  <r>
    <x v="0"/>
    <n v="143200"/>
    <x v="360"/>
    <x v="297"/>
    <x v="38"/>
    <s v="I Just Want to Be the One You Love"/>
    <n v="62"/>
    <x v="260"/>
    <x v="279"/>
    <n v="-8.7490000000000006"/>
    <x v="0"/>
    <n v="9"/>
    <n v="8.77E-2"/>
    <n v="0.96699999999999997"/>
    <n v="3.6999999999999998E-2"/>
    <x v="28"/>
    <n v="0.251"/>
    <n v="140.55099999999999"/>
    <n v="1"/>
    <n v="80842"/>
    <n v="1"/>
    <n v="80842"/>
    <n v="1"/>
    <n v="80842"/>
    <x v="1"/>
    <x v="1"/>
  </r>
  <r>
    <x v="2"/>
    <n v="143000"/>
    <x v="361"/>
    <x v="298"/>
    <x v="22"/>
    <s v="Harmony"/>
    <n v="49"/>
    <x v="10"/>
    <x v="124"/>
    <n v="-7.173"/>
    <x v="1"/>
    <n v="7"/>
    <n v="6.0400000000000002E-2"/>
    <n v="0.38800000000000001"/>
    <n v="0"/>
    <x v="117"/>
    <n v="0.66900000000000004"/>
    <n v="99.954999999999998"/>
    <n v="4"/>
    <n v="178144"/>
    <n v="4"/>
    <n v="178144"/>
    <n v="4"/>
    <n v="178144"/>
    <x v="1"/>
    <x v="1"/>
  </r>
  <r>
    <x v="3"/>
    <n v="141100"/>
    <x v="356"/>
    <x v="294"/>
    <x v="20"/>
    <s v="When The Sun Goes Down"/>
    <n v="76"/>
    <x v="264"/>
    <x v="277"/>
    <n v="-2.915"/>
    <x v="1"/>
    <n v="4"/>
    <n v="4.7899999999999998E-2"/>
    <n v="8.43E-2"/>
    <n v="0"/>
    <x v="266"/>
    <n v="0.74399999999999999"/>
    <n v="101.01900000000001"/>
    <n v="4"/>
    <n v="195613"/>
    <n v="4"/>
    <n v="195613"/>
    <n v="4"/>
    <n v="195613"/>
    <x v="1"/>
    <x v="1"/>
  </r>
  <r>
    <x v="0"/>
    <n v="140600"/>
    <x v="11"/>
    <x v="299"/>
    <x v="26"/>
    <s v="Conquest"/>
    <n v="61"/>
    <x v="233"/>
    <x v="82"/>
    <n v="-4.8890000000000002"/>
    <x v="0"/>
    <n v="4"/>
    <n v="5.3400000000000003E-2"/>
    <n v="2.8400000000000002E-2"/>
    <n v="0"/>
    <x v="193"/>
    <n v="0.43099999999999999"/>
    <n v="129.04"/>
    <n v="4"/>
    <n v="218707"/>
    <n v="4"/>
    <n v="218707"/>
    <n v="4"/>
    <n v="218707"/>
    <x v="1"/>
    <x v="1"/>
  </r>
  <r>
    <x v="2"/>
    <n v="140400"/>
    <x v="362"/>
    <x v="299"/>
    <x v="26"/>
    <s v="So Dark The Con Of Man"/>
    <n v="70"/>
    <x v="233"/>
    <x v="11"/>
    <n v="-5.1440000000000001"/>
    <x v="0"/>
    <n v="4"/>
    <n v="5.7000000000000002E-2"/>
    <n v="2.7099999999999999E-2"/>
    <n v="0"/>
    <x v="268"/>
    <n v="0.44500000000000001"/>
    <n v="129.023"/>
    <n v="4"/>
    <n v="216147"/>
    <n v="4"/>
    <n v="216147"/>
    <n v="4"/>
    <n v="216147"/>
    <x v="1"/>
    <x v="1"/>
  </r>
  <r>
    <x v="3"/>
    <n v="138900"/>
    <x v="363"/>
    <x v="156"/>
    <x v="43"/>
    <n v="1989"/>
    <n v="78"/>
    <x v="266"/>
    <x v="280"/>
    <n v="-7.4169999999999998"/>
    <x v="1"/>
    <n v="8"/>
    <n v="7.4099999999999999E-2"/>
    <n v="7.0900000000000005E-2"/>
    <n v="5.5999999999999999E-3"/>
    <x v="83"/>
    <n v="0.46700000000000003"/>
    <n v="140.06"/>
    <n v="4"/>
    <n v="220440"/>
    <n v="4"/>
    <n v="220440"/>
    <n v="4"/>
    <n v="220440"/>
    <x v="1"/>
    <x v="1"/>
  </r>
  <r>
    <x v="3"/>
    <n v="138100"/>
    <x v="364"/>
    <x v="300"/>
    <x v="32"/>
    <s v="MKTO"/>
    <n v="64"/>
    <x v="219"/>
    <x v="175"/>
    <n v="-4.6859999999999999"/>
    <x v="1"/>
    <n v="1"/>
    <n v="0.125"/>
    <n v="3.8300000000000001E-2"/>
    <n v="0"/>
    <x v="61"/>
    <n v="0.755"/>
    <n v="102.068"/>
    <n v="4"/>
    <n v="175427"/>
    <n v="4"/>
    <n v="175427"/>
    <n v="4"/>
    <n v="175427"/>
    <x v="1"/>
    <x v="1"/>
  </r>
  <r>
    <x v="0"/>
    <n v="137700"/>
    <x v="365"/>
    <x v="301"/>
    <x v="5"/>
    <s v="Nothing Happens"/>
    <n v="79"/>
    <x v="264"/>
    <x v="124"/>
    <n v="-6.444"/>
    <x v="0"/>
    <n v="8"/>
    <n v="2.87E-2"/>
    <n v="0.156"/>
    <n v="2.3200000000000001E-5"/>
    <x v="236"/>
    <n v="0.64"/>
    <n v="120.023"/>
    <n v="4"/>
    <n v="178000"/>
    <n v="4"/>
    <n v="178000"/>
    <n v="4"/>
    <n v="178000"/>
    <x v="1"/>
    <x v="1"/>
  </r>
  <r>
    <x v="2"/>
    <n v="137400"/>
    <x v="366"/>
    <x v="302"/>
    <x v="1"/>
    <s v="Metro Station"/>
    <n v="68"/>
    <x v="267"/>
    <x v="128"/>
    <n v="-3.8359999999999999"/>
    <x v="1"/>
    <n v="4"/>
    <n v="7.9799999999999996E-2"/>
    <n v="2.2100000000000002E-3"/>
    <n v="3.0900000000000001E-6"/>
    <x v="269"/>
    <n v="0.79"/>
    <n v="150.03399999999999"/>
    <n v="4"/>
    <n v="179947"/>
    <n v="4"/>
    <n v="179947"/>
    <n v="4"/>
    <n v="179947"/>
    <x v="1"/>
    <x v="1"/>
  </r>
  <r>
    <x v="3"/>
    <n v="134800"/>
    <x v="367"/>
    <x v="303"/>
    <x v="24"/>
    <s v="Bop City"/>
    <n v="56"/>
    <x v="268"/>
    <x v="281"/>
    <n v="-6.0970000000000004"/>
    <x v="1"/>
    <n v="5"/>
    <n v="4.5100000000000001E-2"/>
    <n v="0.62"/>
    <n v="7.7299999999999999E-3"/>
    <x v="56"/>
    <n v="0.61499999999999999"/>
    <n v="106.824"/>
    <n v="5"/>
    <n v="175777"/>
    <n v="5"/>
    <n v="175777"/>
    <n v="5"/>
    <n v="175777"/>
    <x v="1"/>
    <x v="1"/>
  </r>
  <r>
    <x v="1"/>
    <n v="134200"/>
    <x v="368"/>
    <x v="304"/>
    <x v="15"/>
    <s v="Better Days (NEIKED x Mae Muller x Polo G)"/>
    <n v="83"/>
    <x v="269"/>
    <x v="262"/>
    <n v="-5.077"/>
    <x v="0"/>
    <n v="0"/>
    <n v="3.3700000000000001E-2"/>
    <n v="1.8E-3"/>
    <n v="2.5399999999999998E-6"/>
    <x v="94"/>
    <n v="0.69899999999999995"/>
    <n v="110.054"/>
    <n v="4"/>
    <n v="160657"/>
    <n v="4"/>
    <n v="160657"/>
    <n v="4"/>
    <n v="160657"/>
    <x v="1"/>
    <x v="1"/>
  </r>
  <r>
    <x v="0"/>
    <n v="133300"/>
    <x v="369"/>
    <x v="251"/>
    <x v="10"/>
    <s v="Currents"/>
    <n v="84"/>
    <x v="41"/>
    <x v="25"/>
    <n v="-4.0830000000000002"/>
    <x v="1"/>
    <n v="4"/>
    <n v="2.8400000000000002E-2"/>
    <n v="1.15E-2"/>
    <n v="6.7799999999999996E-3"/>
    <x v="207"/>
    <n v="0.78500000000000003"/>
    <n v="116.879"/>
    <n v="4"/>
    <n v="216320"/>
    <n v="4"/>
    <n v="216320"/>
    <n v="4"/>
    <n v="216320"/>
    <x v="1"/>
    <x v="1"/>
  </r>
  <r>
    <x v="1"/>
    <n v="133200"/>
    <x v="369"/>
    <x v="251"/>
    <x v="10"/>
    <s v="Currents"/>
    <n v="84"/>
    <x v="41"/>
    <x v="25"/>
    <n v="-4.0830000000000002"/>
    <x v="1"/>
    <n v="4"/>
    <n v="2.8400000000000002E-2"/>
    <n v="1.15E-2"/>
    <n v="6.7799999999999996E-3"/>
    <x v="207"/>
    <n v="0.78500000000000003"/>
    <n v="116.879"/>
    <n v="4"/>
    <n v="216320"/>
    <n v="4"/>
    <n v="216320"/>
    <n v="4"/>
    <n v="216320"/>
    <x v="1"/>
    <x v="1"/>
  </r>
  <r>
    <x v="3"/>
    <n v="131000"/>
    <x v="370"/>
    <x v="75"/>
    <x v="41"/>
    <s v="Get Weird (Expanded Edition)"/>
    <n v="61"/>
    <x v="270"/>
    <x v="282"/>
    <n v="-5.7809999999999997"/>
    <x v="1"/>
    <n v="7"/>
    <n v="4.8300000000000003E-2"/>
    <n v="6.28E-3"/>
    <n v="1.5E-6"/>
    <x v="270"/>
    <n v="0.72699999999999998"/>
    <n v="153.98400000000001"/>
    <n v="4"/>
    <n v="235127"/>
    <n v="4"/>
    <n v="235127"/>
    <n v="4"/>
    <n v="235127"/>
    <x v="1"/>
    <x v="1"/>
  </r>
  <r>
    <x v="0"/>
    <n v="130200"/>
    <x v="371"/>
    <x v="305"/>
    <x v="26"/>
    <s v="Needs"/>
    <n v="68"/>
    <x v="44"/>
    <x v="109"/>
    <n v="-7.5519999999999996"/>
    <x v="0"/>
    <n v="11"/>
    <n v="0.11600000000000001"/>
    <n v="0.189"/>
    <n v="2.0000000000000001E-4"/>
    <x v="271"/>
    <n v="0.85499999999999998"/>
    <n v="118.98099999999999"/>
    <n v="4"/>
    <n v="177479"/>
    <n v="4"/>
    <n v="177479"/>
    <n v="4"/>
    <n v="177479"/>
    <x v="1"/>
    <x v="1"/>
  </r>
  <r>
    <x v="2"/>
    <n v="130200"/>
    <x v="372"/>
    <x v="306"/>
    <x v="32"/>
    <s v="If the World Was Ending (feat. Julia Michaels)"/>
    <n v="78"/>
    <x v="271"/>
    <x v="283"/>
    <n v="-10.086"/>
    <x v="1"/>
    <n v="1"/>
    <n v="0.129"/>
    <n v="0.86599999999999999"/>
    <n v="0"/>
    <x v="51"/>
    <n v="0.60399999999999998"/>
    <n v="75.801000000000002"/>
    <n v="4"/>
    <n v="208687"/>
    <n v="4"/>
    <n v="208687"/>
    <n v="4"/>
    <n v="208687"/>
    <x v="1"/>
    <x v="1"/>
  </r>
  <r>
    <x v="2"/>
    <n v="130000"/>
    <x v="371"/>
    <x v="305"/>
    <x v="26"/>
    <s v="Needs"/>
    <n v="68"/>
    <x v="44"/>
    <x v="109"/>
    <n v="-7.5519999999999996"/>
    <x v="0"/>
    <n v="11"/>
    <n v="0.11600000000000001"/>
    <n v="0.189"/>
    <n v="2.0000000000000001E-4"/>
    <x v="271"/>
    <n v="0.85499999999999998"/>
    <n v="118.98099999999999"/>
    <n v="4"/>
    <n v="177479"/>
    <n v="4"/>
    <n v="177479"/>
    <n v="4"/>
    <n v="177479"/>
    <x v="1"/>
    <x v="1"/>
  </r>
  <r>
    <x v="2"/>
    <n v="129900"/>
    <x v="373"/>
    <x v="263"/>
    <x v="57"/>
    <s v="Yung Gravity - EP"/>
    <n v="58"/>
    <x v="272"/>
    <x v="284"/>
    <n v="-6.4889999999999999"/>
    <x v="0"/>
    <n v="6"/>
    <n v="0.16"/>
    <n v="0.24299999999999999"/>
    <n v="4.1100000000000003E-5"/>
    <x v="51"/>
    <n v="0.68500000000000005"/>
    <n v="104.92400000000001"/>
    <n v="4"/>
    <n v="184000"/>
    <n v="4"/>
    <n v="184000"/>
    <n v="4"/>
    <n v="184000"/>
    <x v="1"/>
    <x v="1"/>
  </r>
  <r>
    <x v="2"/>
    <n v="129200"/>
    <x v="374"/>
    <x v="307"/>
    <x v="20"/>
    <s v="Girl Code"/>
    <n v="67"/>
    <x v="273"/>
    <x v="285"/>
    <n v="-4.7130000000000001"/>
    <x v="1"/>
    <n v="8"/>
    <n v="0.189"/>
    <n v="1.67E-2"/>
    <n v="0"/>
    <x v="69"/>
    <n v="0.313"/>
    <n v="97.075000000000003"/>
    <n v="4"/>
    <n v="158332"/>
    <n v="4"/>
    <n v="158332"/>
    <n v="4"/>
    <n v="158332"/>
    <x v="1"/>
    <x v="1"/>
  </r>
  <r>
    <x v="1"/>
    <n v="125800"/>
    <x v="375"/>
    <x v="308"/>
    <x v="0"/>
    <s v="Left and Right (Charlie Puth) [feat. Jung Kook of BTS] [Sped Up Version]"/>
    <n v="58"/>
    <x v="274"/>
    <x v="286"/>
    <n v="-9.2460000000000004"/>
    <x v="1"/>
    <n v="5"/>
    <n v="9.4200000000000006E-2"/>
    <n v="0.622"/>
    <n v="9.7899999999999994E-5"/>
    <x v="51"/>
    <n v="0.68899999999999995"/>
    <n v="114.26900000000001"/>
    <n v="4"/>
    <n v="135978"/>
    <n v="4"/>
    <n v="135978"/>
    <n v="4"/>
    <n v="135978"/>
    <x v="1"/>
    <x v="1"/>
  </r>
  <r>
    <x v="3"/>
    <n v="125400"/>
    <x v="376"/>
    <x v="309"/>
    <x v="21"/>
    <s v="What A Shame"/>
    <n v="74"/>
    <x v="13"/>
    <x v="190"/>
    <n v="-7.8280000000000003"/>
    <x v="1"/>
    <n v="0"/>
    <n v="0.47499999999999998"/>
    <n v="0.315"/>
    <n v="0"/>
    <x v="272"/>
    <n v="0.56499999999999995"/>
    <n v="143.99"/>
    <n v="4"/>
    <n v="177200"/>
    <n v="4"/>
    <n v="177200"/>
    <n v="4"/>
    <n v="177200"/>
    <x v="1"/>
    <x v="1"/>
  </r>
  <r>
    <x v="0"/>
    <n v="123000"/>
    <x v="377"/>
    <x v="35"/>
    <x v="3"/>
    <s v="Cannibal (Expanded Edition)"/>
    <n v="60"/>
    <x v="25"/>
    <x v="287"/>
    <n v="-3.891"/>
    <x v="1"/>
    <n v="0"/>
    <n v="5.0799999999999998E-2"/>
    <n v="1.54E-2"/>
    <n v="3.4099999999999999E-4"/>
    <x v="179"/>
    <n v="0.89200000000000002"/>
    <n v="120.011"/>
    <n v="4"/>
    <n v="208867"/>
    <n v="4"/>
    <n v="208867"/>
    <n v="4"/>
    <n v="208867"/>
    <x v="1"/>
    <x v="2"/>
  </r>
  <r>
    <x v="0"/>
    <n v="121300"/>
    <x v="378"/>
    <x v="310"/>
    <x v="27"/>
    <s v="Superorganism"/>
    <n v="58"/>
    <x v="275"/>
    <x v="288"/>
    <n v="-4.3170000000000002"/>
    <x v="1"/>
    <n v="2"/>
    <n v="0.13100000000000001"/>
    <n v="0.13200000000000001"/>
    <n v="1.17E-3"/>
    <x v="273"/>
    <n v="0.66400000000000003"/>
    <n v="140.096"/>
    <n v="4"/>
    <n v="165391"/>
    <n v="4"/>
    <n v="165391"/>
    <n v="4"/>
    <n v="165391"/>
    <x v="1"/>
    <x v="2"/>
  </r>
  <r>
    <x v="3"/>
    <n v="120400"/>
    <x v="379"/>
    <x v="311"/>
    <x v="0"/>
    <s v="Panda"/>
    <n v="67"/>
    <x v="276"/>
    <x v="165"/>
    <n v="-5.5030000000000001"/>
    <x v="0"/>
    <n v="10"/>
    <n v="0.41399999999999998"/>
    <n v="2.92E-2"/>
    <n v="0"/>
    <x v="274"/>
    <n v="0.26600000000000001"/>
    <n v="145.245"/>
    <n v="4"/>
    <n v="247867"/>
    <n v="4"/>
    <n v="247867"/>
    <n v="4"/>
    <n v="247867"/>
    <x v="1"/>
    <x v="2"/>
  </r>
  <r>
    <x v="0"/>
    <n v="117300"/>
    <x v="380"/>
    <x v="114"/>
    <x v="6"/>
    <s v="Hi, It's Me"/>
    <n v="58"/>
    <x v="277"/>
    <x v="289"/>
    <n v="-7.5369999999999999"/>
    <x v="0"/>
    <n v="3"/>
    <n v="5.6300000000000003E-2"/>
    <n v="3.7400000000000003E-2"/>
    <n v="0"/>
    <x v="77"/>
    <n v="0.45400000000000001"/>
    <n v="102.023"/>
    <n v="4"/>
    <n v="177866"/>
    <n v="4"/>
    <n v="177866"/>
    <n v="4"/>
    <n v="177866"/>
    <x v="1"/>
    <x v="2"/>
  </r>
  <r>
    <x v="1"/>
    <n v="115500"/>
    <x v="381"/>
    <x v="263"/>
    <x v="57"/>
    <s v="Betty (Get Money)"/>
    <n v="87"/>
    <x v="278"/>
    <x v="290"/>
    <n v="-6.7839999999999998"/>
    <x v="1"/>
    <n v="1"/>
    <n v="7.9200000000000007E-2"/>
    <n v="5.2399999999999999E-3"/>
    <n v="1.15E-5"/>
    <x v="68"/>
    <n v="0.57999999999999996"/>
    <n v="102.004"/>
    <n v="4"/>
    <n v="146471"/>
    <n v="4"/>
    <n v="146471"/>
    <n v="4"/>
    <n v="146471"/>
    <x v="1"/>
    <x v="2"/>
  </r>
  <r>
    <x v="3"/>
    <n v="111400"/>
    <x v="382"/>
    <x v="312"/>
    <x v="14"/>
    <s v="Future Friends"/>
    <n v="76"/>
    <x v="74"/>
    <x v="291"/>
    <n v="-4.601"/>
    <x v="0"/>
    <n v="4"/>
    <n v="5.0799999999999998E-2"/>
    <n v="3.0499999999999999E-2"/>
    <n v="0"/>
    <x v="249"/>
    <n v="0.88900000000000001"/>
    <n v="110.011"/>
    <n v="4"/>
    <n v="222680"/>
    <n v="4"/>
    <n v="222680"/>
    <n v="4"/>
    <n v="222680"/>
    <x v="1"/>
    <x v="2"/>
  </r>
  <r>
    <x v="1"/>
    <n v="110500"/>
    <x v="383"/>
    <x v="313"/>
    <x v="8"/>
    <s v="Enemy (with JID) [from the series Arcane League of Legends]"/>
    <n v="87"/>
    <x v="15"/>
    <x v="292"/>
    <n v="-4.4240000000000004"/>
    <x v="0"/>
    <n v="11"/>
    <n v="0.26600000000000001"/>
    <n v="0.23699999999999999"/>
    <n v="0"/>
    <x v="275"/>
    <n v="0.55500000000000005"/>
    <n v="77.010999999999996"/>
    <n v="4"/>
    <n v="173381"/>
    <n v="4"/>
    <n v="173381"/>
    <n v="4"/>
    <n v="173381"/>
    <x v="1"/>
    <x v="2"/>
  </r>
  <r>
    <x v="0"/>
    <n v="108000"/>
    <x v="384"/>
    <x v="314"/>
    <x v="21"/>
    <s v="Intro Bonito"/>
    <n v="68"/>
    <x v="279"/>
    <x v="293"/>
    <n v="-7.0510000000000002"/>
    <x v="1"/>
    <n v="10"/>
    <n v="4.9599999999999998E-2"/>
    <n v="1.0699999999999999E-2"/>
    <n v="0.36199999999999999"/>
    <x v="10"/>
    <n v="0.85499999999999998"/>
    <n v="142.065"/>
    <n v="4"/>
    <n v="115352"/>
    <n v="4"/>
    <n v="115352"/>
    <n v="4"/>
    <n v="115352"/>
    <x v="1"/>
    <x v="2"/>
  </r>
  <r>
    <x v="1"/>
    <n v="106300"/>
    <x v="385"/>
    <x v="315"/>
    <x v="17"/>
    <s v="RAPSTAR"/>
    <n v="49"/>
    <x v="217"/>
    <x v="294"/>
    <n v="-6.8620000000000001"/>
    <x v="1"/>
    <n v="6"/>
    <n v="0.24199999999999999"/>
    <n v="0.41"/>
    <n v="0"/>
    <x v="130"/>
    <n v="0.437"/>
    <n v="81.039000000000001"/>
    <n v="4"/>
    <n v="165926"/>
    <n v="4"/>
    <n v="165926"/>
    <n v="4"/>
    <n v="165926"/>
    <x v="1"/>
    <x v="2"/>
  </r>
  <r>
    <x v="2"/>
    <n v="105800"/>
    <x v="386"/>
    <x v="316"/>
    <x v="0"/>
    <s v="I Can't Handle Change"/>
    <n v="80"/>
    <x v="280"/>
    <x v="200"/>
    <n v="-8.4779999999999998"/>
    <x v="1"/>
    <n v="5"/>
    <n v="3.5799999999999998E-2"/>
    <n v="4.4699999999999997E-2"/>
    <n v="8.6700000000000004E-4"/>
    <x v="69"/>
    <n v="0.39"/>
    <n v="185.71100000000001"/>
    <n v="3"/>
    <n v="198213"/>
    <n v="3"/>
    <n v="198213"/>
    <n v="3"/>
    <n v="198213"/>
    <x v="1"/>
    <x v="2"/>
  </r>
  <r>
    <x v="3"/>
    <n v="105300"/>
    <x v="387"/>
    <x v="317"/>
    <x v="23"/>
    <s v="The Rising Tied"/>
    <n v="61"/>
    <x v="281"/>
    <x v="268"/>
    <n v="-3.3090000000000002"/>
    <x v="0"/>
    <n v="1"/>
    <n v="0.23799999999999999"/>
    <n v="0.26200000000000001"/>
    <n v="1.97E-3"/>
    <x v="18"/>
    <n v="0.25"/>
    <n v="179.999"/>
    <n v="4"/>
    <n v="231867"/>
    <n v="4"/>
    <n v="231867"/>
    <n v="4"/>
    <n v="231867"/>
    <x v="1"/>
    <x v="2"/>
  </r>
  <r>
    <x v="0"/>
    <n v="104400"/>
    <x v="388"/>
    <x v="318"/>
    <x v="15"/>
    <s v="Static"/>
    <n v="80"/>
    <x v="282"/>
    <x v="274"/>
    <n v="-5.93"/>
    <x v="1"/>
    <n v="8"/>
    <n v="4.8500000000000001E-2"/>
    <n v="1.81E-3"/>
    <n v="0.28100000000000003"/>
    <x v="276"/>
    <n v="0.36"/>
    <n v="163.37799999999999"/>
    <n v="4"/>
    <n v="223747"/>
    <n v="4"/>
    <n v="223747"/>
    <n v="4"/>
    <n v="223747"/>
    <x v="1"/>
    <x v="2"/>
  </r>
  <r>
    <x v="2"/>
    <n v="103400"/>
    <x v="389"/>
    <x v="319"/>
    <x v="32"/>
    <s v="Wild Heart"/>
    <n v="3"/>
    <x v="183"/>
    <x v="216"/>
    <n v="-16.065999999999999"/>
    <x v="1"/>
    <n v="9"/>
    <n v="3.8300000000000001E-2"/>
    <n v="0.88700000000000001"/>
    <n v="0.5"/>
    <x v="277"/>
    <n v="0.69799999999999995"/>
    <n v="165.86099999999999"/>
    <n v="4"/>
    <n v="167987"/>
    <n v="4"/>
    <n v="167987"/>
    <n v="4"/>
    <n v="167987"/>
    <x v="1"/>
    <x v="2"/>
  </r>
  <r>
    <x v="3"/>
    <n v="103000"/>
    <x v="390"/>
    <x v="320"/>
    <x v="38"/>
    <s v="Apollo"/>
    <n v="61"/>
    <x v="283"/>
    <x v="120"/>
    <n v="-6.33"/>
    <x v="1"/>
    <n v="1"/>
    <n v="9.9400000000000002E-2"/>
    <n v="0.11700000000000001"/>
    <n v="0"/>
    <x v="69"/>
    <n v="0.32500000000000001"/>
    <n v="103.30800000000001"/>
    <n v="4"/>
    <n v="150340"/>
    <n v="4"/>
    <n v="150340"/>
    <n v="4"/>
    <n v="150340"/>
    <x v="1"/>
    <x v="2"/>
  </r>
  <r>
    <x v="0"/>
    <n v="102900"/>
    <x v="391"/>
    <x v="111"/>
    <x v="36"/>
    <s v="Please Excuse Me for Being Antisocial"/>
    <n v="73"/>
    <x v="30"/>
    <x v="295"/>
    <n v="-8.4420000000000002"/>
    <x v="0"/>
    <n v="11"/>
    <n v="0.114"/>
    <n v="0.26900000000000002"/>
    <n v="0"/>
    <x v="278"/>
    <n v="0.51100000000000001"/>
    <n v="97.956000000000003"/>
    <n v="4"/>
    <n v="220487"/>
    <n v="4"/>
    <n v="220487"/>
    <n v="4"/>
    <n v="220487"/>
    <x v="1"/>
    <x v="2"/>
  </r>
  <r>
    <x v="2"/>
    <n v="101400"/>
    <x v="392"/>
    <x v="321"/>
    <x v="19"/>
    <s v="The Drug In Me Is You"/>
    <n v="64"/>
    <x v="172"/>
    <x v="296"/>
    <n v="-2.5920000000000001"/>
    <x v="1"/>
    <n v="3"/>
    <n v="0.122"/>
    <n v="2.23E-2"/>
    <n v="0"/>
    <x v="279"/>
    <n v="0.61099999999999999"/>
    <n v="146.46"/>
    <n v="4"/>
    <n v="195373"/>
    <n v="4"/>
    <n v="195373"/>
    <n v="4"/>
    <n v="195373"/>
    <x v="1"/>
    <x v="2"/>
  </r>
  <r>
    <x v="0"/>
    <n v="101000"/>
    <x v="393"/>
    <x v="114"/>
    <x v="6"/>
    <s v="DEMIDEVIL"/>
    <n v="71"/>
    <x v="50"/>
    <x v="297"/>
    <n v="-6.1429999999999998"/>
    <x v="1"/>
    <n v="8"/>
    <n v="0.13300000000000001"/>
    <n v="0.23499999999999999"/>
    <n v="0"/>
    <x v="41"/>
    <n v="0.77400000000000002"/>
    <n v="121.876"/>
    <n v="4"/>
    <n v="146523"/>
    <n v="4"/>
    <n v="146523"/>
    <n v="4"/>
    <n v="146523"/>
    <x v="1"/>
    <x v="2"/>
  </r>
  <r>
    <x v="2"/>
    <n v="100000"/>
    <x v="394"/>
    <x v="322"/>
    <x v="55"/>
    <s v="The Truth About Love"/>
    <n v="80"/>
    <x v="16"/>
    <x v="56"/>
    <n v="-7.2729999999999997"/>
    <x v="1"/>
    <n v="2"/>
    <n v="4.8899999999999999E-2"/>
    <n v="0.34599999999999997"/>
    <n v="3.0200000000000002E-4"/>
    <x v="113"/>
    <n v="0.441"/>
    <n v="95.001999999999995"/>
    <n v="4"/>
    <n v="242733"/>
    <n v="4"/>
    <n v="242733"/>
    <n v="4"/>
    <n v="242733"/>
    <x v="1"/>
    <x v="2"/>
  </r>
  <r>
    <x v="1"/>
    <n v="99500"/>
    <x v="395"/>
    <x v="22"/>
    <x v="2"/>
    <s v="Good Days"/>
    <n v="81"/>
    <x v="284"/>
    <x v="298"/>
    <n v="-8.3699999999999992"/>
    <x v="0"/>
    <n v="1"/>
    <n v="5.8299999999999998E-2"/>
    <n v="0.499"/>
    <n v="8.1000000000000004E-6"/>
    <x v="280"/>
    <n v="0.41199999999999998"/>
    <n v="121.002"/>
    <n v="4"/>
    <n v="279204"/>
    <n v="4"/>
    <n v="279204"/>
    <n v="4"/>
    <n v="279204"/>
    <x v="1"/>
    <x v="2"/>
  </r>
  <r>
    <x v="3"/>
    <n v="99400"/>
    <x v="396"/>
    <x v="323"/>
    <x v="54"/>
    <s v="American Teen"/>
    <n v="80"/>
    <x v="152"/>
    <x v="192"/>
    <n v="-6.351"/>
    <x v="1"/>
    <n v="1"/>
    <n v="4.2099999999999999E-2"/>
    <n v="0.19900000000000001"/>
    <n v="1.66E-5"/>
    <x v="34"/>
    <n v="0.39400000000000002"/>
    <n v="136.94800000000001"/>
    <n v="4"/>
    <n v="202547"/>
    <n v="4"/>
    <n v="202547"/>
    <n v="4"/>
    <n v="202547"/>
    <x v="1"/>
    <x v="2"/>
  </r>
  <r>
    <x v="3"/>
    <n v="99400"/>
    <x v="395"/>
    <x v="22"/>
    <x v="2"/>
    <s v="Good Days"/>
    <n v="81"/>
    <x v="284"/>
    <x v="298"/>
    <n v="-8.3699999999999992"/>
    <x v="0"/>
    <n v="1"/>
    <n v="5.8299999999999998E-2"/>
    <n v="0.499"/>
    <n v="8.1000000000000004E-6"/>
    <x v="280"/>
    <n v="0.41199999999999998"/>
    <n v="121.002"/>
    <n v="4"/>
    <n v="279204"/>
    <n v="4"/>
    <n v="279204"/>
    <n v="4"/>
    <n v="279204"/>
    <x v="1"/>
    <x v="2"/>
  </r>
  <r>
    <x v="0"/>
    <n v="99200"/>
    <x v="397"/>
    <x v="35"/>
    <x v="3"/>
    <s v="Animal (Expanded Edition)"/>
    <n v="69"/>
    <x v="249"/>
    <x v="209"/>
    <n v="-5.2919999999999998"/>
    <x v="0"/>
    <n v="5"/>
    <n v="2.86E-2"/>
    <n v="4.1399999999999997E-5"/>
    <n v="1.2600000000000001E-3"/>
    <x v="90"/>
    <n v="0.74"/>
    <n v="125.036"/>
    <n v="4"/>
    <n v="215200"/>
    <n v="4"/>
    <n v="215200"/>
    <n v="4"/>
    <n v="215200"/>
    <x v="1"/>
    <x v="2"/>
  </r>
  <r>
    <x v="0"/>
    <n v="97800"/>
    <x v="398"/>
    <x v="324"/>
    <x v="16"/>
    <s v="Pocketful Of Sunshine"/>
    <n v="69"/>
    <x v="285"/>
    <x v="299"/>
    <n v="-3.8959999999999999"/>
    <x v="0"/>
    <n v="9"/>
    <n v="4.5400000000000003E-2"/>
    <n v="0.191"/>
    <n v="0"/>
    <x v="281"/>
    <n v="0.65500000000000003"/>
    <n v="110.021"/>
    <n v="4"/>
    <n v="202907"/>
    <n v="4"/>
    <n v="202907"/>
    <n v="4"/>
    <n v="202907"/>
    <x v="1"/>
    <x v="2"/>
  </r>
  <r>
    <x v="1"/>
    <n v="97700"/>
    <x v="399"/>
    <x v="126"/>
    <x v="2"/>
    <s v="Familia"/>
    <n v="83"/>
    <x v="286"/>
    <x v="300"/>
    <n v="-6.3769999999999998"/>
    <x v="1"/>
    <n v="8"/>
    <n v="4.0099999999999997E-2"/>
    <n v="0.182"/>
    <n v="0"/>
    <x v="282"/>
    <n v="0.95599999999999996"/>
    <n v="94.995999999999995"/>
    <n v="4"/>
    <n v="206071"/>
    <n v="4"/>
    <n v="206071"/>
    <n v="4"/>
    <n v="206071"/>
    <x v="1"/>
    <x v="2"/>
  </r>
  <r>
    <x v="0"/>
    <n v="97300"/>
    <x v="400"/>
    <x v="325"/>
    <x v="53"/>
    <s v="Yeezus"/>
    <n v="83"/>
    <x v="287"/>
    <x v="301"/>
    <n v="-2.8210000000000002"/>
    <x v="1"/>
    <n v="1"/>
    <n v="4.65E-2"/>
    <n v="0.14499999999999999"/>
    <n v="0"/>
    <x v="18"/>
    <n v="0.31"/>
    <n v="148.91300000000001"/>
    <n v="4"/>
    <n v="229147"/>
    <n v="4"/>
    <n v="229147"/>
    <n v="4"/>
    <n v="229147"/>
    <x v="1"/>
    <x v="2"/>
  </r>
  <r>
    <x v="2"/>
    <n v="97100"/>
    <x v="401"/>
    <x v="326"/>
    <x v="20"/>
    <s v="Making Mirrors (Deluxe)"/>
    <n v="52"/>
    <x v="25"/>
    <x v="123"/>
    <n v="-6.9550000000000001"/>
    <x v="1"/>
    <n v="0"/>
    <n v="3.6299999999999999E-2"/>
    <n v="0.59899999999999998"/>
    <n v="1.37E-4"/>
    <x v="283"/>
    <n v="0.73499999999999999"/>
    <n v="129.04499999999999"/>
    <n v="4"/>
    <n v="244885"/>
    <n v="4"/>
    <n v="244885"/>
    <n v="4"/>
    <n v="244885"/>
    <x v="1"/>
    <x v="2"/>
  </r>
  <r>
    <x v="3"/>
    <n v="96800"/>
    <x v="402"/>
    <x v="147"/>
    <x v="41"/>
    <s v="SG (with Ozuna, Megan Thee Stallion &amp; LISA of BLACKPINK)"/>
    <n v="76"/>
    <x v="288"/>
    <x v="302"/>
    <n v="-2.8069999999999999"/>
    <x v="0"/>
    <n v="6"/>
    <n v="4.9099999999999998E-2"/>
    <n v="4.0600000000000002E-3"/>
    <n v="3.13E-3"/>
    <x v="9"/>
    <n v="0.70199999999999996"/>
    <n v="100.015"/>
    <n v="4"/>
    <n v="225600"/>
    <n v="4"/>
    <n v="225600"/>
    <n v="4"/>
    <n v="225600"/>
    <x v="1"/>
    <x v="2"/>
  </r>
  <r>
    <x v="1"/>
    <n v="89500"/>
    <x v="403"/>
    <x v="157"/>
    <x v="2"/>
    <s v="KIRK"/>
    <n v="76"/>
    <x v="134"/>
    <x v="87"/>
    <n v="-3.9089999999999998"/>
    <x v="1"/>
    <n v="11"/>
    <n v="0.36699999999999999"/>
    <n v="0.189"/>
    <n v="0"/>
    <x v="130"/>
    <n v="0.83599999999999997"/>
    <n v="126.77"/>
    <n v="4"/>
    <n v="159715"/>
    <n v="4"/>
    <n v="159715"/>
    <n v="4"/>
    <n v="159715"/>
    <x v="1"/>
    <x v="2"/>
  </r>
  <r>
    <x v="3"/>
    <n v="88300"/>
    <x v="404"/>
    <x v="327"/>
    <x v="18"/>
    <s v="Nellyville"/>
    <n v="77"/>
    <x v="32"/>
    <x v="303"/>
    <n v="-8.0739999999999998"/>
    <x v="0"/>
    <n v="2"/>
    <n v="0.14000000000000001"/>
    <n v="0.22700000000000001"/>
    <n v="1.64E-4"/>
    <x v="276"/>
    <n v="0.60699999999999998"/>
    <n v="168.18899999999999"/>
    <n v="4"/>
    <n v="289160"/>
    <n v="4"/>
    <n v="289160"/>
    <n v="4"/>
    <n v="289160"/>
    <x v="1"/>
    <x v="2"/>
  </r>
  <r>
    <x v="0"/>
    <n v="87500"/>
    <x v="405"/>
    <x v="85"/>
    <x v="12"/>
    <s v="7 EP"/>
    <n v="68"/>
    <x v="103"/>
    <x v="304"/>
    <n v="-5.6139999999999999"/>
    <x v="1"/>
    <n v="9"/>
    <n v="3.2399999999999998E-2"/>
    <n v="0.13900000000000001"/>
    <n v="6.9800000000000003E-5"/>
    <x v="284"/>
    <n v="0.65700000000000003"/>
    <n v="140.08099999999999"/>
    <n v="4"/>
    <n v="158707"/>
    <n v="4"/>
    <n v="158707"/>
    <n v="4"/>
    <n v="158707"/>
    <x v="1"/>
    <x v="2"/>
  </r>
  <r>
    <x v="1"/>
    <n v="87200"/>
    <x v="406"/>
    <x v="33"/>
    <x v="2"/>
    <s v="The Motto"/>
    <n v="87"/>
    <x v="72"/>
    <x v="305"/>
    <n v="-4.6269999999999998"/>
    <x v="0"/>
    <n v="7"/>
    <n v="4.3499999999999997E-2"/>
    <n v="3.0099999999999998E-2"/>
    <n v="2.23E-5"/>
    <x v="285"/>
    <n v="0.46400000000000002"/>
    <n v="117.953"/>
    <n v="4"/>
    <n v="164819"/>
    <n v="4"/>
    <n v="164819"/>
    <n v="4"/>
    <n v="164819"/>
    <x v="1"/>
    <x v="2"/>
  </r>
  <r>
    <x v="3"/>
    <n v="84800"/>
    <x v="407"/>
    <x v="328"/>
    <x v="57"/>
    <s v="Paramore"/>
    <n v="79"/>
    <x v="167"/>
    <x v="306"/>
    <n v="-3.7629999999999999"/>
    <x v="1"/>
    <n v="5"/>
    <n v="4.3999999999999997E-2"/>
    <n v="9.7999999999999997E-3"/>
    <n v="0"/>
    <x v="286"/>
    <n v="0.76500000000000001"/>
    <n v="136.01"/>
    <n v="4"/>
    <n v="216013"/>
    <n v="4"/>
    <n v="216013"/>
    <n v="4"/>
    <n v="216013"/>
    <x v="1"/>
    <x v="2"/>
  </r>
  <r>
    <x v="0"/>
    <n v="84800"/>
    <x v="407"/>
    <x v="328"/>
    <x v="57"/>
    <s v="Paramore"/>
    <n v="79"/>
    <x v="167"/>
    <x v="306"/>
    <n v="-3.7629999999999999"/>
    <x v="1"/>
    <n v="5"/>
    <n v="4.3999999999999997E-2"/>
    <n v="9.7999999999999997E-3"/>
    <n v="0"/>
    <x v="286"/>
    <n v="0.76500000000000001"/>
    <n v="136.01"/>
    <n v="4"/>
    <n v="216013"/>
    <n v="4"/>
    <n v="216013"/>
    <n v="4"/>
    <n v="216013"/>
    <x v="1"/>
    <x v="2"/>
  </r>
  <r>
    <x v="0"/>
    <n v="83400"/>
    <x v="408"/>
    <x v="329"/>
    <x v="67"/>
    <s v="She Belongs to the Streets (Toxic)"/>
    <n v="39"/>
    <x v="198"/>
    <x v="307"/>
    <n v="-15.773999999999999"/>
    <x v="1"/>
    <n v="1"/>
    <n v="0.90700000000000003"/>
    <n v="3.48E-3"/>
    <n v="0"/>
    <x v="171"/>
    <n v="0.32100000000000001"/>
    <n v="130.14500000000001"/>
    <n v="4"/>
    <n v="147697"/>
    <n v="4"/>
    <n v="147697"/>
    <n v="4"/>
    <n v="147697"/>
    <x v="1"/>
    <x v="2"/>
  </r>
  <r>
    <x v="2"/>
    <n v="83200"/>
    <x v="409"/>
    <x v="330"/>
    <x v="63"/>
    <s v="Annie (Original Motion Picture Soundtrack)"/>
    <n v="53"/>
    <x v="65"/>
    <x v="97"/>
    <n v="-5.3520000000000003"/>
    <x v="1"/>
    <n v="9"/>
    <n v="9.2399999999999996E-2"/>
    <n v="4.5199999999999997E-2"/>
    <n v="1.0500000000000001E-2"/>
    <x v="287"/>
    <n v="0.83599999999999997"/>
    <n v="163.91300000000001"/>
    <n v="4"/>
    <n v="130467"/>
    <n v="4"/>
    <n v="130467"/>
    <n v="4"/>
    <n v="130467"/>
    <x v="1"/>
    <x v="2"/>
  </r>
  <r>
    <x v="3"/>
    <n v="82700"/>
    <x v="410"/>
    <x v="87"/>
    <x v="43"/>
    <s v="Save Your Tears (Remix)"/>
    <n v="84"/>
    <x v="289"/>
    <x v="176"/>
    <n v="-4.6449999999999996"/>
    <x v="1"/>
    <n v="0"/>
    <n v="3.2500000000000001E-2"/>
    <n v="2.1499999999999998E-2"/>
    <n v="2.44E-5"/>
    <x v="24"/>
    <n v="0.59299999999999997"/>
    <n v="118.09099999999999"/>
    <n v="4"/>
    <n v="191014"/>
    <n v="4"/>
    <n v="191014"/>
    <n v="4"/>
    <n v="191014"/>
    <x v="1"/>
    <x v="2"/>
  </r>
  <r>
    <x v="0"/>
    <n v="81700"/>
    <x v="411"/>
    <x v="109"/>
    <x v="45"/>
    <s v="Fine Line"/>
    <n v="73"/>
    <x v="135"/>
    <x v="116"/>
    <n v="-7.2690000000000001"/>
    <x v="1"/>
    <n v="0"/>
    <n v="4.1799999999999997E-2"/>
    <n v="0.61799999999999999"/>
    <n v="1.6099999999999998E-5"/>
    <x v="25"/>
    <n v="0.60499999999999998"/>
    <n v="104.959"/>
    <n v="4"/>
    <n v="192080"/>
    <n v="4"/>
    <n v="192080"/>
    <n v="4"/>
    <n v="192080"/>
    <x v="1"/>
    <x v="2"/>
  </r>
  <r>
    <x v="0"/>
    <n v="81500"/>
    <x v="412"/>
    <x v="273"/>
    <x v="47"/>
    <s v="Slime &amp; B"/>
    <n v="77"/>
    <x v="290"/>
    <x v="144"/>
    <n v="-8.9320000000000004"/>
    <x v="0"/>
    <n v="0"/>
    <n v="0.14499999999999999"/>
    <n v="0.316"/>
    <n v="0"/>
    <x v="151"/>
    <n v="0.58099999999999996"/>
    <n v="94.147999999999996"/>
    <n v="4"/>
    <n v="176960"/>
    <n v="4"/>
    <n v="176960"/>
    <n v="4"/>
    <n v="176960"/>
    <x v="1"/>
    <x v="2"/>
  </r>
  <r>
    <x v="1"/>
    <n v="79000"/>
    <x v="413"/>
    <x v="331"/>
    <x v="33"/>
    <s v="Boys Ain't Shit"/>
    <n v="64"/>
    <x v="31"/>
    <x v="214"/>
    <n v="-4.7290000000000001"/>
    <x v="0"/>
    <n v="1"/>
    <n v="0.13700000000000001"/>
    <n v="0.435"/>
    <n v="6.3099999999999996E-3"/>
    <x v="288"/>
    <n v="0.84099999999999997"/>
    <n v="102.999"/>
    <n v="4"/>
    <n v="175884"/>
    <n v="4"/>
    <n v="175884"/>
    <n v="4"/>
    <n v="175884"/>
    <x v="1"/>
    <x v="2"/>
  </r>
  <r>
    <x v="0"/>
    <n v="78400"/>
    <x v="414"/>
    <x v="69"/>
    <x v="17"/>
    <s v="Addison Rae"/>
    <n v="59"/>
    <x v="291"/>
    <x v="23"/>
    <n v="-9.0990000000000002"/>
    <x v="0"/>
    <n v="5"/>
    <n v="0.129"/>
    <n v="1.55E-2"/>
    <n v="0"/>
    <x v="51"/>
    <n v="0.39700000000000002"/>
    <n v="135.01499999999999"/>
    <n v="4"/>
    <n v="163574"/>
    <n v="4"/>
    <n v="163574"/>
    <n v="4"/>
    <n v="163574"/>
    <x v="1"/>
    <x v="2"/>
  </r>
  <r>
    <x v="2"/>
    <n v="78400"/>
    <x v="415"/>
    <x v="156"/>
    <x v="43"/>
    <s v="Lover"/>
    <n v="76"/>
    <x v="102"/>
    <x v="262"/>
    <n v="-5.617"/>
    <x v="1"/>
    <n v="2"/>
    <n v="5.5300000000000002E-2"/>
    <n v="9.2899999999999996E-3"/>
    <n v="0"/>
    <x v="289"/>
    <n v="0.71399999999999997"/>
    <n v="85.025999999999996"/>
    <n v="4"/>
    <n v="171360"/>
    <n v="4"/>
    <n v="171360"/>
    <n v="4"/>
    <n v="171360"/>
    <x v="1"/>
    <x v="2"/>
  </r>
  <r>
    <x v="1"/>
    <n v="78300"/>
    <x v="416"/>
    <x v="332"/>
    <x v="60"/>
    <s v="Life Is Good (feat. Drake)"/>
    <n v="77"/>
    <x v="166"/>
    <x v="141"/>
    <n v="-5.8310000000000004"/>
    <x v="0"/>
    <n v="2"/>
    <n v="0.48099999999999998"/>
    <n v="7.0599999999999996E-2"/>
    <n v="0"/>
    <x v="29"/>
    <n v="0.50800000000000001"/>
    <n v="142.03700000000001"/>
    <n v="4"/>
    <n v="237735"/>
    <n v="4"/>
    <n v="237735"/>
    <n v="4"/>
    <n v="237735"/>
    <x v="1"/>
    <x v="2"/>
  </r>
  <r>
    <x v="3"/>
    <n v="77300"/>
    <x v="417"/>
    <x v="268"/>
    <x v="53"/>
    <s v="Justice"/>
    <n v="89"/>
    <x v="241"/>
    <x v="3"/>
    <n v="-5.569"/>
    <x v="1"/>
    <n v="2"/>
    <n v="4.7800000000000002E-2"/>
    <n v="0.185"/>
    <n v="2.9099999999999999E-5"/>
    <x v="290"/>
    <n v="0.441"/>
    <n v="153.96"/>
    <n v="4"/>
    <n v="153190"/>
    <n v="4"/>
    <n v="153190"/>
    <n v="4"/>
    <n v="153190"/>
    <x v="1"/>
    <x v="2"/>
  </r>
  <r>
    <x v="2"/>
    <n v="75500"/>
    <x v="418"/>
    <x v="78"/>
    <x v="12"/>
    <s v="Cuz I Love You (Deluxe)"/>
    <n v="40"/>
    <x v="292"/>
    <x v="308"/>
    <n v="-4.2869999999999999"/>
    <x v="0"/>
    <n v="1"/>
    <n v="0.11"/>
    <n v="3.1900000000000001E-3"/>
    <n v="1.6200000000000001E-4"/>
    <x v="291"/>
    <n v="0.753"/>
    <n v="120.042"/>
    <n v="4"/>
    <n v="172630"/>
    <n v="4"/>
    <n v="172630"/>
    <n v="4"/>
    <n v="172630"/>
    <x v="1"/>
    <x v="2"/>
  </r>
  <r>
    <x v="1"/>
    <n v="74200"/>
    <x v="256"/>
    <x v="124"/>
    <x v="53"/>
    <s v="I Don't Care (with Justin Bieber)"/>
    <n v="78"/>
    <x v="171"/>
    <x v="209"/>
    <n v="-5.0410000000000004"/>
    <x v="1"/>
    <n v="6"/>
    <n v="4.4200000000000003E-2"/>
    <n v="9.1200000000000003E-2"/>
    <n v="0"/>
    <x v="200"/>
    <n v="0.84199999999999997"/>
    <n v="101.956"/>
    <n v="4"/>
    <n v="219947"/>
    <n v="4"/>
    <n v="219947"/>
    <n v="4"/>
    <n v="219947"/>
    <x v="1"/>
    <x v="2"/>
  </r>
  <r>
    <x v="2"/>
    <n v="70300"/>
    <x v="419"/>
    <x v="333"/>
    <x v="40"/>
    <s v="On A Roll"/>
    <n v="58"/>
    <x v="0"/>
    <x v="191"/>
    <n v="-6.3540000000000001"/>
    <x v="1"/>
    <n v="5"/>
    <n v="9.06E-2"/>
    <n v="7.6999999999999999E-2"/>
    <n v="0"/>
    <x v="292"/>
    <n v="0.38700000000000001"/>
    <n v="125.011"/>
    <n v="4"/>
    <n v="154448"/>
    <n v="4"/>
    <n v="154448"/>
    <n v="4"/>
    <n v="154448"/>
    <x v="1"/>
    <x v="2"/>
  </r>
  <r>
    <x v="0"/>
    <n v="69800"/>
    <x v="420"/>
    <x v="334"/>
    <x v="27"/>
    <s v="Walk Man"/>
    <n v="59"/>
    <x v="277"/>
    <x v="34"/>
    <n v="-4.9720000000000004"/>
    <x v="0"/>
    <n v="4"/>
    <n v="8.6599999999999996E-2"/>
    <n v="0.33100000000000002"/>
    <n v="1.1900000000000001E-4"/>
    <x v="293"/>
    <n v="0.39600000000000002"/>
    <n v="94.994"/>
    <n v="4"/>
    <n v="165938"/>
    <n v="4"/>
    <n v="165938"/>
    <n v="4"/>
    <n v="165938"/>
    <x v="1"/>
    <x v="2"/>
  </r>
  <r>
    <x v="2"/>
    <n v="69800"/>
    <x v="420"/>
    <x v="334"/>
    <x v="27"/>
    <s v="Walk Man"/>
    <n v="59"/>
    <x v="277"/>
    <x v="34"/>
    <n v="-4.9720000000000004"/>
    <x v="0"/>
    <n v="4"/>
    <n v="8.6599999999999996E-2"/>
    <n v="0.33100000000000002"/>
    <n v="1.1900000000000001E-4"/>
    <x v="293"/>
    <n v="0.39600000000000002"/>
    <n v="94.994"/>
    <n v="4"/>
    <n v="165938"/>
    <n v="4"/>
    <n v="165938"/>
    <n v="4"/>
    <n v="165938"/>
    <x v="1"/>
    <x v="2"/>
  </r>
  <r>
    <x v="1"/>
    <n v="68100"/>
    <x v="421"/>
    <x v="219"/>
    <x v="54"/>
    <s v="That Way"/>
    <n v="62"/>
    <x v="139"/>
    <x v="120"/>
    <n v="-5.01"/>
    <x v="0"/>
    <n v="7"/>
    <n v="4.0300000000000002E-2"/>
    <n v="5.8200000000000002E-2"/>
    <n v="0"/>
    <x v="212"/>
    <n v="0.48899999999999999"/>
    <n v="129.96199999999999"/>
    <n v="4"/>
    <n v="212354"/>
    <n v="4"/>
    <n v="212354"/>
    <n v="4"/>
    <n v="212354"/>
    <x v="1"/>
    <x v="2"/>
  </r>
  <r>
    <x v="0"/>
    <n v="67900"/>
    <x v="422"/>
    <x v="335"/>
    <x v="19"/>
    <s v="Growing Pains"/>
    <n v="62"/>
    <x v="239"/>
    <x v="102"/>
    <n v="-3.61"/>
    <x v="0"/>
    <n v="11"/>
    <n v="0.11700000000000001"/>
    <n v="3.9399999999999998E-2"/>
    <n v="5.6499999999999996E-4"/>
    <x v="36"/>
    <n v="0.58799999999999997"/>
    <n v="123.021"/>
    <n v="4"/>
    <n v="242133"/>
    <n v="4"/>
    <n v="242133"/>
    <n v="4"/>
    <n v="242133"/>
    <x v="1"/>
    <x v="2"/>
  </r>
  <r>
    <x v="0"/>
    <n v="66700"/>
    <x v="423"/>
    <x v="336"/>
    <x v="12"/>
    <s v="Plastic Hearts"/>
    <n v="70"/>
    <x v="230"/>
    <x v="309"/>
    <n v="-4.9480000000000004"/>
    <x v="1"/>
    <n v="2"/>
    <n v="6.5199999999999994E-2"/>
    <n v="5.11E-2"/>
    <n v="0"/>
    <x v="294"/>
    <n v="0.61799999999999999"/>
    <n v="175.98400000000001"/>
    <n v="4"/>
    <n v="205733"/>
    <n v="4"/>
    <n v="205733"/>
    <n v="4"/>
    <n v="205733"/>
    <x v="1"/>
    <x v="2"/>
  </r>
  <r>
    <x v="0"/>
    <n v="65900"/>
    <x v="424"/>
    <x v="337"/>
    <x v="5"/>
    <s v="Life Support"/>
    <n v="66"/>
    <x v="293"/>
    <x v="227"/>
    <n v="-6.202"/>
    <x v="1"/>
    <n v="9"/>
    <n v="2.7900000000000001E-2"/>
    <n v="0.627"/>
    <n v="0"/>
    <x v="295"/>
    <n v="0.23300000000000001"/>
    <n v="75.216999999999999"/>
    <n v="4"/>
    <n v="223270"/>
    <n v="4"/>
    <n v="223270"/>
    <n v="4"/>
    <n v="223270"/>
    <x v="1"/>
    <x v="2"/>
  </r>
  <r>
    <x v="2"/>
    <n v="62900"/>
    <x v="425"/>
    <x v="338"/>
    <x v="57"/>
    <s v="STOKELEY"/>
    <n v="75"/>
    <x v="39"/>
    <x v="303"/>
    <n v="-9.3729999999999993"/>
    <x v="0"/>
    <n v="10"/>
    <n v="0.33500000000000002"/>
    <n v="0.111"/>
    <n v="0"/>
    <x v="134"/>
    <n v="0.61499999999999999"/>
    <n v="99.992999999999995"/>
    <n v="4"/>
    <n v="145627"/>
    <n v="4"/>
    <n v="145627"/>
    <n v="4"/>
    <n v="145627"/>
    <x v="1"/>
    <x v="2"/>
  </r>
  <r>
    <x v="1"/>
    <n v="61100"/>
    <x v="426"/>
    <x v="9"/>
    <x v="8"/>
    <s v="Planet Her"/>
    <n v="84"/>
    <x v="294"/>
    <x v="59"/>
    <n v="-6.4139999999999997"/>
    <x v="1"/>
    <n v="8"/>
    <n v="5.6500000000000002E-2"/>
    <n v="1.6400000000000001E-2"/>
    <n v="2.33E-3"/>
    <x v="5"/>
    <n v="0.436"/>
    <n v="128.98599999999999"/>
    <n v="4"/>
    <n v="186173"/>
    <n v="4"/>
    <n v="186173"/>
    <n v="4"/>
    <n v="186173"/>
    <x v="1"/>
    <x v="2"/>
  </r>
  <r>
    <x v="3"/>
    <n v="61100"/>
    <x v="426"/>
    <x v="9"/>
    <x v="8"/>
    <s v="Planet Her"/>
    <n v="84"/>
    <x v="294"/>
    <x v="59"/>
    <n v="-6.4139999999999997"/>
    <x v="1"/>
    <n v="8"/>
    <n v="5.6500000000000002E-2"/>
    <n v="1.6400000000000001E-2"/>
    <n v="2.33E-3"/>
    <x v="5"/>
    <n v="0.436"/>
    <n v="128.98599999999999"/>
    <n v="4"/>
    <n v="186173"/>
    <n v="4"/>
    <n v="186173"/>
    <n v="4"/>
    <n v="186173"/>
    <x v="1"/>
    <x v="2"/>
  </r>
  <r>
    <x v="0"/>
    <n v="61000"/>
    <x v="427"/>
    <x v="339"/>
    <x v="26"/>
    <s v="Do It Again"/>
    <n v="73"/>
    <x v="248"/>
    <x v="310"/>
    <n v="-6.5270000000000001"/>
    <x v="1"/>
    <n v="8"/>
    <n v="4.7E-2"/>
    <n v="2.6599999999999999E-2"/>
    <n v="0"/>
    <x v="296"/>
    <n v="0.41099999999999998"/>
    <n v="95.95"/>
    <n v="4"/>
    <n v="207747"/>
    <n v="4"/>
    <n v="207747"/>
    <n v="4"/>
    <n v="207747"/>
    <x v="1"/>
    <x v="2"/>
  </r>
  <r>
    <x v="1"/>
    <n v="60100"/>
    <x v="428"/>
    <x v="46"/>
    <x v="28"/>
    <s v="Wicked Game"/>
    <n v="55"/>
    <x v="290"/>
    <x v="311"/>
    <n v="-6.7270000000000003"/>
    <x v="1"/>
    <n v="9"/>
    <n v="5.3699999999999998E-2"/>
    <n v="2.0199999999999999E-2"/>
    <n v="9.990000000000001E-4"/>
    <x v="99"/>
    <n v="0.47099999999999997"/>
    <n v="125.005"/>
    <n v="4"/>
    <n v="143040"/>
    <n v="4"/>
    <n v="143040"/>
    <n v="4"/>
    <n v="143040"/>
    <x v="1"/>
    <x v="2"/>
  </r>
  <r>
    <x v="3"/>
    <n v="59900"/>
    <x v="429"/>
    <x v="106"/>
    <x v="17"/>
    <s v="Teenage Dream: The Complete Confection"/>
    <n v="75"/>
    <x v="295"/>
    <x v="55"/>
    <n v="-3.7290000000000001"/>
    <x v="1"/>
    <n v="0"/>
    <n v="5.6899999999999999E-2"/>
    <n v="4.4600000000000004E-3"/>
    <n v="0"/>
    <x v="43"/>
    <n v="0.42499999999999999"/>
    <n v="125.014"/>
    <n v="4"/>
    <n v="234653"/>
    <n v="4"/>
    <n v="234653"/>
    <n v="4"/>
    <n v="234653"/>
    <x v="1"/>
    <x v="2"/>
  </r>
  <r>
    <x v="2"/>
    <n v="59100"/>
    <x v="430"/>
    <x v="340"/>
    <x v="15"/>
    <s v="Indigo"/>
    <n v="52"/>
    <x v="84"/>
    <x v="280"/>
    <n v="-5.6120000000000001"/>
    <x v="1"/>
    <n v="7"/>
    <n v="8.2799999999999999E-2"/>
    <n v="9.5799999999999996E-2"/>
    <n v="1.75E-6"/>
    <x v="297"/>
    <n v="0.71"/>
    <n v="144.988"/>
    <n v="4"/>
    <n v="173473"/>
    <n v="4"/>
    <n v="173473"/>
    <n v="4"/>
    <n v="173473"/>
    <x v="1"/>
    <x v="2"/>
  </r>
  <r>
    <x v="0"/>
    <n v="58800"/>
    <x v="431"/>
    <x v="341"/>
    <x v="18"/>
    <s v="Oracular Spectacular"/>
    <n v="77"/>
    <x v="296"/>
    <x v="129"/>
    <n v="-3.7130000000000001"/>
    <x v="1"/>
    <n v="1"/>
    <n v="3.5099999999999999E-2"/>
    <n v="7.0900000000000005E-2"/>
    <n v="0.28499999999999998"/>
    <x v="298"/>
    <n v="0.56100000000000005"/>
    <n v="103.04"/>
    <n v="3"/>
    <n v="229640"/>
    <n v="3"/>
    <n v="229640"/>
    <n v="3"/>
    <n v="229640"/>
    <x v="1"/>
    <x v="2"/>
  </r>
  <r>
    <x v="0"/>
    <n v="57800"/>
    <x v="432"/>
    <x v="263"/>
    <x v="57"/>
    <s v="Cheryl"/>
    <n v="62"/>
    <x v="235"/>
    <x v="312"/>
    <n v="-8.9979999999999993"/>
    <x v="0"/>
    <n v="0"/>
    <n v="0.33"/>
    <n v="4.7699999999999999E-2"/>
    <n v="1.46E-6"/>
    <x v="299"/>
    <n v="0.502"/>
    <n v="76.5"/>
    <n v="4"/>
    <n v="169020"/>
    <n v="4"/>
    <n v="169020"/>
    <n v="4"/>
    <n v="169020"/>
    <x v="1"/>
    <x v="2"/>
  </r>
  <r>
    <x v="0"/>
    <n v="57200"/>
    <x v="433"/>
    <x v="342"/>
    <x v="1"/>
    <s v="Coffee Breath"/>
    <n v="70"/>
    <x v="208"/>
    <x v="313"/>
    <n v="-12.676"/>
    <x v="0"/>
    <n v="11"/>
    <n v="4.0399999999999998E-2"/>
    <n v="0.97399999999999998"/>
    <n v="0"/>
    <x v="300"/>
    <n v="0.19800000000000001"/>
    <n v="101.295"/>
    <n v="4"/>
    <n v="163902"/>
    <n v="4"/>
    <n v="163902"/>
    <n v="4"/>
    <n v="163902"/>
    <x v="1"/>
    <x v="2"/>
  </r>
  <r>
    <x v="1"/>
    <n v="55500"/>
    <x v="434"/>
    <x v="343"/>
    <x v="7"/>
    <s v="Aesthetic"/>
    <n v="2"/>
    <x v="11"/>
    <x v="216"/>
    <n v="-10.63"/>
    <x v="1"/>
    <n v="0"/>
    <n v="0.43"/>
    <n v="0.96499999999999997"/>
    <n v="0.255"/>
    <x v="130"/>
    <n v="0.45"/>
    <n v="169.83699999999999"/>
    <n v="4"/>
    <n v="158436"/>
    <n v="4"/>
    <n v="158436"/>
    <n v="4"/>
    <n v="158436"/>
    <x v="1"/>
    <x v="2"/>
  </r>
  <r>
    <x v="0"/>
    <n v="55400"/>
    <x v="434"/>
    <x v="343"/>
    <x v="7"/>
    <s v="Aesthetic"/>
    <n v="2"/>
    <x v="11"/>
    <x v="216"/>
    <n v="-10.63"/>
    <x v="1"/>
    <n v="0"/>
    <n v="0.43"/>
    <n v="0.96499999999999997"/>
    <n v="0.255"/>
    <x v="130"/>
    <n v="0.45"/>
    <n v="169.83699999999999"/>
    <n v="4"/>
    <n v="158436"/>
    <n v="4"/>
    <n v="158436"/>
    <n v="4"/>
    <n v="158436"/>
    <x v="1"/>
    <x v="2"/>
  </r>
  <r>
    <x v="3"/>
    <n v="54200"/>
    <x v="435"/>
    <x v="344"/>
    <x v="54"/>
    <s v="V (Asia Tour Edition)"/>
    <n v="68"/>
    <x v="112"/>
    <x v="314"/>
    <n v="-5.5220000000000002"/>
    <x v="0"/>
    <n v="1"/>
    <n v="3.0300000000000001E-2"/>
    <n v="2.0500000000000001E-2"/>
    <n v="0"/>
    <x v="301"/>
    <n v="0.879"/>
    <n v="120.032"/>
    <n v="4"/>
    <n v="189960"/>
    <n v="4"/>
    <n v="189960"/>
    <n v="4"/>
    <n v="189960"/>
    <x v="1"/>
    <x v="2"/>
  </r>
  <r>
    <x v="0"/>
    <n v="52600"/>
    <x v="436"/>
    <x v="345"/>
    <x v="28"/>
    <s v="Let Go"/>
    <n v="70"/>
    <x v="297"/>
    <x v="116"/>
    <n v="-10.228"/>
    <x v="1"/>
    <n v="0"/>
    <n v="3.5099999999999999E-2"/>
    <n v="0.67"/>
    <n v="0.26300000000000001"/>
    <x v="302"/>
    <n v="3.8899999999999997E-2"/>
    <n v="81.971999999999994"/>
    <n v="3"/>
    <n v="248056"/>
    <n v="3"/>
    <n v="248056"/>
    <n v="3"/>
    <n v="248056"/>
    <x v="1"/>
    <x v="2"/>
  </r>
  <r>
    <x v="0"/>
    <n v="51600"/>
    <x v="437"/>
    <x v="47"/>
    <x v="30"/>
    <s v="More Life"/>
    <n v="71"/>
    <x v="298"/>
    <x v="315"/>
    <n v="-9.1329999999999991"/>
    <x v="0"/>
    <n v="5"/>
    <n v="5.1400000000000001E-2"/>
    <n v="9.4500000000000001E-2"/>
    <n v="0.39100000000000001"/>
    <x v="258"/>
    <n v="0.84899999999999998"/>
    <n v="123.011"/>
    <n v="4"/>
    <n v="250337"/>
    <n v="4"/>
    <n v="250337"/>
    <n v="4"/>
    <n v="250337"/>
    <x v="1"/>
    <x v="2"/>
  </r>
  <r>
    <x v="2"/>
    <n v="47400"/>
    <x v="438"/>
    <x v="346"/>
    <x v="57"/>
    <s v="All This Bad Blood"/>
    <n v="74"/>
    <x v="299"/>
    <x v="316"/>
    <n v="-6.383"/>
    <x v="1"/>
    <n v="9"/>
    <n v="4.07E-2"/>
    <n v="7.5499999999999998E-2"/>
    <n v="0"/>
    <x v="303"/>
    <n v="0.57099999999999995"/>
    <n v="127.435"/>
    <n v="4"/>
    <n v="214148"/>
    <n v="4"/>
    <n v="214148"/>
    <n v="4"/>
    <n v="214148"/>
    <x v="1"/>
    <x v="2"/>
  </r>
  <r>
    <x v="0"/>
    <n v="47000"/>
    <x v="439"/>
    <x v="347"/>
    <x v="15"/>
    <s v="feel something"/>
    <n v="71"/>
    <x v="159"/>
    <x v="41"/>
    <n v="-8.9139999999999997"/>
    <x v="1"/>
    <n v="0"/>
    <n v="7.0699999999999999E-2"/>
    <n v="0.24199999999999999"/>
    <n v="1.56E-4"/>
    <x v="304"/>
    <n v="0.156"/>
    <n v="136.029"/>
    <n v="4"/>
    <n v="180161"/>
    <n v="4"/>
    <n v="180161"/>
    <n v="4"/>
    <n v="180161"/>
    <x v="1"/>
    <x v="2"/>
  </r>
  <r>
    <x v="2"/>
    <n v="46000"/>
    <x v="440"/>
    <x v="348"/>
    <x v="13"/>
    <s v="Madagascar: Escape 2 Africa (Music From The Motion Picture)"/>
    <n v="61"/>
    <x v="91"/>
    <x v="292"/>
    <n v="-6.8979999999999997"/>
    <x v="0"/>
    <n v="6"/>
    <n v="9.8000000000000004E-2"/>
    <n v="0.14099999999999999"/>
    <n v="2.31E-4"/>
    <x v="51"/>
    <n v="0.86299999999999999"/>
    <n v="119.94"/>
    <n v="4"/>
    <n v="201640"/>
    <n v="4"/>
    <n v="201640"/>
    <n v="4"/>
    <n v="201640"/>
    <x v="1"/>
    <x v="2"/>
  </r>
  <r>
    <x v="0"/>
    <n v="45700"/>
    <x v="441"/>
    <x v="349"/>
    <x v="47"/>
    <s v="Motion"/>
    <n v="78"/>
    <x v="196"/>
    <x v="44"/>
    <n v="-4.1230000000000002"/>
    <x v="0"/>
    <n v="2"/>
    <n v="3.9399999999999998E-2"/>
    <n v="0.21299999999999999"/>
    <n v="0"/>
    <x v="169"/>
    <n v="0.41799999999999998"/>
    <n v="128.035"/>
    <n v="4"/>
    <n v="227267"/>
    <n v="4"/>
    <n v="227267"/>
    <n v="4"/>
    <n v="227267"/>
    <x v="1"/>
    <x v="2"/>
  </r>
  <r>
    <x v="2"/>
    <n v="45500"/>
    <x v="442"/>
    <x v="350"/>
    <x v="55"/>
    <s v="Best Friend"/>
    <n v="79"/>
    <x v="300"/>
    <x v="317"/>
    <n v="-5.2469999999999999"/>
    <x v="1"/>
    <n v="6"/>
    <n v="5.96E-2"/>
    <n v="0.39500000000000002"/>
    <n v="0"/>
    <x v="79"/>
    <n v="0.32"/>
    <n v="144.982"/>
    <n v="4"/>
    <n v="262231"/>
    <n v="4"/>
    <n v="262231"/>
    <n v="4"/>
    <n v="262231"/>
    <x v="1"/>
    <x v="2"/>
  </r>
  <r>
    <x v="3"/>
    <n v="45100"/>
    <x v="443"/>
    <x v="337"/>
    <x v="5"/>
    <s v="Reckless"/>
    <n v="78"/>
    <x v="301"/>
    <x v="318"/>
    <n v="-6.6420000000000003"/>
    <x v="1"/>
    <n v="3"/>
    <n v="3.6299999999999999E-2"/>
    <n v="0.80700000000000005"/>
    <n v="0"/>
    <x v="21"/>
    <n v="0.26100000000000001"/>
    <n v="180.10400000000001"/>
    <n v="3"/>
    <n v="203385"/>
    <n v="3"/>
    <n v="203385"/>
    <n v="3"/>
    <n v="203385"/>
    <x v="1"/>
    <x v="2"/>
  </r>
  <r>
    <x v="0"/>
    <n v="43100"/>
    <x v="444"/>
    <x v="325"/>
    <x v="53"/>
    <s v="Graduation"/>
    <n v="20"/>
    <x v="302"/>
    <x v="179"/>
    <n v="-7.8579999999999997"/>
    <x v="0"/>
    <n v="10"/>
    <n v="0.153"/>
    <n v="5.64E-3"/>
    <n v="0"/>
    <x v="305"/>
    <n v="0.49"/>
    <n v="103.992"/>
    <n v="4"/>
    <n v="311867"/>
    <n v="4"/>
    <n v="311867"/>
    <n v="4"/>
    <n v="311867"/>
    <x v="1"/>
    <x v="2"/>
  </r>
  <r>
    <x v="1"/>
    <n v="42500"/>
    <x v="445"/>
    <x v="351"/>
    <x v="52"/>
    <s v="Let Her Go"/>
    <n v="44"/>
    <x v="248"/>
    <x v="129"/>
    <n v="-7.2060000000000004"/>
    <x v="1"/>
    <n v="7"/>
    <n v="2.76E-2"/>
    <n v="5.3699999999999998E-3"/>
    <n v="9.8099999999999999E-5"/>
    <x v="306"/>
    <n v="0.308"/>
    <n v="120.018"/>
    <n v="4"/>
    <n v="201005"/>
    <n v="4"/>
    <n v="201005"/>
    <n v="4"/>
    <n v="201005"/>
    <x v="1"/>
    <x v="2"/>
  </r>
  <r>
    <x v="0"/>
    <n v="42400"/>
    <x v="446"/>
    <x v="9"/>
    <x v="8"/>
    <s v="Hot Pink"/>
    <n v="73"/>
    <x v="67"/>
    <x v="111"/>
    <n v="-2.6070000000000002"/>
    <x v="1"/>
    <n v="0"/>
    <n v="6.6799999999999998E-2"/>
    <n v="0.10199999999999999"/>
    <n v="0"/>
    <x v="307"/>
    <n v="0.48399999999999999"/>
    <n v="170.024"/>
    <n v="4"/>
    <n v="203093"/>
    <n v="4"/>
    <n v="203093"/>
    <n v="4"/>
    <n v="203093"/>
    <x v="1"/>
    <x v="2"/>
  </r>
  <r>
    <x v="2"/>
    <n v="42100"/>
    <x v="447"/>
    <x v="67"/>
    <x v="37"/>
    <s v="CRACKHEAD"/>
    <n v="31"/>
    <x v="53"/>
    <x v="319"/>
    <n v="-9.0830000000000002"/>
    <x v="1"/>
    <n v="5"/>
    <n v="0.47799999999999998"/>
    <n v="8.2799999999999999E-2"/>
    <n v="4.5700000000000003E-3"/>
    <x v="308"/>
    <n v="0.42099999999999999"/>
    <n v="145.059"/>
    <n v="4"/>
    <n v="43427"/>
    <n v="4"/>
    <n v="43427"/>
    <n v="4"/>
    <n v="43427"/>
    <x v="1"/>
    <x v="2"/>
  </r>
  <r>
    <x v="2"/>
    <n v="42100"/>
    <x v="448"/>
    <x v="352"/>
    <x v="69"/>
    <s v="u U U U u U did i mfken stutter?"/>
    <n v="50"/>
    <x v="155"/>
    <x v="320"/>
    <n v="-11.881"/>
    <x v="1"/>
    <n v="8"/>
    <n v="0.66300000000000003"/>
    <n v="1.3899999999999999E-2"/>
    <n v="4.1099999999999996E-6"/>
    <x v="309"/>
    <n v="0.13900000000000001"/>
    <n v="154.83099999999999"/>
    <n v="4"/>
    <n v="113502"/>
    <n v="4"/>
    <n v="113502"/>
    <n v="4"/>
    <n v="113502"/>
    <x v="1"/>
    <x v="2"/>
  </r>
  <r>
    <x v="0"/>
    <n v="40100"/>
    <x v="449"/>
    <x v="353"/>
    <x v="55"/>
    <s v="Bored In The House"/>
    <n v="53"/>
    <x v="277"/>
    <x v="321"/>
    <n v="-10.393000000000001"/>
    <x v="1"/>
    <n v="1"/>
    <n v="0.32100000000000001"/>
    <n v="2.0199999999999999E-2"/>
    <n v="9.5999999999999996E-6"/>
    <x v="310"/>
    <n v="0.73199999999999998"/>
    <n v="112.458"/>
    <n v="4"/>
    <n v="174933"/>
    <n v="4"/>
    <n v="174933"/>
    <n v="4"/>
    <n v="174933"/>
    <x v="1"/>
    <x v="2"/>
  </r>
  <r>
    <x v="2"/>
    <n v="38100"/>
    <x v="450"/>
    <x v="354"/>
    <x v="6"/>
    <s v="Eenie Meenie"/>
    <n v="74"/>
    <x v="219"/>
    <x v="322"/>
    <n v="-4.1680000000000001"/>
    <x v="1"/>
    <n v="1"/>
    <n v="3.2199999999999999E-2"/>
    <n v="5.4300000000000001E-2"/>
    <n v="0"/>
    <x v="18"/>
    <n v="0.82799999999999996"/>
    <n v="121.223"/>
    <n v="4"/>
    <n v="201947"/>
    <n v="4"/>
    <n v="201947"/>
    <n v="4"/>
    <n v="201947"/>
    <x v="1"/>
    <x v="2"/>
  </r>
  <r>
    <x v="1"/>
    <n v="36600"/>
    <x v="451"/>
    <x v="355"/>
    <x v="61"/>
    <s v="So Pretty"/>
    <n v="66"/>
    <x v="152"/>
    <x v="323"/>
    <n v="-6.0940000000000003"/>
    <x v="0"/>
    <n v="10"/>
    <n v="0.24"/>
    <n v="5.1200000000000002E-2"/>
    <n v="4.2500000000000003E-2"/>
    <x v="67"/>
    <n v="0.25"/>
    <n v="187.90600000000001"/>
    <n v="4"/>
    <n v="85742"/>
    <n v="4"/>
    <n v="85742"/>
    <n v="4"/>
    <n v="85742"/>
    <x v="1"/>
    <x v="2"/>
  </r>
  <r>
    <x v="0"/>
    <n v="34700"/>
    <x v="452"/>
    <x v="251"/>
    <x v="10"/>
    <s v="Currents"/>
    <n v="74"/>
    <x v="167"/>
    <x v="324"/>
    <n v="-5.875"/>
    <x v="0"/>
    <n v="1"/>
    <n v="4.4299999999999999E-2"/>
    <n v="4.62E-3"/>
    <n v="2.6599999999999999E-2"/>
    <x v="69"/>
    <n v="0.57699999999999996"/>
    <n v="125.012"/>
    <n v="4"/>
    <n v="467587"/>
    <n v="4"/>
    <n v="467587"/>
    <n v="4"/>
    <n v="467587"/>
    <x v="1"/>
    <x v="2"/>
  </r>
  <r>
    <x v="0"/>
    <n v="32000"/>
    <x v="453"/>
    <x v="356"/>
    <x v="31"/>
    <s v="Chromatica"/>
    <n v="66"/>
    <x v="303"/>
    <x v="325"/>
    <n v="-3.875"/>
    <x v="1"/>
    <n v="1"/>
    <n v="0.123"/>
    <n v="7.92E-3"/>
    <n v="0"/>
    <x v="311"/>
    <n v="0.68300000000000005"/>
    <n v="122.015"/>
    <n v="4"/>
    <n v="186653"/>
    <n v="4"/>
    <n v="186653"/>
    <n v="4"/>
    <n v="186653"/>
    <x v="1"/>
    <x v="2"/>
  </r>
  <r>
    <x v="1"/>
    <n v="31600"/>
    <x v="347"/>
    <x v="357"/>
    <x v="7"/>
    <s v="Say It Right"/>
    <n v="50"/>
    <x v="70"/>
    <x v="130"/>
    <n v="-6.5060000000000002"/>
    <x v="0"/>
    <n v="5"/>
    <n v="7.0900000000000005E-2"/>
    <n v="1.32E-2"/>
    <n v="9.7999999999999997E-4"/>
    <x v="304"/>
    <n v="0.127"/>
    <n v="124.084"/>
    <n v="4"/>
    <n v="129677"/>
    <n v="4"/>
    <n v="129677"/>
    <n v="4"/>
    <n v="129677"/>
    <x v="1"/>
    <x v="2"/>
  </r>
  <r>
    <x v="3"/>
    <n v="31400"/>
    <x v="454"/>
    <x v="358"/>
    <x v="28"/>
    <s v="Moments (Deluxe)"/>
    <n v="39"/>
    <x v="34"/>
    <x v="100"/>
    <n v="-6.8890000000000002"/>
    <x v="1"/>
    <n v="8"/>
    <n v="0.17899999999999999"/>
    <n v="0.27900000000000003"/>
    <n v="0"/>
    <x v="126"/>
    <n v="0.81599999999999995"/>
    <n v="116.92"/>
    <n v="5"/>
    <n v="190080"/>
    <n v="5"/>
    <n v="190080"/>
    <n v="5"/>
    <n v="190080"/>
    <x v="1"/>
    <x v="2"/>
  </r>
  <r>
    <x v="1"/>
    <n v="31100"/>
    <x v="455"/>
    <x v="359"/>
    <x v="13"/>
    <s v="edamame (feat. Rich Brian)"/>
    <n v="77"/>
    <x v="304"/>
    <x v="236"/>
    <n v="-4.7039999999999997"/>
    <x v="0"/>
    <n v="4"/>
    <n v="0.115"/>
    <n v="2.3E-2"/>
    <n v="1.6200000000000001E-4"/>
    <x v="312"/>
    <n v="0.68400000000000005"/>
    <n v="106.032"/>
    <n v="4"/>
    <n v="133707"/>
    <n v="4"/>
    <n v="133707"/>
    <n v="4"/>
    <n v="133707"/>
    <x v="1"/>
    <x v="2"/>
  </r>
  <r>
    <x v="3"/>
    <n v="31100"/>
    <x v="455"/>
    <x v="359"/>
    <x v="13"/>
    <s v="edamame (feat. Rich Brian)"/>
    <n v="77"/>
    <x v="304"/>
    <x v="236"/>
    <n v="-4.7039999999999997"/>
    <x v="0"/>
    <n v="4"/>
    <n v="0.115"/>
    <n v="2.3E-2"/>
    <n v="1.6200000000000001E-4"/>
    <x v="312"/>
    <n v="0.68400000000000005"/>
    <n v="106.032"/>
    <n v="4"/>
    <n v="133707"/>
    <n v="4"/>
    <n v="133707"/>
    <n v="4"/>
    <n v="133707"/>
    <x v="1"/>
    <x v="2"/>
  </r>
  <r>
    <x v="1"/>
    <n v="30500"/>
    <x v="456"/>
    <x v="237"/>
    <x v="60"/>
    <s v="Positions"/>
    <n v="80"/>
    <x v="48"/>
    <x v="199"/>
    <n v="-6.476"/>
    <x v="1"/>
    <n v="0"/>
    <n v="9.4E-2"/>
    <n v="0.23699999999999999"/>
    <n v="0"/>
    <x v="170"/>
    <n v="0.48499999999999999"/>
    <n v="109.97799999999999"/>
    <n v="4"/>
    <n v="173711"/>
    <n v="4"/>
    <n v="173711"/>
    <n v="4"/>
    <n v="173711"/>
    <x v="1"/>
    <x v="2"/>
  </r>
  <r>
    <x v="3"/>
    <n v="30400"/>
    <x v="456"/>
    <x v="237"/>
    <x v="60"/>
    <s v="Positions"/>
    <n v="80"/>
    <x v="48"/>
    <x v="199"/>
    <n v="-6.476"/>
    <x v="1"/>
    <n v="0"/>
    <n v="9.4E-2"/>
    <n v="0.23699999999999999"/>
    <n v="0"/>
    <x v="170"/>
    <n v="0.48499999999999999"/>
    <n v="109.97799999999999"/>
    <n v="4"/>
    <n v="173711"/>
    <n v="4"/>
    <n v="173711"/>
    <n v="4"/>
    <n v="173711"/>
    <x v="1"/>
    <x v="2"/>
  </r>
  <r>
    <x v="0"/>
    <n v="29700"/>
    <x v="457"/>
    <x v="9"/>
    <x v="8"/>
    <s v="Hot Pink"/>
    <n v="71"/>
    <x v="305"/>
    <x v="174"/>
    <n v="-5.7160000000000002"/>
    <x v="1"/>
    <n v="8"/>
    <n v="9.2100000000000001E-2"/>
    <n v="0.318"/>
    <n v="3.6200000000000001E-6"/>
    <x v="49"/>
    <n v="0.81799999999999995"/>
    <n v="131.03"/>
    <n v="4"/>
    <n v="165733"/>
    <n v="4"/>
    <n v="165733"/>
    <n v="4"/>
    <n v="165733"/>
    <x v="1"/>
    <x v="2"/>
  </r>
  <r>
    <x v="2"/>
    <n v="29600"/>
    <x v="458"/>
    <x v="360"/>
    <x v="44"/>
    <s v="Colour Collection"/>
    <n v="60"/>
    <x v="102"/>
    <x v="326"/>
    <n v="-10.375"/>
    <x v="1"/>
    <n v="0"/>
    <n v="4.3400000000000001E-2"/>
    <n v="1.37E-2"/>
    <n v="1.1100000000000001E-3"/>
    <x v="54"/>
    <n v="0.65300000000000002"/>
    <n v="116.286"/>
    <n v="4"/>
    <n v="197573"/>
    <n v="4"/>
    <n v="197573"/>
    <n v="4"/>
    <n v="197573"/>
    <x v="1"/>
    <x v="2"/>
  </r>
  <r>
    <x v="2"/>
    <n v="29500"/>
    <x v="459"/>
    <x v="361"/>
    <x v="0"/>
    <s v="Bawskee"/>
    <n v="1"/>
    <x v="30"/>
    <x v="102"/>
    <n v="-6.1859999999999999"/>
    <x v="1"/>
    <n v="1"/>
    <n v="0.26400000000000001"/>
    <n v="0.221"/>
    <n v="0"/>
    <x v="313"/>
    <n v="0.74399999999999999"/>
    <n v="160.06299999999999"/>
    <n v="4"/>
    <n v="96064"/>
    <n v="4"/>
    <n v="96064"/>
    <n v="4"/>
    <n v="96064"/>
    <x v="1"/>
    <x v="2"/>
  </r>
  <r>
    <x v="1"/>
    <n v="27300"/>
    <x v="460"/>
    <x v="344"/>
    <x v="54"/>
    <s v="JORDI (Deluxe)"/>
    <n v="82"/>
    <x v="270"/>
    <x v="133"/>
    <n v="-5.4829999999999997"/>
    <x v="1"/>
    <n v="10"/>
    <n v="2.7E-2"/>
    <n v="3.7699999999999997E-2"/>
    <n v="0"/>
    <x v="314"/>
    <n v="0.72099999999999997"/>
    <n v="99.048000000000002"/>
    <n v="4"/>
    <n v="227395"/>
    <n v="4"/>
    <n v="227395"/>
    <n v="4"/>
    <n v="227395"/>
    <x v="1"/>
    <x v="2"/>
  </r>
  <r>
    <x v="2"/>
    <n v="26900"/>
    <x v="461"/>
    <x v="362"/>
    <x v="22"/>
    <s v="7 Leben"/>
    <n v="59"/>
    <x v="166"/>
    <x v="73"/>
    <n v="-5.9409999999999998"/>
    <x v="0"/>
    <n v="5"/>
    <n v="3.9E-2"/>
    <n v="6.8099999999999994E-2"/>
    <n v="9.2899999999999995E-5"/>
    <x v="260"/>
    <n v="0.67600000000000005"/>
    <n v="132.05600000000001"/>
    <n v="4"/>
    <n v="221373"/>
    <n v="4"/>
    <n v="221373"/>
    <n v="4"/>
    <n v="221373"/>
    <x v="1"/>
    <x v="2"/>
  </r>
  <r>
    <x v="3"/>
    <n v="26300"/>
    <x v="462"/>
    <x v="363"/>
    <x v="57"/>
    <s v="Ain't Your Mama"/>
    <n v="71"/>
    <x v="306"/>
    <x v="90"/>
    <n v="-5.5289999999999999"/>
    <x v="0"/>
    <n v="8"/>
    <n v="0.23300000000000001"/>
    <n v="4.7199999999999999E-2"/>
    <n v="9.1400000000000006E-6"/>
    <x v="315"/>
    <n v="0.82"/>
    <n v="120.075"/>
    <n v="4"/>
    <n v="218235"/>
    <n v="4"/>
    <n v="218235"/>
    <n v="4"/>
    <n v="218235"/>
    <x v="1"/>
    <x v="2"/>
  </r>
  <r>
    <x v="2"/>
    <n v="26300"/>
    <x v="463"/>
    <x v="364"/>
    <x v="50"/>
    <s v="Wannabe"/>
    <n v="72"/>
    <x v="237"/>
    <x v="73"/>
    <n v="-7.02"/>
    <x v="0"/>
    <n v="6"/>
    <n v="8.6499999999999994E-2"/>
    <n v="0.192"/>
    <n v="2.3799999999999999E-5"/>
    <x v="316"/>
    <n v="0.46500000000000002"/>
    <n v="169.827"/>
    <n v="4"/>
    <n v="217412"/>
    <n v="4"/>
    <n v="217412"/>
    <n v="4"/>
    <n v="217412"/>
    <x v="1"/>
    <x v="2"/>
  </r>
  <r>
    <x v="0"/>
    <n v="26200"/>
    <x v="464"/>
    <x v="365"/>
    <x v="8"/>
    <s v="Black Panther The Album Music From And Inspired By"/>
    <n v="82"/>
    <x v="275"/>
    <x v="271"/>
    <n v="-4.9459999999999997"/>
    <x v="1"/>
    <n v="8"/>
    <n v="5.9700000000000003E-2"/>
    <n v="6.0499999999999998E-2"/>
    <n v="1.94E-4"/>
    <x v="142"/>
    <n v="0.55200000000000005"/>
    <n v="96.924000000000007"/>
    <n v="4"/>
    <n v="232187"/>
    <n v="4"/>
    <n v="232187"/>
    <n v="4"/>
    <n v="232187"/>
    <x v="1"/>
    <x v="2"/>
  </r>
  <r>
    <x v="0"/>
    <n v="26000"/>
    <x v="465"/>
    <x v="366"/>
    <x v="35"/>
    <s v="LEMONS (Demo)"/>
    <n v="57"/>
    <x v="307"/>
    <x v="327"/>
    <n v="-13.682"/>
    <x v="0"/>
    <n v="4"/>
    <n v="0.30399999999999999"/>
    <n v="0.90100000000000002"/>
    <n v="0"/>
    <x v="67"/>
    <n v="0.51400000000000001"/>
    <n v="82.573999999999998"/>
    <n v="4"/>
    <n v="193208"/>
    <n v="4"/>
    <n v="193208"/>
    <n v="4"/>
    <n v="193208"/>
    <x v="1"/>
    <x v="2"/>
  </r>
  <r>
    <x v="3"/>
    <n v="25600"/>
    <x v="466"/>
    <x v="242"/>
    <x v="36"/>
    <s v="deadroses"/>
    <n v="75"/>
    <x v="257"/>
    <x v="328"/>
    <n v="-8.7550000000000008"/>
    <x v="0"/>
    <n v="1"/>
    <n v="6.1100000000000002E-2"/>
    <n v="0.61099999999999999"/>
    <n v="4.0399999999999999E-5"/>
    <x v="47"/>
    <n v="0.315"/>
    <n v="144.87100000000001"/>
    <n v="4"/>
    <n v="245172"/>
    <n v="4"/>
    <n v="245172"/>
    <n v="4"/>
    <n v="245172"/>
    <x v="1"/>
    <x v="2"/>
  </r>
  <r>
    <x v="2"/>
    <n v="25100"/>
    <x v="467"/>
    <x v="367"/>
    <x v="0"/>
    <s v="The Great Milenko"/>
    <n v="62"/>
    <x v="19"/>
    <x v="97"/>
    <n v="-5.0839999999999996"/>
    <x v="0"/>
    <n v="11"/>
    <n v="9.4799999999999995E-2"/>
    <n v="1.9300000000000001E-2"/>
    <n v="7.7100000000000004E-5"/>
    <x v="282"/>
    <n v="0.85699999999999998"/>
    <n v="92.176000000000002"/>
    <n v="4"/>
    <n v="261173"/>
    <n v="4"/>
    <n v="261173"/>
    <n v="4"/>
    <n v="261173"/>
    <x v="1"/>
    <x v="2"/>
  </r>
  <r>
    <x v="0"/>
    <n v="24400"/>
    <x v="468"/>
    <x v="129"/>
    <x v="10"/>
    <s v="Oops!... I Did It Again"/>
    <n v="66"/>
    <x v="279"/>
    <x v="269"/>
    <n v="-5.7069999999999999"/>
    <x v="1"/>
    <n v="8"/>
    <n v="3.1699999999999999E-2"/>
    <n v="0.26200000000000001"/>
    <n v="1.54E-4"/>
    <x v="317"/>
    <n v="0.96599999999999997"/>
    <n v="95.025999999999996"/>
    <n v="4"/>
    <n v="206227"/>
    <n v="4"/>
    <n v="206227"/>
    <n v="4"/>
    <n v="206227"/>
    <x v="1"/>
    <x v="2"/>
  </r>
  <r>
    <x v="2"/>
    <n v="24000"/>
    <x v="469"/>
    <x v="368"/>
    <x v="35"/>
    <s v="Waitress (Original Broadway Cast Recording)"/>
    <n v="63"/>
    <x v="308"/>
    <x v="288"/>
    <n v="-6.2149999999999999"/>
    <x v="0"/>
    <n v="7"/>
    <n v="5.0999999999999997E-2"/>
    <n v="0.38700000000000001"/>
    <n v="0"/>
    <x v="47"/>
    <n v="0.93899999999999995"/>
    <n v="174.494"/>
    <n v="4"/>
    <n v="136200"/>
    <n v="4"/>
    <n v="136200"/>
    <n v="4"/>
    <n v="136200"/>
    <x v="1"/>
    <x v="2"/>
  </r>
  <r>
    <x v="0"/>
    <n v="23900"/>
    <x v="470"/>
    <x v="108"/>
    <x v="15"/>
    <s v="The Evolution"/>
    <n v="61"/>
    <x v="309"/>
    <x v="34"/>
    <n v="-6.0149999999999997"/>
    <x v="0"/>
    <n v="1"/>
    <n v="0.36099999999999999"/>
    <n v="0.20899999999999999"/>
    <n v="0"/>
    <x v="318"/>
    <n v="0.499"/>
    <n v="100.614"/>
    <n v="4"/>
    <n v="244760"/>
    <n v="4"/>
    <n v="244760"/>
    <n v="4"/>
    <n v="244760"/>
    <x v="1"/>
    <x v="2"/>
  </r>
  <r>
    <x v="3"/>
    <n v="23100"/>
    <x v="471"/>
    <x v="268"/>
    <x v="53"/>
    <s v="My World"/>
    <n v="70"/>
    <x v="47"/>
    <x v="329"/>
    <n v="-2.528"/>
    <x v="0"/>
    <n v="1"/>
    <n v="3.7199999999999997E-2"/>
    <n v="6.3100000000000003E-2"/>
    <n v="7.1299999999999998E-5"/>
    <x v="319"/>
    <n v="0.76200000000000001"/>
    <n v="145.999"/>
    <n v="4"/>
    <n v="215867"/>
    <n v="4"/>
    <n v="215867"/>
    <n v="4"/>
    <n v="215867"/>
    <x v="1"/>
    <x v="2"/>
  </r>
  <r>
    <x v="0"/>
    <n v="22500"/>
    <x v="472"/>
    <x v="35"/>
    <x v="3"/>
    <s v="Cannibal (Expanded Edition)"/>
    <n v="72"/>
    <x v="0"/>
    <x v="180"/>
    <n v="-4.9000000000000004"/>
    <x v="1"/>
    <n v="8"/>
    <n v="4.07E-2"/>
    <n v="9.8700000000000003E-3"/>
    <n v="1.67E-3"/>
    <x v="1"/>
    <n v="0.65300000000000002"/>
    <n v="119.95"/>
    <n v="4"/>
    <n v="204760"/>
    <n v="4"/>
    <n v="204760"/>
    <n v="4"/>
    <n v="204760"/>
    <x v="1"/>
    <x v="2"/>
  </r>
  <r>
    <x v="2"/>
    <n v="22500"/>
    <x v="472"/>
    <x v="35"/>
    <x v="3"/>
    <s v="Cannibal (Expanded Edition)"/>
    <n v="72"/>
    <x v="0"/>
    <x v="180"/>
    <n v="-4.9000000000000004"/>
    <x v="1"/>
    <n v="8"/>
    <n v="4.07E-2"/>
    <n v="9.8700000000000003E-3"/>
    <n v="1.67E-3"/>
    <x v="1"/>
    <n v="0.65300000000000002"/>
    <n v="119.95"/>
    <n v="4"/>
    <n v="204760"/>
    <n v="4"/>
    <n v="204760"/>
    <n v="4"/>
    <n v="204760"/>
    <x v="1"/>
    <x v="2"/>
  </r>
  <r>
    <x v="2"/>
    <n v="21200"/>
    <x v="473"/>
    <x v="369"/>
    <x v="44"/>
    <s v="Teen Beach Movie"/>
    <n v="59"/>
    <x v="85"/>
    <x v="154"/>
    <n v="-4.9859999999999998"/>
    <x v="1"/>
    <n v="0"/>
    <n v="3.4099999999999998E-2"/>
    <n v="0.51"/>
    <n v="0"/>
    <x v="55"/>
    <n v="0.77700000000000002"/>
    <n v="96.881"/>
    <n v="4"/>
    <n v="145920"/>
    <n v="4"/>
    <n v="145920"/>
    <n v="4"/>
    <n v="145920"/>
    <x v="1"/>
    <x v="2"/>
  </r>
  <r>
    <x v="0"/>
    <n v="21000"/>
    <x v="473"/>
    <x v="369"/>
    <x v="44"/>
    <s v="Teen Beach Movie"/>
    <n v="60"/>
    <x v="85"/>
    <x v="154"/>
    <n v="-4.9859999999999998"/>
    <x v="1"/>
    <n v="0"/>
    <n v="3.4099999999999998E-2"/>
    <n v="0.51"/>
    <n v="0"/>
    <x v="55"/>
    <n v="0.77700000000000002"/>
    <n v="96.881"/>
    <n v="4"/>
    <n v="145920"/>
    <n v="4"/>
    <n v="145920"/>
    <n v="4"/>
    <n v="145920"/>
    <x v="1"/>
    <x v="2"/>
  </r>
  <r>
    <x v="2"/>
    <n v="20000"/>
    <x v="474"/>
    <x v="264"/>
    <x v="20"/>
    <s v="It's Not Me, It's You"/>
    <n v="62"/>
    <x v="23"/>
    <x v="330"/>
    <n v="-4.08"/>
    <x v="0"/>
    <n v="1"/>
    <n v="4.3700000000000003E-2"/>
    <n v="2.7099999999999999E-2"/>
    <n v="3.0299999999999999E-4"/>
    <x v="320"/>
    <n v="0.84"/>
    <n v="130.00899999999999"/>
    <n v="4"/>
    <n v="219893"/>
    <n v="4"/>
    <n v="219893"/>
    <n v="4"/>
    <n v="219893"/>
    <x v="1"/>
    <x v="2"/>
  </r>
  <r>
    <x v="3"/>
    <n v="19700"/>
    <x v="475"/>
    <x v="370"/>
    <x v="59"/>
    <s v="Káº» Cáº¯p Gáº·p BÃ  GiÃ "/>
    <n v="41"/>
    <x v="310"/>
    <x v="331"/>
    <n v="-3.4409999999999998"/>
    <x v="0"/>
    <n v="3"/>
    <n v="4.6699999999999998E-2"/>
    <n v="3.9100000000000003E-2"/>
    <n v="0.61099999999999999"/>
    <x v="221"/>
    <n v="0.79800000000000004"/>
    <n v="128.01499999999999"/>
    <n v="4"/>
    <n v="194955"/>
    <n v="4"/>
    <n v="194955"/>
    <n v="4"/>
    <n v="194955"/>
    <x v="1"/>
    <x v="2"/>
  </r>
  <r>
    <x v="0"/>
    <n v="19400"/>
    <x v="476"/>
    <x v="219"/>
    <x v="54"/>
    <s v="Luv Is Rage 2 (Deluxe)"/>
    <n v="83"/>
    <x v="311"/>
    <x v="332"/>
    <n v="-4.0090000000000003"/>
    <x v="0"/>
    <n v="8"/>
    <n v="0.11700000000000001"/>
    <n v="0.109"/>
    <n v="0"/>
    <x v="159"/>
    <n v="0.78300000000000003"/>
    <n v="123.426"/>
    <n v="4"/>
    <n v="220587"/>
    <n v="4"/>
    <n v="220587"/>
    <n v="4"/>
    <n v="220587"/>
    <x v="1"/>
    <x v="2"/>
  </r>
  <r>
    <x v="2"/>
    <n v="18900"/>
    <x v="477"/>
    <x v="277"/>
    <x v="17"/>
    <s v="hopeless fountain kingdom (Deluxe)"/>
    <n v="75"/>
    <x v="187"/>
    <x v="333"/>
    <n v="-6.0350000000000001"/>
    <x v="1"/>
    <n v="1"/>
    <n v="5.1299999999999998E-2"/>
    <n v="0.128"/>
    <n v="0"/>
    <x v="321"/>
    <n v="0.57099999999999995"/>
    <n v="95.162000000000006"/>
    <n v="4"/>
    <n v="101790"/>
    <n v="4"/>
    <n v="101790"/>
    <n v="4"/>
    <n v="101790"/>
    <x v="1"/>
    <x v="2"/>
  </r>
  <r>
    <x v="0"/>
    <n v="18700"/>
    <x v="478"/>
    <x v="209"/>
    <x v="20"/>
    <s v="Ho, why is you here ?"/>
    <n v="62"/>
    <x v="312"/>
    <x v="145"/>
    <n v="-3.9529999999999998"/>
    <x v="0"/>
    <n v="11"/>
    <n v="0.14199999999999999"/>
    <n v="0.216"/>
    <n v="0"/>
    <x v="92"/>
    <n v="0.91300000000000003"/>
    <n v="117.039"/>
    <n v="4"/>
    <n v="147692"/>
    <n v="4"/>
    <n v="147692"/>
    <n v="4"/>
    <n v="147692"/>
    <x v="1"/>
    <x v="2"/>
  </r>
  <r>
    <x v="2"/>
    <n v="18700"/>
    <x v="478"/>
    <x v="209"/>
    <x v="20"/>
    <s v="Beef FloMix"/>
    <n v="53"/>
    <x v="313"/>
    <x v="334"/>
    <n v="-8.36"/>
    <x v="1"/>
    <n v="7"/>
    <n v="0.221"/>
    <n v="0.23899999999999999"/>
    <n v="0"/>
    <x v="322"/>
    <n v="0.90100000000000002"/>
    <n v="116.99299999999999"/>
    <n v="4"/>
    <n v="147692"/>
    <n v="4"/>
    <n v="147692"/>
    <n v="4"/>
    <n v="147692"/>
    <x v="1"/>
    <x v="2"/>
  </r>
  <r>
    <x v="2"/>
    <n v="18600"/>
    <x v="479"/>
    <x v="371"/>
    <x v="35"/>
    <s v="Go Champ Go"/>
    <n v="0"/>
    <x v="314"/>
    <x v="335"/>
    <n v="-16.600999999999999"/>
    <x v="1"/>
    <n v="10"/>
    <n v="3.85E-2"/>
    <n v="0.752"/>
    <n v="0.68400000000000005"/>
    <x v="35"/>
    <n v="0.97099999999999997"/>
    <n v="174.095"/>
    <n v="4"/>
    <n v="135027"/>
    <n v="4"/>
    <n v="135027"/>
    <n v="4"/>
    <n v="135027"/>
    <x v="1"/>
    <x v="2"/>
  </r>
  <r>
    <x v="2"/>
    <n v="18100"/>
    <x v="480"/>
    <x v="372"/>
    <x v="19"/>
    <s v="Voices"/>
    <n v="77"/>
    <x v="315"/>
    <x v="6"/>
    <n v="-12.151"/>
    <x v="1"/>
    <n v="5"/>
    <n v="5.5100000000000003E-2"/>
    <n v="0.23400000000000001"/>
    <n v="0.112"/>
    <x v="323"/>
    <n v="0.90200000000000002"/>
    <n v="167.05699999999999"/>
    <n v="4"/>
    <n v="190627"/>
    <n v="4"/>
    <n v="190627"/>
    <n v="4"/>
    <n v="190627"/>
    <x v="1"/>
    <x v="2"/>
  </r>
  <r>
    <x v="0"/>
    <n v="18000"/>
    <x v="481"/>
    <x v="373"/>
    <x v="9"/>
    <s v="223's (feat. 9lokknine)"/>
    <n v="65"/>
    <x v="316"/>
    <x v="56"/>
    <n v="-7.7869999999999999"/>
    <x v="0"/>
    <n v="0"/>
    <n v="0.33300000000000002"/>
    <n v="3.8800000000000001E-2"/>
    <n v="0"/>
    <x v="324"/>
    <n v="0.69499999999999995"/>
    <n v="94.998000000000005"/>
    <n v="4"/>
    <n v="176640"/>
    <n v="4"/>
    <n v="176640"/>
    <n v="4"/>
    <n v="176640"/>
    <x v="1"/>
    <x v="2"/>
  </r>
  <r>
    <x v="2"/>
    <n v="18000"/>
    <x v="481"/>
    <x v="373"/>
    <x v="9"/>
    <s v="Melly vs. Melvin"/>
    <n v="66"/>
    <x v="316"/>
    <x v="56"/>
    <n v="-7.7869999999999999"/>
    <x v="0"/>
    <n v="0"/>
    <n v="0.33300000000000002"/>
    <n v="3.8800000000000001E-2"/>
    <n v="0"/>
    <x v="324"/>
    <n v="0.69499999999999995"/>
    <n v="94.998000000000005"/>
    <n v="4"/>
    <n v="176640"/>
    <n v="4"/>
    <n v="176640"/>
    <n v="4"/>
    <n v="176640"/>
    <x v="1"/>
    <x v="2"/>
  </r>
  <r>
    <x v="3"/>
    <n v="17800"/>
    <x v="482"/>
    <x v="322"/>
    <x v="55"/>
    <s v="The Truth About Love"/>
    <n v="71"/>
    <x v="317"/>
    <x v="44"/>
    <n v="-4.76"/>
    <x v="1"/>
    <n v="9"/>
    <n v="0.311"/>
    <n v="1.4400000000000001E-3"/>
    <n v="0"/>
    <x v="19"/>
    <n v="0.57799999999999996"/>
    <n v="192.20500000000001"/>
    <n v="4"/>
    <n v="230733"/>
    <n v="4"/>
    <n v="230733"/>
    <n v="4"/>
    <n v="230733"/>
    <x v="1"/>
    <x v="2"/>
  </r>
  <r>
    <x v="0"/>
    <n v="17500"/>
    <x v="483"/>
    <x v="374"/>
    <x v="6"/>
    <s v="I Still Am"/>
    <n v="67"/>
    <x v="194"/>
    <x v="266"/>
    <n v="-8.1259999999999994"/>
    <x v="0"/>
    <n v="1"/>
    <n v="0.34399999999999997"/>
    <n v="2.1999999999999999E-2"/>
    <n v="0"/>
    <x v="82"/>
    <n v="0.53"/>
    <n v="149.953"/>
    <n v="4"/>
    <n v="276333"/>
    <n v="4"/>
    <n v="276333"/>
    <n v="4"/>
    <n v="276333"/>
    <x v="1"/>
    <x v="2"/>
  </r>
  <r>
    <x v="3"/>
    <n v="17400"/>
    <x v="484"/>
    <x v="375"/>
    <x v="14"/>
    <s v="Shouldn't Be"/>
    <n v="73"/>
    <x v="34"/>
    <x v="336"/>
    <n v="-10.009"/>
    <x v="1"/>
    <n v="4"/>
    <n v="3.2599999999999997E-2"/>
    <n v="0.73799999999999999"/>
    <n v="0"/>
    <x v="79"/>
    <n v="0.30199999999999999"/>
    <n v="124.898"/>
    <n v="3"/>
    <n v="210436"/>
    <n v="3"/>
    <n v="210436"/>
    <n v="3"/>
    <n v="210436"/>
    <x v="1"/>
    <x v="2"/>
  </r>
  <r>
    <x v="2"/>
    <n v="16800"/>
    <x v="485"/>
    <x v="376"/>
    <x v="70"/>
    <s v="Good Morning"/>
    <n v="2"/>
    <x v="318"/>
    <x v="323"/>
    <n v="-8.5519999999999996"/>
    <x v="1"/>
    <n v="11"/>
    <n v="0.49199999999999999"/>
    <n v="6.0299999999999999E-2"/>
    <n v="0"/>
    <x v="120"/>
    <n v="0.78300000000000003"/>
    <n v="148.03700000000001"/>
    <n v="4"/>
    <n v="155742"/>
    <n v="4"/>
    <n v="155742"/>
    <n v="4"/>
    <n v="155742"/>
    <x v="1"/>
    <x v="2"/>
  </r>
  <r>
    <x v="3"/>
    <n v="16500"/>
    <x v="486"/>
    <x v="377"/>
    <x v="14"/>
    <s v="Hello Bitches"/>
    <n v="66"/>
    <x v="11"/>
    <x v="134"/>
    <n v="-2.9319999999999999"/>
    <x v="1"/>
    <n v="11"/>
    <n v="0.113"/>
    <n v="9.8499999999999994E-3"/>
    <n v="0"/>
    <x v="208"/>
    <n v="0.58399999999999996"/>
    <n v="145.07499999999999"/>
    <n v="4"/>
    <n v="178177"/>
    <n v="4"/>
    <n v="178177"/>
    <n v="4"/>
    <n v="178177"/>
    <x v="1"/>
    <x v="2"/>
  </r>
  <r>
    <x v="3"/>
    <n v="16500"/>
    <x v="487"/>
    <x v="35"/>
    <x v="3"/>
    <s v="Warrior (Expanded Edition)"/>
    <n v="78"/>
    <x v="64"/>
    <x v="182"/>
    <n v="-4.8049999999999997"/>
    <x v="0"/>
    <n v="1"/>
    <n v="4.5999999999999999E-2"/>
    <n v="4.9800000000000001E-3"/>
    <n v="1.25E-4"/>
    <x v="325"/>
    <n v="0.80100000000000005"/>
    <n v="128.001"/>
    <n v="4"/>
    <n v="211920"/>
    <n v="4"/>
    <n v="211920"/>
    <n v="4"/>
    <n v="211920"/>
    <x v="1"/>
    <x v="2"/>
  </r>
  <r>
    <x v="3"/>
    <n v="16300"/>
    <x v="488"/>
    <x v="378"/>
    <x v="11"/>
    <s v="Free Wired"/>
    <n v="74"/>
    <x v="319"/>
    <x v="302"/>
    <n v="-8.1259999999999994"/>
    <x v="1"/>
    <n v="3"/>
    <n v="0.44900000000000001"/>
    <n v="6.7600000000000004E-3"/>
    <n v="0"/>
    <x v="1"/>
    <n v="0.77800000000000002"/>
    <n v="124.913"/>
    <n v="4"/>
    <n v="216893"/>
    <n v="4"/>
    <n v="216893"/>
    <n v="4"/>
    <n v="216893"/>
    <x v="1"/>
    <x v="2"/>
  </r>
  <r>
    <x v="2"/>
    <n v="16300"/>
    <x v="489"/>
    <x v="379"/>
    <x v="24"/>
    <s v="Theres Still Us"/>
    <n v="0"/>
    <x v="320"/>
    <x v="244"/>
    <n v="-9.61"/>
    <x v="0"/>
    <n v="6"/>
    <n v="0.16600000000000001"/>
    <n v="8.7900000000000006E-2"/>
    <n v="1.1900000000000001E-4"/>
    <x v="326"/>
    <n v="0.72399999999999998"/>
    <n v="134.94200000000001"/>
    <n v="4"/>
    <n v="157333"/>
    <n v="4"/>
    <n v="157333"/>
    <n v="4"/>
    <n v="157333"/>
    <x v="1"/>
    <x v="2"/>
  </r>
  <r>
    <x v="0"/>
    <n v="15800"/>
    <x v="490"/>
    <x v="335"/>
    <x v="19"/>
    <s v="My Life"/>
    <n v="61"/>
    <x v="68"/>
    <x v="157"/>
    <n v="-9.56"/>
    <x v="0"/>
    <n v="5"/>
    <n v="5.4199999999999998E-2"/>
    <n v="0.125"/>
    <n v="3.1900000000000003E-5"/>
    <x v="327"/>
    <n v="0.84599999999999997"/>
    <n v="87.171999999999997"/>
    <n v="4"/>
    <n v="279240"/>
    <n v="4"/>
    <n v="279240"/>
    <n v="4"/>
    <n v="279240"/>
    <x v="1"/>
    <x v="2"/>
  </r>
  <r>
    <x v="3"/>
    <n v="15400"/>
    <x v="491"/>
    <x v="380"/>
    <x v="4"/>
    <s v="We play"/>
    <n v="72"/>
    <x v="321"/>
    <x v="337"/>
    <n v="-1.609"/>
    <x v="1"/>
    <n v="1"/>
    <n v="5.1400000000000001E-2"/>
    <n v="7.1900000000000002E-3"/>
    <n v="2.5500000000000001E-6"/>
    <x v="328"/>
    <n v="0.73799999999999999"/>
    <n v="164.00700000000001"/>
    <n v="4"/>
    <n v="205373"/>
    <n v="4"/>
    <n v="205373"/>
    <n v="4"/>
    <n v="205373"/>
    <x v="1"/>
    <x v="2"/>
  </r>
  <r>
    <x v="3"/>
    <n v="15400"/>
    <x v="492"/>
    <x v="381"/>
    <x v="11"/>
    <s v="Rewind - The Collection"/>
    <n v="59"/>
    <x v="183"/>
    <x v="134"/>
    <n v="-4.1269999999999998"/>
    <x v="1"/>
    <n v="1"/>
    <n v="4.41E-2"/>
    <n v="5.9500000000000004E-3"/>
    <n v="1.1000000000000001E-6"/>
    <x v="329"/>
    <n v="0.59399999999999997"/>
    <n v="125.39"/>
    <n v="4"/>
    <n v="207307"/>
    <n v="4"/>
    <n v="207307"/>
    <n v="4"/>
    <n v="207307"/>
    <x v="1"/>
    <x v="2"/>
  </r>
  <r>
    <x v="2"/>
    <n v="15000"/>
    <x v="493"/>
    <x v="382"/>
    <x v="14"/>
    <s v="Sings His Favorites"/>
    <n v="63"/>
    <x v="322"/>
    <x v="338"/>
    <n v="-8.5259999999999998"/>
    <x v="1"/>
    <n v="7"/>
    <n v="3.27E-2"/>
    <n v="0.90600000000000003"/>
    <n v="1.0800000000000001E-2"/>
    <x v="330"/>
    <n v="0.48599999999999999"/>
    <n v="116.068"/>
    <n v="3"/>
    <n v="155080"/>
    <n v="3"/>
    <n v="155080"/>
    <n v="3"/>
    <n v="155080"/>
    <x v="1"/>
    <x v="2"/>
  </r>
  <r>
    <x v="0"/>
    <n v="14800"/>
    <x v="494"/>
    <x v="383"/>
    <x v="9"/>
    <s v="Electra Heart"/>
    <n v="50"/>
    <x v="323"/>
    <x v="127"/>
    <n v="-2.6709999999999998"/>
    <x v="0"/>
    <n v="4"/>
    <n v="3.3700000000000001E-2"/>
    <n v="8.8400000000000006E-2"/>
    <n v="0"/>
    <x v="331"/>
    <n v="0.42699999999999999"/>
    <n v="127.98"/>
    <n v="4"/>
    <n v="221075"/>
    <n v="4"/>
    <n v="221075"/>
    <n v="4"/>
    <n v="221075"/>
    <x v="1"/>
    <x v="2"/>
  </r>
  <r>
    <x v="3"/>
    <n v="14500"/>
    <x v="495"/>
    <x v="384"/>
    <x v="11"/>
    <s v="Here's Your Perfect"/>
    <n v="77"/>
    <x v="119"/>
    <x v="35"/>
    <n v="-5.335"/>
    <x v="1"/>
    <n v="6"/>
    <n v="5.5100000000000003E-2"/>
    <n v="0.499"/>
    <n v="0"/>
    <x v="332"/>
    <n v="0.42399999999999999"/>
    <n v="113.12"/>
    <n v="4"/>
    <n v="158594"/>
    <n v="4"/>
    <n v="158594"/>
    <n v="4"/>
    <n v="158594"/>
    <x v="1"/>
    <x v="2"/>
  </r>
  <r>
    <x v="3"/>
    <n v="14100"/>
    <x v="71"/>
    <x v="70"/>
    <x v="5"/>
    <s v="abcdefu"/>
    <n v="87"/>
    <x v="55"/>
    <x v="64"/>
    <n v="-5.6920000000000002"/>
    <x v="1"/>
    <n v="4"/>
    <n v="4.9299999999999997E-2"/>
    <n v="0.29899999999999999"/>
    <n v="0"/>
    <x v="68"/>
    <n v="0.41499999999999998"/>
    <n v="121.932"/>
    <n v="4"/>
    <n v="168602"/>
    <n v="4"/>
    <n v="168602"/>
    <n v="4"/>
    <n v="168602"/>
    <x v="1"/>
    <x v="2"/>
  </r>
  <r>
    <x v="3"/>
    <n v="13800"/>
    <x v="496"/>
    <x v="385"/>
    <x v="6"/>
    <s v="Good For You"/>
    <n v="73"/>
    <x v="324"/>
    <x v="339"/>
    <n v="-10.179"/>
    <x v="0"/>
    <n v="5"/>
    <n v="0.505"/>
    <n v="0.17"/>
    <n v="0"/>
    <x v="333"/>
    <n v="0.70699999999999996"/>
    <n v="120.04"/>
    <n v="4"/>
    <n v="209640"/>
    <n v="4"/>
    <n v="209640"/>
    <n v="4"/>
    <n v="209640"/>
    <x v="1"/>
    <x v="2"/>
  </r>
  <r>
    <x v="2"/>
    <n v="13400"/>
    <x v="497"/>
    <x v="386"/>
    <x v="46"/>
    <s v="Dingo Christmas Season"/>
    <n v="40"/>
    <x v="144"/>
    <x v="233"/>
    <n v="-9.6050000000000004"/>
    <x v="1"/>
    <n v="1"/>
    <n v="0.36499999999999999"/>
    <n v="0.35699999999999998"/>
    <n v="0"/>
    <x v="219"/>
    <n v="0.32900000000000001"/>
    <n v="150.03899999999999"/>
    <n v="4"/>
    <n v="167500"/>
    <n v="4"/>
    <n v="167500"/>
    <n v="4"/>
    <n v="167500"/>
    <x v="1"/>
    <x v="2"/>
  </r>
  <r>
    <x v="1"/>
    <n v="13300"/>
    <x v="498"/>
    <x v="125"/>
    <x v="54"/>
    <s v="SOUR"/>
    <n v="88"/>
    <x v="325"/>
    <x v="280"/>
    <n v="-5.0439999999999996"/>
    <x v="1"/>
    <n v="9"/>
    <n v="0.154"/>
    <n v="0.33500000000000002"/>
    <n v="0"/>
    <x v="334"/>
    <n v="0.68799999999999994"/>
    <n v="166.928"/>
    <n v="4"/>
    <n v="178147"/>
    <n v="4"/>
    <n v="178147"/>
    <n v="4"/>
    <n v="178147"/>
    <x v="1"/>
    <x v="2"/>
  </r>
  <r>
    <x v="2"/>
    <n v="12700"/>
    <x v="499"/>
    <x v="387"/>
    <x v="71"/>
    <s v="Legs (From &quot;&quot;RuPaul's Drag Race 8&quot;&quot;)"/>
    <n v="44"/>
    <x v="326"/>
    <x v="340"/>
    <n v="-5.4859999999999998"/>
    <x v="0"/>
    <n v="5"/>
    <n v="0.23200000000000001"/>
    <n v="5.0200000000000002E-3"/>
    <n v="6.2600000000000002E-6"/>
    <x v="223"/>
    <n v="0.749"/>
    <n v="122.994"/>
    <n v="4"/>
    <n v="106364"/>
    <n v="4"/>
    <n v="106364"/>
    <n v="4"/>
    <n v="106364"/>
    <x v="1"/>
    <x v="2"/>
  </r>
  <r>
    <x v="0"/>
    <n v="12400"/>
    <x v="500"/>
    <x v="328"/>
    <x v="57"/>
    <s v="After Laughter"/>
    <n v="73"/>
    <x v="55"/>
    <x v="341"/>
    <n v="-5.3789999999999996"/>
    <x v="0"/>
    <n v="5"/>
    <n v="3.3399999999999999E-2"/>
    <n v="6.4700000000000001E-3"/>
    <n v="4.87E-6"/>
    <x v="335"/>
    <n v="0.91600000000000004"/>
    <n v="119.965"/>
    <n v="4"/>
    <n v="182693"/>
    <n v="4"/>
    <n v="182693"/>
    <n v="4"/>
    <n v="182693"/>
    <x v="1"/>
    <x v="2"/>
  </r>
  <r>
    <x v="0"/>
    <n v="12100"/>
    <x v="501"/>
    <x v="388"/>
    <x v="6"/>
    <s v="hate u love u"/>
    <n v="74"/>
    <x v="327"/>
    <x v="342"/>
    <n v="-8.9149999999999991"/>
    <x v="0"/>
    <n v="6"/>
    <n v="0.17399999999999999"/>
    <n v="0.65600000000000003"/>
    <n v="0"/>
    <x v="336"/>
    <n v="0.246"/>
    <n v="176.947"/>
    <n v="4"/>
    <n v="175467"/>
    <n v="4"/>
    <n v="175467"/>
    <n v="4"/>
    <n v="175467"/>
    <x v="1"/>
    <x v="2"/>
  </r>
  <r>
    <x v="3"/>
    <n v="12000"/>
    <x v="450"/>
    <x v="354"/>
    <x v="6"/>
    <s v="Eenie Meenie"/>
    <n v="74"/>
    <x v="219"/>
    <x v="322"/>
    <n v="-4.1680000000000001"/>
    <x v="1"/>
    <n v="1"/>
    <n v="3.2199999999999999E-2"/>
    <n v="5.4300000000000001E-2"/>
    <n v="0"/>
    <x v="18"/>
    <n v="0.82799999999999996"/>
    <n v="121.223"/>
    <n v="4"/>
    <n v="201947"/>
    <n v="4"/>
    <n v="201947"/>
    <n v="4"/>
    <n v="201947"/>
    <x v="1"/>
    <x v="2"/>
  </r>
  <r>
    <x v="3"/>
    <n v="11500"/>
    <x v="502"/>
    <x v="389"/>
    <x v="67"/>
    <s v="æ™šå®‰æ™šå®‰ (DJç‰ˆ)"/>
    <n v="35"/>
    <x v="328"/>
    <x v="335"/>
    <n v="-6.6589999999999998"/>
    <x v="1"/>
    <n v="3"/>
    <n v="7.0000000000000007E-2"/>
    <n v="0.28399999999999997"/>
    <n v="0"/>
    <x v="337"/>
    <n v="0.64200000000000002"/>
    <n v="179.8"/>
    <n v="4"/>
    <n v="125320"/>
    <n v="4"/>
    <n v="125320"/>
    <n v="4"/>
    <n v="125320"/>
    <x v="1"/>
    <x v="2"/>
  </r>
  <r>
    <x v="3"/>
    <n v="11500"/>
    <x v="325"/>
    <x v="390"/>
    <x v="54"/>
    <s v="I Am Not A Human Being II (Deluxe)"/>
    <n v="70"/>
    <x v="329"/>
    <x v="343"/>
    <n v="-6.476"/>
    <x v="1"/>
    <n v="11"/>
    <n v="3.27E-2"/>
    <n v="1.2500000000000001E-2"/>
    <n v="0"/>
    <x v="198"/>
    <n v="0.496"/>
    <n v="124.90600000000001"/>
    <n v="4"/>
    <n v="255053"/>
    <n v="4"/>
    <n v="255053"/>
    <n v="4"/>
    <n v="255053"/>
    <x v="1"/>
    <x v="2"/>
  </r>
  <r>
    <x v="1"/>
    <n v="11300"/>
    <x v="503"/>
    <x v="391"/>
    <x v="14"/>
    <s v="Baby Girl"/>
    <n v="76"/>
    <x v="146"/>
    <x v="344"/>
    <n v="-3.72"/>
    <x v="1"/>
    <n v="2"/>
    <n v="6.0600000000000001E-2"/>
    <n v="9.2100000000000001E-2"/>
    <n v="0.114"/>
    <x v="338"/>
    <n v="0.249"/>
    <n v="120.968"/>
    <n v="4"/>
    <n v="111074"/>
    <n v="4"/>
    <n v="111074"/>
    <n v="4"/>
    <n v="111074"/>
    <x v="1"/>
    <x v="2"/>
  </r>
  <r>
    <x v="1"/>
    <n v="11200"/>
    <x v="504"/>
    <x v="116"/>
    <x v="41"/>
    <s v="Frozen"/>
    <n v="76"/>
    <x v="103"/>
    <x v="271"/>
    <n v="-9.5839999999999996"/>
    <x v="1"/>
    <n v="1"/>
    <n v="4.19E-2"/>
    <n v="0.26700000000000002"/>
    <n v="1.9199999999999998E-2"/>
    <x v="339"/>
    <n v="0.375"/>
    <n v="110.005"/>
    <n v="4"/>
    <n v="120157"/>
    <n v="4"/>
    <n v="120157"/>
    <n v="4"/>
    <n v="120157"/>
    <x v="1"/>
    <x v="2"/>
  </r>
  <r>
    <x v="2"/>
    <n v="11100"/>
    <x v="505"/>
    <x v="392"/>
    <x v="6"/>
    <s v="souljaboytellem.com"/>
    <n v="74"/>
    <x v="0"/>
    <x v="25"/>
    <n v="-2.1800000000000002"/>
    <x v="1"/>
    <n v="0"/>
    <n v="7.8600000000000003E-2"/>
    <n v="0.51500000000000001"/>
    <n v="0"/>
    <x v="340"/>
    <n v="0.80300000000000005"/>
    <n v="140.14099999999999"/>
    <n v="4"/>
    <n v="221933"/>
    <n v="4"/>
    <n v="221933"/>
    <n v="4"/>
    <n v="221933"/>
    <x v="1"/>
    <x v="2"/>
  </r>
  <r>
    <x v="2"/>
    <n v="10800"/>
    <x v="506"/>
    <x v="393"/>
    <x v="71"/>
    <s v="U Was At The Club (Bottoms Up)"/>
    <n v="50"/>
    <x v="156"/>
    <x v="269"/>
    <n v="-3.6739999999999999"/>
    <x v="1"/>
    <n v="3"/>
    <n v="0.161"/>
    <n v="1.8599999999999998E-2"/>
    <n v="0.107"/>
    <x v="341"/>
    <n v="0.84299999999999997"/>
    <n v="117.98699999999999"/>
    <n v="4"/>
    <n v="196400"/>
    <n v="4"/>
    <n v="196400"/>
    <n v="4"/>
    <n v="196400"/>
    <x v="1"/>
    <x v="2"/>
  </r>
  <r>
    <x v="2"/>
    <n v="10600"/>
    <x v="507"/>
    <x v="394"/>
    <x v="52"/>
    <s v="Uno"/>
    <n v="56"/>
    <x v="330"/>
    <x v="345"/>
    <n v="-8.1590000000000007"/>
    <x v="1"/>
    <n v="8"/>
    <n v="0.155"/>
    <n v="1.4300000000000001E-4"/>
    <n v="0"/>
    <x v="17"/>
    <n v="0.19600000000000001"/>
    <n v="110.002"/>
    <n v="4"/>
    <n v="109091"/>
    <n v="4"/>
    <n v="109091"/>
    <n v="4"/>
    <n v="109091"/>
    <x v="1"/>
    <x v="2"/>
  </r>
  <r>
    <x v="2"/>
    <n v="10500"/>
    <x v="508"/>
    <x v="395"/>
    <x v="52"/>
    <s v="Oh Nanana Challenge"/>
    <n v="0"/>
    <x v="249"/>
    <x v="235"/>
    <n v="-2.9969999999999999"/>
    <x v="1"/>
    <n v="1"/>
    <n v="0.26100000000000001"/>
    <n v="5.9700000000000003E-2"/>
    <n v="3.1099999999999999E-6"/>
    <x v="304"/>
    <n v="0.57399999999999995"/>
    <n v="64.808000000000007"/>
    <n v="4"/>
    <n v="133116"/>
    <n v="4"/>
    <n v="133116"/>
    <n v="4"/>
    <n v="133116"/>
    <x v="1"/>
    <x v="2"/>
  </r>
  <r>
    <x v="2"/>
    <n v="9931"/>
    <x v="509"/>
    <x v="216"/>
    <x v="55"/>
    <s v="Leaked"/>
    <n v="50"/>
    <x v="87"/>
    <x v="346"/>
    <n v="-7.91"/>
    <x v="1"/>
    <n v="7"/>
    <n v="0.105"/>
    <n v="0.81599999999999995"/>
    <n v="0"/>
    <x v="342"/>
    <n v="0.32900000000000001"/>
    <n v="97.012"/>
    <n v="4"/>
    <n v="220333"/>
    <n v="4"/>
    <n v="220333"/>
    <n v="4"/>
    <n v="220333"/>
    <x v="1"/>
    <x v="2"/>
  </r>
  <r>
    <x v="0"/>
    <n v="9924"/>
    <x v="510"/>
    <x v="396"/>
    <x v="72"/>
    <s v="I'm Looking for Mrs. Bubblegum"/>
    <n v="29"/>
    <x v="331"/>
    <x v="79"/>
    <n v="-10.025"/>
    <x v="1"/>
    <n v="1"/>
    <n v="0.30199999999999999"/>
    <n v="0.214"/>
    <n v="6.0599999999999996E-6"/>
    <x v="343"/>
    <n v="0.96199999999999997"/>
    <n v="124.036"/>
    <n v="4"/>
    <n v="281313"/>
    <n v="4"/>
    <n v="281313"/>
    <n v="4"/>
    <n v="281313"/>
    <x v="1"/>
    <x v="2"/>
  </r>
  <r>
    <x v="0"/>
    <n v="9568"/>
    <x v="511"/>
    <x v="397"/>
    <x v="55"/>
    <s v="Unbroken"/>
    <n v="70"/>
    <x v="34"/>
    <x v="16"/>
    <n v="-3.218"/>
    <x v="1"/>
    <n v="6"/>
    <n v="4.87E-2"/>
    <n v="0.23"/>
    <n v="0"/>
    <x v="206"/>
    <n v="0.56899999999999995"/>
    <n v="123.008"/>
    <n v="4"/>
    <n v="205347"/>
    <n v="4"/>
    <n v="205347"/>
    <n v="4"/>
    <n v="205347"/>
    <x v="1"/>
    <x v="2"/>
  </r>
  <r>
    <x v="1"/>
    <n v="9257"/>
    <x v="512"/>
    <x v="398"/>
    <x v="34"/>
    <s v="Cooped Up"/>
    <n v="83"/>
    <x v="329"/>
    <x v="347"/>
    <n v="-5.6189999999999998"/>
    <x v="1"/>
    <n v="0"/>
    <n v="0.153"/>
    <n v="3.7999999999999999E-2"/>
    <n v="0"/>
    <x v="18"/>
    <n v="0.377"/>
    <n v="93.923000000000002"/>
    <n v="4"/>
    <n v="185857"/>
    <n v="4"/>
    <n v="185857"/>
    <n v="4"/>
    <n v="185857"/>
    <x v="1"/>
    <x v="2"/>
  </r>
  <r>
    <x v="1"/>
    <n v="9230"/>
    <x v="513"/>
    <x v="399"/>
    <x v="11"/>
    <s v="THE ANXIETY"/>
    <n v="81"/>
    <x v="311"/>
    <x v="348"/>
    <n v="-7.93"/>
    <x v="1"/>
    <n v="2"/>
    <n v="2.9899999999999999E-2"/>
    <n v="1.5299999999999999E-2"/>
    <n v="1.93E-4"/>
    <x v="344"/>
    <n v="0.39900000000000002"/>
    <n v="94.995000000000005"/>
    <n v="4"/>
    <n v="162680"/>
    <n v="4"/>
    <n v="162680"/>
    <n v="4"/>
    <n v="162680"/>
    <x v="1"/>
    <x v="2"/>
  </r>
  <r>
    <x v="2"/>
    <n v="9213"/>
    <x v="514"/>
    <x v="400"/>
    <x v="1"/>
    <s v="Ligma"/>
    <n v="49"/>
    <x v="332"/>
    <x v="349"/>
    <n v="-9.4139999999999997"/>
    <x v="1"/>
    <n v="8"/>
    <n v="0.41799999999999998"/>
    <n v="9.1499999999999998E-2"/>
    <n v="0"/>
    <x v="345"/>
    <n v="0.60299999999999998"/>
    <n v="128.56100000000001"/>
    <n v="4"/>
    <n v="75717"/>
    <n v="4"/>
    <n v="75717"/>
    <n v="4"/>
    <n v="75717"/>
    <x v="1"/>
    <x v="2"/>
  </r>
  <r>
    <x v="1"/>
    <n v="8935"/>
    <x v="515"/>
    <x v="401"/>
    <x v="46"/>
    <s v="Whatever You Like"/>
    <n v="49"/>
    <x v="333"/>
    <x v="304"/>
    <n v="-9.4260000000000002"/>
    <x v="0"/>
    <n v="1"/>
    <n v="4.3200000000000002E-2"/>
    <n v="0.109"/>
    <n v="9.859999999999999E-4"/>
    <x v="258"/>
    <n v="0.61399999999999999"/>
    <n v="123.976"/>
    <n v="4"/>
    <n v="144677"/>
    <n v="4"/>
    <n v="144677"/>
    <n v="4"/>
    <n v="144677"/>
    <x v="1"/>
    <x v="2"/>
  </r>
  <r>
    <x v="2"/>
    <n v="8529"/>
    <x v="516"/>
    <x v="402"/>
    <x v="10"/>
    <s v="I Don't Mind (feat. Juicy J)"/>
    <n v="67"/>
    <x v="19"/>
    <x v="350"/>
    <n v="-8.3369999999999997"/>
    <x v="1"/>
    <n v="4"/>
    <n v="0.17799999999999999"/>
    <n v="0.20499999999999999"/>
    <n v="0"/>
    <x v="346"/>
    <n v="0.45700000000000002"/>
    <n v="112.974"/>
    <n v="4"/>
    <n v="251989"/>
    <n v="4"/>
    <n v="251989"/>
    <n v="4"/>
    <n v="251989"/>
    <x v="1"/>
    <x v="2"/>
  </r>
  <r>
    <x v="2"/>
    <n v="8452"/>
    <x v="517"/>
    <x v="403"/>
    <x v="20"/>
    <s v="Sweet Caroline"/>
    <n v="79"/>
    <x v="334"/>
    <x v="351"/>
    <n v="-16.065999999999999"/>
    <x v="1"/>
    <n v="11"/>
    <n v="2.7400000000000001E-2"/>
    <n v="0.61099999999999999"/>
    <n v="1.0900000000000001E-4"/>
    <x v="347"/>
    <n v="0.57799999999999996"/>
    <n v="63.05"/>
    <n v="4"/>
    <n v="203573"/>
    <n v="4"/>
    <n v="203573"/>
    <n v="4"/>
    <n v="203573"/>
    <x v="1"/>
    <x v="2"/>
  </r>
  <r>
    <x v="0"/>
    <n v="8366"/>
    <x v="518"/>
    <x v="404"/>
    <x v="11"/>
    <s v="I'm Allergic To Dogs!"/>
    <n v="63"/>
    <x v="214"/>
    <x v="140"/>
    <n v="-3.637"/>
    <x v="1"/>
    <n v="1"/>
    <n v="8.1900000000000001E-2"/>
    <n v="0.111"/>
    <n v="0"/>
    <x v="74"/>
    <n v="0.80200000000000005"/>
    <n v="113.956"/>
    <n v="4"/>
    <n v="265263"/>
    <n v="4"/>
    <n v="265263"/>
    <n v="4"/>
    <n v="265263"/>
    <x v="1"/>
    <x v="2"/>
  </r>
  <r>
    <x v="3"/>
    <n v="7930"/>
    <x v="519"/>
    <x v="405"/>
    <x v="56"/>
    <s v="Enter The Dragon"/>
    <n v="40"/>
    <x v="335"/>
    <x v="352"/>
    <n v="-3.5489999999999999"/>
    <x v="0"/>
    <n v="9"/>
    <n v="5.0299999999999997E-2"/>
    <n v="0.28100000000000003"/>
    <n v="3.1599999999999998E-4"/>
    <x v="348"/>
    <n v="0.52800000000000002"/>
    <n v="107.99"/>
    <n v="4"/>
    <n v="206200"/>
    <n v="4"/>
    <n v="206200"/>
    <n v="4"/>
    <n v="206200"/>
    <x v="1"/>
    <x v="2"/>
  </r>
  <r>
    <x v="2"/>
    <n v="7746"/>
    <x v="520"/>
    <x v="406"/>
    <x v="37"/>
    <s v="Rockefeller Street (New Nightcore) [#Rockefellerstreet Remix]"/>
    <n v="59"/>
    <x v="189"/>
    <x v="353"/>
    <n v="-3.5190000000000001"/>
    <x v="1"/>
    <n v="2"/>
    <n v="6.0600000000000001E-2"/>
    <n v="0.28299999999999997"/>
    <n v="2.07E-2"/>
    <x v="349"/>
    <n v="0.88400000000000001"/>
    <n v="161.983"/>
    <n v="4"/>
    <n v="155009"/>
    <n v="4"/>
    <n v="155009"/>
    <n v="4"/>
    <n v="155009"/>
    <x v="1"/>
    <x v="2"/>
  </r>
  <r>
    <x v="2"/>
    <n v="7664"/>
    <x v="521"/>
    <x v="407"/>
    <x v="62"/>
    <s v="Gordon Ramsay"/>
    <n v="45"/>
    <x v="140"/>
    <x v="291"/>
    <n v="-7.133"/>
    <x v="0"/>
    <n v="10"/>
    <n v="0.34300000000000003"/>
    <n v="2.07E-2"/>
    <n v="0"/>
    <x v="273"/>
    <n v="0.80800000000000005"/>
    <n v="74.983999999999995"/>
    <n v="4"/>
    <n v="141150"/>
    <n v="4"/>
    <n v="141150"/>
    <n v="4"/>
    <n v="141150"/>
    <x v="1"/>
    <x v="2"/>
  </r>
  <r>
    <x v="2"/>
    <n v="7199"/>
    <x v="522"/>
    <x v="408"/>
    <x v="73"/>
    <s v="Oh No I Got a Disease"/>
    <n v="26"/>
    <x v="336"/>
    <x v="354"/>
    <n v="-4.3650000000000002"/>
    <x v="0"/>
    <n v="10"/>
    <n v="0.73"/>
    <n v="0.14599999999999999"/>
    <n v="0"/>
    <x v="16"/>
    <n v="0.84499999999999997"/>
    <n v="86.703999999999994"/>
    <n v="5"/>
    <n v="134769"/>
    <n v="5"/>
    <n v="134769"/>
    <n v="5"/>
    <n v="134769"/>
    <x v="1"/>
    <x v="2"/>
  </r>
  <r>
    <x v="3"/>
    <n v="7012"/>
    <x v="523"/>
    <x v="409"/>
    <x v="23"/>
    <s v="You're Perfect"/>
    <n v="57"/>
    <x v="337"/>
    <x v="355"/>
    <n v="-3.282"/>
    <x v="0"/>
    <n v="7"/>
    <n v="0.24399999999999999"/>
    <n v="0.318"/>
    <n v="0"/>
    <x v="350"/>
    <n v="0.78300000000000003"/>
    <n v="104.90900000000001"/>
    <n v="4"/>
    <n v="196973"/>
    <n v="4"/>
    <n v="196973"/>
    <n v="4"/>
    <n v="196973"/>
    <x v="1"/>
    <x v="2"/>
  </r>
  <r>
    <x v="1"/>
    <n v="7002"/>
    <x v="524"/>
    <x v="410"/>
    <x v="1"/>
    <s v="Bag Raiders (Deluxe)"/>
    <n v="0"/>
    <x v="336"/>
    <x v="10"/>
    <n v="-6.2320000000000002"/>
    <x v="1"/>
    <n v="11"/>
    <n v="4.4499999999999998E-2"/>
    <n v="8.7900000000000006E-2"/>
    <n v="0.03"/>
    <x v="38"/>
    <n v="0.503"/>
    <n v="124.968"/>
    <n v="4"/>
    <n v="235813"/>
    <n v="4"/>
    <n v="235813"/>
    <n v="4"/>
    <n v="235813"/>
    <x v="1"/>
    <x v="2"/>
  </r>
  <r>
    <x v="2"/>
    <n v="6993"/>
    <x v="524"/>
    <x v="410"/>
    <x v="1"/>
    <s v="Bag Raiders (Deluxe)"/>
    <n v="0"/>
    <x v="336"/>
    <x v="10"/>
    <n v="-6.2320000000000002"/>
    <x v="1"/>
    <n v="11"/>
    <n v="4.4499999999999998E-2"/>
    <n v="8.7900000000000006E-2"/>
    <n v="0.03"/>
    <x v="38"/>
    <n v="0.503"/>
    <n v="124.968"/>
    <n v="4"/>
    <n v="235813"/>
    <n v="4"/>
    <n v="235813"/>
    <n v="4"/>
    <n v="235813"/>
    <x v="1"/>
    <x v="2"/>
  </r>
  <r>
    <x v="2"/>
    <n v="6802"/>
    <x v="525"/>
    <x v="411"/>
    <x v="27"/>
    <s v="Ghost Duet"/>
    <n v="58"/>
    <x v="138"/>
    <x v="356"/>
    <n v="-16.523"/>
    <x v="1"/>
    <n v="7"/>
    <n v="8.6400000000000005E-2"/>
    <n v="0.96"/>
    <n v="0.86099999999999999"/>
    <x v="16"/>
    <n v="0.61099999999999999"/>
    <n v="78.036000000000001"/>
    <n v="3"/>
    <n v="60004"/>
    <n v="3"/>
    <n v="60004"/>
    <n v="3"/>
    <n v="60004"/>
    <x v="1"/>
    <x v="2"/>
  </r>
  <r>
    <x v="0"/>
    <n v="6796"/>
    <x v="526"/>
    <x v="412"/>
    <x v="23"/>
    <s v="Call Me Crazy, But..."/>
    <n v="69"/>
    <x v="255"/>
    <x v="357"/>
    <n v="-9.484"/>
    <x v="0"/>
    <n v="1"/>
    <n v="4.07E-2"/>
    <n v="1.6E-2"/>
    <n v="8.1000000000000004E-5"/>
    <x v="351"/>
    <n v="0.21099999999999999"/>
    <n v="119.992"/>
    <n v="4"/>
    <n v="281080"/>
    <n v="4"/>
    <n v="281080"/>
    <n v="4"/>
    <n v="281080"/>
    <x v="1"/>
    <x v="2"/>
  </r>
  <r>
    <x v="2"/>
    <n v="6724"/>
    <x v="527"/>
    <x v="413"/>
    <x v="25"/>
    <s v="Entropy (2014 Original)"/>
    <n v="56"/>
    <x v="51"/>
    <x v="33"/>
    <n v="-13.605"/>
    <x v="1"/>
    <n v="8"/>
    <n v="5.9799999999999999E-2"/>
    <n v="0.22"/>
    <n v="0"/>
    <x v="231"/>
    <n v="0.39700000000000002"/>
    <n v="106.98099999999999"/>
    <n v="4"/>
    <n v="210887"/>
    <n v="4"/>
    <n v="210887"/>
    <n v="4"/>
    <n v="210887"/>
    <x v="1"/>
    <x v="2"/>
  </r>
  <r>
    <x v="2"/>
    <n v="6596"/>
    <x v="528"/>
    <x v="222"/>
    <x v="2"/>
    <s v="Chanel"/>
    <n v="78"/>
    <x v="79"/>
    <x v="53"/>
    <n v="-5.7320000000000002"/>
    <x v="0"/>
    <n v="0"/>
    <n v="0.23699999999999999"/>
    <n v="0.874"/>
    <n v="0"/>
    <x v="76"/>
    <n v="0.47299999999999998"/>
    <n v="110.134"/>
    <n v="4"/>
    <n v="210285"/>
    <n v="4"/>
    <n v="210285"/>
    <n v="4"/>
    <n v="210285"/>
    <x v="1"/>
    <x v="2"/>
  </r>
  <r>
    <x v="0"/>
    <n v="6549"/>
    <x v="528"/>
    <x v="222"/>
    <x v="2"/>
    <s v="Chanel"/>
    <n v="78"/>
    <x v="79"/>
    <x v="53"/>
    <n v="-5.7320000000000002"/>
    <x v="0"/>
    <n v="0"/>
    <n v="0.23699999999999999"/>
    <n v="0.874"/>
    <n v="0"/>
    <x v="76"/>
    <n v="0.47299999999999998"/>
    <n v="110.134"/>
    <n v="4"/>
    <n v="210285"/>
    <n v="4"/>
    <n v="210285"/>
    <n v="4"/>
    <n v="210285"/>
    <x v="1"/>
    <x v="2"/>
  </r>
  <r>
    <x v="2"/>
    <n v="6434"/>
    <x v="529"/>
    <x v="414"/>
    <x v="61"/>
    <s v="I Wish"/>
    <n v="63"/>
    <x v="233"/>
    <x v="74"/>
    <n v="-10.138999999999999"/>
    <x v="1"/>
    <n v="7"/>
    <n v="0.157"/>
    <n v="8.26E-3"/>
    <n v="0"/>
    <x v="250"/>
    <n v="0.57299999999999995"/>
    <n v="97.876999999999995"/>
    <n v="4"/>
    <n v="252307"/>
    <n v="4"/>
    <n v="252307"/>
    <n v="4"/>
    <n v="252307"/>
    <x v="1"/>
    <x v="2"/>
  </r>
  <r>
    <x v="2"/>
    <n v="6295"/>
    <x v="530"/>
    <x v="415"/>
    <x v="64"/>
    <s v="ok boomer"/>
    <n v="36"/>
    <x v="221"/>
    <x v="226"/>
    <n v="-2.3170000000000002"/>
    <x v="1"/>
    <n v="1"/>
    <n v="0.41599999999999998"/>
    <n v="9.1999999999999998E-2"/>
    <n v="0"/>
    <x v="352"/>
    <n v="0.59399999999999997"/>
    <n v="129.89599999999999"/>
    <n v="4"/>
    <n v="132923"/>
    <n v="4"/>
    <n v="132923"/>
    <n v="4"/>
    <n v="132923"/>
    <x v="1"/>
    <x v="2"/>
  </r>
  <r>
    <x v="1"/>
    <n v="6068"/>
    <x v="531"/>
    <x v="416"/>
    <x v="16"/>
    <s v="Good Looking"/>
    <n v="80"/>
    <x v="338"/>
    <x v="358"/>
    <n v="-9.0760000000000005"/>
    <x v="1"/>
    <n v="4"/>
    <n v="2.9899999999999999E-2"/>
    <n v="7.8899999999999998E-2"/>
    <n v="3.4200000000000002E-4"/>
    <x v="179"/>
    <n v="0.26700000000000002"/>
    <n v="149.971"/>
    <n v="3"/>
    <n v="214800"/>
    <n v="3"/>
    <n v="214800"/>
    <n v="3"/>
    <n v="214800"/>
    <x v="1"/>
    <x v="2"/>
  </r>
  <r>
    <x v="1"/>
    <n v="5499"/>
    <x v="532"/>
    <x v="69"/>
    <x v="17"/>
    <s v="STAY (with Justin Bieber)"/>
    <n v="89"/>
    <x v="339"/>
    <x v="70"/>
    <n v="-5.484"/>
    <x v="1"/>
    <n v="1"/>
    <n v="4.8300000000000003E-2"/>
    <n v="3.8300000000000001E-2"/>
    <n v="0"/>
    <x v="283"/>
    <n v="0.47799999999999998"/>
    <n v="169.928"/>
    <n v="4"/>
    <n v="141806"/>
    <n v="4"/>
    <n v="141806"/>
    <n v="4"/>
    <n v="141806"/>
    <x v="1"/>
    <x v="2"/>
  </r>
  <r>
    <x v="3"/>
    <n v="5499"/>
    <x v="532"/>
    <x v="69"/>
    <x v="17"/>
    <s v="STAY (with Justin Bieber)"/>
    <n v="89"/>
    <x v="339"/>
    <x v="70"/>
    <n v="-5.484"/>
    <x v="1"/>
    <n v="1"/>
    <n v="4.8300000000000003E-2"/>
    <n v="3.8300000000000001E-2"/>
    <n v="0"/>
    <x v="283"/>
    <n v="0.47799999999999998"/>
    <n v="169.928"/>
    <n v="4"/>
    <n v="141806"/>
    <n v="4"/>
    <n v="141806"/>
    <n v="4"/>
    <n v="141806"/>
    <x v="1"/>
    <x v="2"/>
  </r>
  <r>
    <x v="3"/>
    <n v="5482"/>
    <x v="533"/>
    <x v="156"/>
    <x v="43"/>
    <s v="1989 (Deluxe)"/>
    <n v="79"/>
    <x v="170"/>
    <x v="269"/>
    <n v="-5.5949999999999998"/>
    <x v="1"/>
    <n v="7"/>
    <n v="4.02E-2"/>
    <n v="2.4499999999999999E-3"/>
    <n v="2.5799999999999998E-3"/>
    <x v="127"/>
    <n v="0.48699999999999999"/>
    <n v="94.933000000000007"/>
    <n v="4"/>
    <n v="231000"/>
    <n v="4"/>
    <n v="231000"/>
    <n v="4"/>
    <n v="231000"/>
    <x v="1"/>
    <x v="2"/>
  </r>
  <r>
    <x v="2"/>
    <n v="5281"/>
    <x v="534"/>
    <x v="350"/>
    <x v="55"/>
    <s v="Bcos U Will Never B Free"/>
    <n v="73"/>
    <x v="340"/>
    <x v="359"/>
    <n v="-14.037000000000001"/>
    <x v="1"/>
    <n v="4"/>
    <n v="5.2999999999999999E-2"/>
    <n v="0.65300000000000002"/>
    <n v="0"/>
    <x v="283"/>
    <n v="0.222"/>
    <n v="113.818"/>
    <n v="4"/>
    <n v="206975"/>
    <n v="4"/>
    <n v="206975"/>
    <n v="4"/>
    <n v="206975"/>
    <x v="1"/>
    <x v="2"/>
  </r>
  <r>
    <x v="0"/>
    <n v="5266"/>
    <x v="535"/>
    <x v="325"/>
    <x v="53"/>
    <s v="ye"/>
    <n v="0"/>
    <x v="211"/>
    <x v="360"/>
    <n v="-6.7309999999999999"/>
    <x v="0"/>
    <n v="1"/>
    <n v="0.52400000000000002"/>
    <n v="0.374"/>
    <n v="0"/>
    <x v="353"/>
    <n v="0.04"/>
    <n v="110.111"/>
    <n v="4"/>
    <n v="215320"/>
    <n v="4"/>
    <n v="215320"/>
    <n v="4"/>
    <n v="215320"/>
    <x v="1"/>
    <x v="2"/>
  </r>
  <r>
    <x v="3"/>
    <n v="5249"/>
    <x v="536"/>
    <x v="47"/>
    <x v="30"/>
    <s v="Certified Lover Boy"/>
    <n v="72"/>
    <x v="162"/>
    <x v="361"/>
    <n v="-8.35"/>
    <x v="0"/>
    <n v="7"/>
    <n v="0.29699999999999999"/>
    <n v="0.61399999999999999"/>
    <n v="0"/>
    <x v="42"/>
    <n v="0.14699999999999999"/>
    <n v="143.07"/>
    <n v="4"/>
    <n v="296568"/>
    <n v="4"/>
    <n v="296568"/>
    <n v="4"/>
    <n v="296568"/>
    <x v="1"/>
    <x v="2"/>
  </r>
  <r>
    <x v="0"/>
    <n v="5132"/>
    <x v="537"/>
    <x v="417"/>
    <x v="3"/>
    <s v="Cleopatra"/>
    <n v="77"/>
    <x v="154"/>
    <x v="5"/>
    <n v="-6.5190000000000001"/>
    <x v="1"/>
    <n v="5"/>
    <n v="2.7699999999999999E-2"/>
    <n v="0.61299999999999999"/>
    <n v="3.6299999999999999E-4"/>
    <x v="195"/>
    <n v="0.56599999999999995"/>
    <n v="76.022999999999996"/>
    <n v="4"/>
    <n v="160097"/>
    <n v="4"/>
    <n v="160097"/>
    <n v="4"/>
    <n v="160097"/>
    <x v="1"/>
    <x v="2"/>
  </r>
  <r>
    <x v="2"/>
    <n v="5129"/>
    <x v="537"/>
    <x v="417"/>
    <x v="3"/>
    <s v="Cleopatra (Deluxe)"/>
    <n v="54"/>
    <x v="154"/>
    <x v="5"/>
    <n v="-6.5190000000000001"/>
    <x v="1"/>
    <n v="5"/>
    <n v="2.7699999999999999E-2"/>
    <n v="0.61299999999999999"/>
    <n v="3.6299999999999999E-4"/>
    <x v="195"/>
    <n v="0.56599999999999995"/>
    <n v="76.022999999999996"/>
    <n v="4"/>
    <n v="160097"/>
    <n v="4"/>
    <n v="160097"/>
    <n v="4"/>
    <n v="160097"/>
    <x v="1"/>
    <x v="2"/>
  </r>
  <r>
    <x v="2"/>
    <n v="5121"/>
    <x v="538"/>
    <x v="418"/>
    <x v="33"/>
    <s v="All Rebel Rockers"/>
    <n v="0"/>
    <x v="65"/>
    <x v="362"/>
    <n v="-4.3739999999999997"/>
    <x v="0"/>
    <n v="5"/>
    <n v="8.5500000000000007E-2"/>
    <n v="3.7999999999999999E-2"/>
    <n v="5.93E-6"/>
    <x v="166"/>
    <n v="0.95699999999999996"/>
    <n v="92.998000000000005"/>
    <n v="4"/>
    <n v="235760"/>
    <n v="4"/>
    <n v="235760"/>
    <n v="4"/>
    <n v="235760"/>
    <x v="1"/>
    <x v="2"/>
  </r>
  <r>
    <x v="3"/>
    <n v="4764"/>
    <x v="539"/>
    <x v="419"/>
    <x v="57"/>
    <s v="You Don't Know Me"/>
    <n v="64"/>
    <x v="59"/>
    <x v="137"/>
    <n v="-6.0549999999999997"/>
    <x v="0"/>
    <n v="11"/>
    <n v="0.13200000000000001"/>
    <n v="0.16300000000000001"/>
    <n v="0"/>
    <x v="19"/>
    <n v="0.69299999999999995"/>
    <n v="123.999"/>
    <n v="4"/>
    <n v="213947"/>
    <n v="4"/>
    <n v="213947"/>
    <n v="4"/>
    <n v="213947"/>
    <x v="1"/>
    <x v="2"/>
  </r>
  <r>
    <x v="0"/>
    <n v="4753"/>
    <x v="540"/>
    <x v="225"/>
    <x v="26"/>
    <s v="Producer Man"/>
    <n v="62"/>
    <x v="323"/>
    <x v="247"/>
    <n v="-5.3639999999999999"/>
    <x v="0"/>
    <n v="10"/>
    <n v="0.223"/>
    <n v="0.129"/>
    <n v="0"/>
    <x v="354"/>
    <n v="0.75"/>
    <n v="173.994"/>
    <n v="4"/>
    <n v="141673"/>
    <n v="4"/>
    <n v="141673"/>
    <n v="4"/>
    <n v="141673"/>
    <x v="1"/>
    <x v="2"/>
  </r>
  <r>
    <x v="2"/>
    <n v="4697"/>
    <x v="541"/>
    <x v="325"/>
    <x v="53"/>
    <s v="I Love It"/>
    <n v="72"/>
    <x v="291"/>
    <x v="8"/>
    <n v="-8.3040000000000003"/>
    <x v="1"/>
    <n v="2"/>
    <n v="0.33"/>
    <n v="1.14E-2"/>
    <n v="0"/>
    <x v="192"/>
    <n v="0.32900000000000001"/>
    <n v="104.053"/>
    <n v="4"/>
    <n v="127947"/>
    <n v="4"/>
    <n v="127947"/>
    <n v="4"/>
    <n v="127947"/>
    <x v="1"/>
    <x v="2"/>
  </r>
  <r>
    <x v="2"/>
    <n v="4682"/>
    <x v="542"/>
    <x v="420"/>
    <x v="63"/>
    <s v="YKWTFGO"/>
    <n v="47"/>
    <x v="341"/>
    <x v="243"/>
    <n v="-3.3"/>
    <x v="1"/>
    <n v="1"/>
    <n v="0.47399999999999998"/>
    <n v="1.55E-2"/>
    <n v="0"/>
    <x v="355"/>
    <n v="0.72499999999999998"/>
    <n v="190.178"/>
    <n v="4"/>
    <n v="152464"/>
    <n v="4"/>
    <n v="152464"/>
    <n v="4"/>
    <n v="152464"/>
    <x v="1"/>
    <x v="2"/>
  </r>
  <r>
    <x v="2"/>
    <n v="4653"/>
    <x v="543"/>
    <x v="421"/>
    <x v="52"/>
    <s v="God Bless Tiny Tim"/>
    <n v="51"/>
    <x v="342"/>
    <x v="363"/>
    <n v="-19.238"/>
    <x v="1"/>
    <n v="4"/>
    <n v="8.7099999999999997E-2"/>
    <n v="0.91100000000000003"/>
    <n v="2.3700000000000001E-3"/>
    <x v="356"/>
    <n v="0.86"/>
    <n v="99.561000000000007"/>
    <n v="4"/>
    <n v="125933"/>
    <n v="4"/>
    <n v="125933"/>
    <n v="4"/>
    <n v="125933"/>
    <x v="1"/>
    <x v="2"/>
  </r>
  <r>
    <x v="3"/>
    <n v="4581"/>
    <x v="544"/>
    <x v="243"/>
    <x v="15"/>
    <s v="The Papercut Chronicles II"/>
    <n v="63"/>
    <x v="196"/>
    <x v="102"/>
    <n v="-3.2930000000000001"/>
    <x v="1"/>
    <n v="9"/>
    <n v="9.7600000000000006E-2"/>
    <n v="3.1899999999999998E-2"/>
    <n v="0"/>
    <x v="357"/>
    <n v="0.79600000000000004"/>
    <n v="89.99"/>
    <n v="4"/>
    <n v="210960"/>
    <n v="4"/>
    <n v="210960"/>
    <n v="4"/>
    <n v="210960"/>
    <x v="1"/>
    <x v="2"/>
  </r>
  <r>
    <x v="2"/>
    <n v="4284"/>
    <x v="545"/>
    <x v="422"/>
    <x v="37"/>
    <s v="Sin City"/>
    <n v="58"/>
    <x v="7"/>
    <x v="364"/>
    <n v="-11.436999999999999"/>
    <x v="1"/>
    <n v="4"/>
    <n v="0.45700000000000002"/>
    <n v="0.67600000000000005"/>
    <n v="0"/>
    <x v="86"/>
    <n v="0.38700000000000001"/>
    <n v="120.1"/>
    <n v="4"/>
    <n v="212000"/>
    <n v="4"/>
    <n v="212000"/>
    <n v="4"/>
    <n v="212000"/>
    <x v="1"/>
    <x v="2"/>
  </r>
  <r>
    <x v="0"/>
    <n v="4218"/>
    <x v="92"/>
    <x v="88"/>
    <x v="0"/>
    <s v="Backyard Boy (Stripped)"/>
    <n v="70"/>
    <x v="337"/>
    <x v="57"/>
    <n v="-7.2460000000000004"/>
    <x v="1"/>
    <n v="5"/>
    <n v="0.16300000000000001"/>
    <n v="0.32300000000000001"/>
    <n v="0"/>
    <x v="358"/>
    <n v="0.45400000000000001"/>
    <n v="138.01499999999999"/>
    <n v="4"/>
    <n v="129241"/>
    <n v="4"/>
    <n v="129241"/>
    <n v="4"/>
    <n v="129241"/>
    <x v="1"/>
    <x v="2"/>
  </r>
  <r>
    <x v="3"/>
    <n v="3765"/>
    <x v="546"/>
    <x v="423"/>
    <x v="32"/>
    <s v="Pumped Up Kicks"/>
    <n v="75"/>
    <x v="329"/>
    <x v="113"/>
    <n v="-4.7530000000000001"/>
    <x v="1"/>
    <n v="0"/>
    <n v="4.2999999999999997E-2"/>
    <n v="0.152"/>
    <n v="1.5999999999999999E-5"/>
    <x v="144"/>
    <n v="0.38600000000000001"/>
    <n v="123.90300000000001"/>
    <n v="4"/>
    <n v="145161"/>
    <n v="4"/>
    <n v="145161"/>
    <n v="4"/>
    <n v="145161"/>
    <x v="1"/>
    <x v="2"/>
  </r>
  <r>
    <x v="1"/>
    <n v="3764"/>
    <x v="546"/>
    <x v="423"/>
    <x v="32"/>
    <s v="Pumped Up Kicks"/>
    <n v="75"/>
    <x v="329"/>
    <x v="113"/>
    <n v="-4.7530000000000001"/>
    <x v="1"/>
    <n v="0"/>
    <n v="4.2999999999999997E-2"/>
    <n v="0.152"/>
    <n v="1.5999999999999999E-5"/>
    <x v="144"/>
    <n v="0.38600000000000001"/>
    <n v="123.90300000000001"/>
    <n v="4"/>
    <n v="145161"/>
    <n v="4"/>
    <n v="145161"/>
    <n v="4"/>
    <n v="145161"/>
    <x v="1"/>
    <x v="2"/>
  </r>
  <r>
    <x v="0"/>
    <n v="3744"/>
    <x v="547"/>
    <x v="424"/>
    <x v="36"/>
    <s v="The Beginning"/>
    <n v="76"/>
    <x v="189"/>
    <x v="365"/>
    <n v="-8.6850000000000005"/>
    <x v="0"/>
    <n v="0"/>
    <n v="0.17899999999999999"/>
    <n v="0.186"/>
    <n v="0"/>
    <x v="56"/>
    <n v="0.26200000000000001"/>
    <n v="94.05"/>
    <n v="4"/>
    <n v="219427"/>
    <n v="4"/>
    <n v="219427"/>
    <n v="4"/>
    <n v="219427"/>
    <x v="1"/>
    <x v="2"/>
  </r>
  <r>
    <x v="0"/>
    <n v="3677"/>
    <x v="548"/>
    <x v="156"/>
    <x v="43"/>
    <s v="Only The Young (Featured in Miss Americana)"/>
    <n v="64"/>
    <x v="200"/>
    <x v="205"/>
    <n v="-4.8949999999999996"/>
    <x v="0"/>
    <n v="5"/>
    <n v="5.1700000000000003E-2"/>
    <n v="2.4399999999999999E-3"/>
    <n v="0"/>
    <x v="181"/>
    <n v="0.60199999999999998"/>
    <n v="93.516000000000005"/>
    <n v="4"/>
    <n v="157507"/>
    <n v="4"/>
    <n v="157507"/>
    <n v="4"/>
    <n v="157507"/>
    <x v="1"/>
    <x v="2"/>
  </r>
  <r>
    <x v="1"/>
    <n v="3635"/>
    <x v="549"/>
    <x v="425"/>
    <x v="20"/>
    <s v="The World Is Yours"/>
    <n v="70"/>
    <x v="177"/>
    <x v="366"/>
    <n v="-6.5309999999999997"/>
    <x v="1"/>
    <n v="11"/>
    <n v="0.14299999999999999"/>
    <n v="0.20200000000000001"/>
    <n v="0"/>
    <x v="19"/>
    <n v="0.158"/>
    <n v="94.980999999999995"/>
    <n v="4"/>
    <n v="175230"/>
    <n v="4"/>
    <n v="175230"/>
    <n v="4"/>
    <n v="175230"/>
    <x v="1"/>
    <x v="2"/>
  </r>
  <r>
    <x v="3"/>
    <n v="3624"/>
    <x v="550"/>
    <x v="218"/>
    <x v="55"/>
    <s v="Heaven &amp; Hell"/>
    <n v="63"/>
    <x v="307"/>
    <x v="108"/>
    <n v="-4.6639999999999997"/>
    <x v="0"/>
    <n v="0"/>
    <n v="6.8400000000000002E-2"/>
    <n v="0.13500000000000001"/>
    <n v="0"/>
    <x v="99"/>
    <n v="0.503"/>
    <n v="173.92599999999999"/>
    <n v="4"/>
    <n v="164537"/>
    <n v="4"/>
    <n v="164537"/>
    <n v="4"/>
    <n v="164537"/>
    <x v="1"/>
    <x v="2"/>
  </r>
  <r>
    <x v="2"/>
    <n v="3547"/>
    <x v="551"/>
    <x v="426"/>
    <x v="60"/>
    <s v="Good Girl Gone Bad: Reloaded"/>
    <n v="76"/>
    <x v="138"/>
    <x v="367"/>
    <n v="-4.5149999999999997"/>
    <x v="0"/>
    <n v="11"/>
    <n v="5.7099999999999998E-2"/>
    <n v="8.6300000000000002E-2"/>
    <n v="0"/>
    <x v="359"/>
    <n v="0.72199999999999998"/>
    <n v="124.92100000000001"/>
    <n v="4"/>
    <n v="238627"/>
    <n v="4"/>
    <n v="238627"/>
    <n v="4"/>
    <n v="238627"/>
    <x v="1"/>
    <x v="2"/>
  </r>
  <r>
    <x v="2"/>
    <n v="3523"/>
    <x v="552"/>
    <x v="427"/>
    <x v="24"/>
    <s v="Cherry Cola"/>
    <n v="61"/>
    <x v="343"/>
    <x v="57"/>
    <n v="-6.3230000000000004"/>
    <x v="0"/>
    <n v="5"/>
    <n v="3.9199999999999999E-2"/>
    <n v="0.76400000000000001"/>
    <n v="2.2500000000000001E-6"/>
    <x v="212"/>
    <n v="0.65300000000000002"/>
    <n v="138.04"/>
    <n v="4"/>
    <n v="184360"/>
    <n v="4"/>
    <n v="184360"/>
    <n v="4"/>
    <n v="184360"/>
    <x v="1"/>
    <x v="2"/>
  </r>
  <r>
    <x v="2"/>
    <n v="3466"/>
    <x v="553"/>
    <x v="261"/>
    <x v="15"/>
    <s v="Foreign Ororo (Special Edition)"/>
    <n v="63"/>
    <x v="53"/>
    <x v="249"/>
    <n v="-6.11"/>
    <x v="1"/>
    <n v="8"/>
    <n v="7.7600000000000002E-2"/>
    <n v="0.21"/>
    <n v="3.6299999999999999E-2"/>
    <x v="360"/>
    <n v="0.60399999999999998"/>
    <n v="122.011"/>
    <n v="4"/>
    <n v="246970"/>
    <n v="4"/>
    <n v="246970"/>
    <n v="4"/>
    <n v="246970"/>
    <x v="1"/>
    <x v="2"/>
  </r>
  <r>
    <x v="0"/>
    <n v="3396"/>
    <x v="554"/>
    <x v="428"/>
    <x v="27"/>
    <s v="The Chordettes' Best"/>
    <n v="56"/>
    <x v="344"/>
    <x v="318"/>
    <n v="-8.3989999999999991"/>
    <x v="1"/>
    <n v="9"/>
    <n v="4.2099999999999999E-2"/>
    <n v="0.63400000000000001"/>
    <n v="0"/>
    <x v="361"/>
    <n v="0.58899999999999997"/>
    <n v="110.395"/>
    <n v="4"/>
    <n v="143613"/>
    <n v="4"/>
    <n v="143613"/>
    <n v="4"/>
    <n v="143613"/>
    <x v="1"/>
    <x v="2"/>
  </r>
  <r>
    <x v="2"/>
    <n v="3396"/>
    <x v="554"/>
    <x v="428"/>
    <x v="27"/>
    <s v="The Chordettes"/>
    <n v="50"/>
    <x v="187"/>
    <x v="170"/>
    <n v="-4.4409999999999998"/>
    <x v="1"/>
    <n v="9"/>
    <n v="4.4299999999999999E-2"/>
    <n v="0.85"/>
    <n v="0"/>
    <x v="286"/>
    <n v="0.67100000000000004"/>
    <n v="108.804"/>
    <n v="4"/>
    <n v="144200"/>
    <n v="4"/>
    <n v="144200"/>
    <n v="4"/>
    <n v="144200"/>
    <x v="1"/>
    <x v="2"/>
  </r>
  <r>
    <x v="0"/>
    <n v="3027"/>
    <x v="555"/>
    <x v="429"/>
    <x v="31"/>
    <s v="Cole World: The Sideline Story"/>
    <n v="80"/>
    <x v="30"/>
    <x v="368"/>
    <n v="-6.9029999999999996"/>
    <x v="1"/>
    <n v="2"/>
    <n v="0.106"/>
    <n v="5.3100000000000001E-2"/>
    <n v="0"/>
    <x v="306"/>
    <n v="0.216"/>
    <n v="93.004000000000005"/>
    <n v="4"/>
    <n v="235320"/>
    <n v="4"/>
    <n v="235320"/>
    <n v="4"/>
    <n v="235320"/>
    <x v="1"/>
    <x v="2"/>
  </r>
  <r>
    <x v="0"/>
    <n v="2933"/>
    <x v="556"/>
    <x v="430"/>
    <x v="32"/>
    <s v="Picture Show"/>
    <n v="79"/>
    <x v="345"/>
    <x v="369"/>
    <n v="-3.9060000000000001"/>
    <x v="1"/>
    <n v="8"/>
    <n v="5.8599999999999999E-2"/>
    <n v="3.0100000000000001E-3"/>
    <n v="0"/>
    <x v="362"/>
    <n v="0.72499999999999998"/>
    <n v="154.96100000000001"/>
    <n v="4"/>
    <n v="177280"/>
    <n v="4"/>
    <n v="177280"/>
    <n v="4"/>
    <n v="177280"/>
    <x v="1"/>
    <x v="2"/>
  </r>
  <r>
    <x v="2"/>
    <n v="2889"/>
    <x v="557"/>
    <x v="431"/>
    <x v="57"/>
    <s v="Rather Be (feat. Jess Glynne)"/>
    <n v="72"/>
    <x v="152"/>
    <x v="103"/>
    <n v="-6.7350000000000003"/>
    <x v="1"/>
    <n v="11"/>
    <n v="3.7699999999999997E-2"/>
    <n v="0.16200000000000001"/>
    <n v="2.03E-6"/>
    <x v="243"/>
    <n v="0.54900000000000004"/>
    <n v="120.97"/>
    <n v="4"/>
    <n v="227833"/>
    <n v="4"/>
    <n v="227833"/>
    <n v="4"/>
    <n v="227833"/>
    <x v="1"/>
    <x v="2"/>
  </r>
  <r>
    <x v="2"/>
    <n v="2880"/>
    <x v="558"/>
    <x v="432"/>
    <x v="23"/>
    <s v="It's Up Freestyle"/>
    <n v="51"/>
    <x v="20"/>
    <x v="370"/>
    <n v="-10.252000000000001"/>
    <x v="0"/>
    <n v="7"/>
    <n v="0.70099999999999996"/>
    <n v="2.1600000000000001E-2"/>
    <n v="0"/>
    <x v="363"/>
    <n v="0.35399999999999998"/>
    <n v="157.03700000000001"/>
    <n v="4"/>
    <n v="159745"/>
    <n v="4"/>
    <n v="159745"/>
    <n v="4"/>
    <n v="159745"/>
    <x v="1"/>
    <x v="2"/>
  </r>
  <r>
    <x v="0"/>
    <n v="2817"/>
    <x v="559"/>
    <x v="433"/>
    <x v="54"/>
    <s v="Queen (Deluxe)"/>
    <n v="64"/>
    <x v="206"/>
    <x v="145"/>
    <n v="-4.75"/>
    <x v="1"/>
    <n v="7"/>
    <n v="0.17799999999999999"/>
    <n v="5.33E-2"/>
    <n v="1.15E-4"/>
    <x v="55"/>
    <n v="0.29499999999999998"/>
    <n v="96.51"/>
    <n v="4"/>
    <n v="237493"/>
    <n v="4"/>
    <n v="237493"/>
    <n v="4"/>
    <n v="237493"/>
    <x v="1"/>
    <x v="2"/>
  </r>
  <r>
    <x v="0"/>
    <n v="2812"/>
    <x v="560"/>
    <x v="434"/>
    <x v="27"/>
    <s v="Ruby Blue"/>
    <n v="52"/>
    <x v="214"/>
    <x v="298"/>
    <n v="-8.3160000000000007"/>
    <x v="1"/>
    <n v="9"/>
    <n v="3.6299999999999999E-2"/>
    <n v="0.20499999999999999"/>
    <n v="5.3499999999999999E-4"/>
    <x v="112"/>
    <n v="0.51800000000000002"/>
    <n v="106.977"/>
    <n v="4"/>
    <n v="215387"/>
    <n v="4"/>
    <n v="215387"/>
    <n v="4"/>
    <n v="215387"/>
    <x v="1"/>
    <x v="2"/>
  </r>
  <r>
    <x v="1"/>
    <n v="2555"/>
    <x v="561"/>
    <x v="268"/>
    <x v="53"/>
    <s v="Changes"/>
    <n v="77"/>
    <x v="27"/>
    <x v="371"/>
    <n v="-6.6369999999999996"/>
    <x v="1"/>
    <n v="9"/>
    <n v="5.7500000000000002E-2"/>
    <n v="0.3"/>
    <n v="0"/>
    <x v="55"/>
    <n v="0.874"/>
    <n v="147.98599999999999"/>
    <n v="4"/>
    <n v="212867"/>
    <n v="4"/>
    <n v="212867"/>
    <n v="4"/>
    <n v="212867"/>
    <x v="1"/>
    <x v="2"/>
  </r>
  <r>
    <x v="2"/>
    <n v="2516"/>
    <x v="562"/>
    <x v="435"/>
    <x v="26"/>
    <s v="Ta Dah"/>
    <n v="58"/>
    <x v="46"/>
    <x v="173"/>
    <n v="-4.9119999999999999"/>
    <x v="1"/>
    <n v="3"/>
    <n v="3.2599999999999997E-2"/>
    <n v="0.23899999999999999"/>
    <n v="0"/>
    <x v="97"/>
    <n v="0.86899999999999999"/>
    <n v="96.991"/>
    <n v="4"/>
    <n v="166573"/>
    <n v="4"/>
    <n v="166573"/>
    <n v="4"/>
    <n v="166573"/>
    <x v="1"/>
    <x v="2"/>
  </r>
  <r>
    <x v="1"/>
    <n v="2507"/>
    <x v="563"/>
    <x v="85"/>
    <x v="12"/>
    <s v="MONTERO (Call Me By Your Name)"/>
    <n v="4"/>
    <x v="346"/>
    <x v="161"/>
    <n v="-6.6820000000000004"/>
    <x v="0"/>
    <n v="8"/>
    <n v="0.152"/>
    <n v="0.29699999999999999"/>
    <n v="0"/>
    <x v="364"/>
    <n v="0.75800000000000001"/>
    <n v="178.81800000000001"/>
    <n v="4"/>
    <n v="137876"/>
    <n v="4"/>
    <n v="137876"/>
    <n v="4"/>
    <n v="137876"/>
    <x v="1"/>
    <x v="2"/>
  </r>
  <r>
    <x v="3"/>
    <n v="2507"/>
    <x v="563"/>
    <x v="85"/>
    <x v="12"/>
    <s v="MONTERO (Call Me By Your Name)"/>
    <n v="4"/>
    <x v="346"/>
    <x v="161"/>
    <n v="-6.6820000000000004"/>
    <x v="0"/>
    <n v="8"/>
    <n v="0.152"/>
    <n v="0.29699999999999999"/>
    <n v="0"/>
    <x v="364"/>
    <n v="0.75800000000000001"/>
    <n v="178.81800000000001"/>
    <n v="4"/>
    <n v="137876"/>
    <n v="4"/>
    <n v="137876"/>
    <n v="4"/>
    <n v="137876"/>
    <x v="1"/>
    <x v="2"/>
  </r>
  <r>
    <x v="0"/>
    <n v="2254"/>
    <x v="564"/>
    <x v="436"/>
    <x v="61"/>
    <s v="Toy"/>
    <n v="64"/>
    <x v="347"/>
    <x v="245"/>
    <n v="-5.3490000000000002"/>
    <x v="0"/>
    <n v="3"/>
    <n v="6.7799999999999999E-2"/>
    <n v="7.0599999999999996E-2"/>
    <n v="0"/>
    <x v="365"/>
    <n v="0.79500000000000004"/>
    <n v="130.14400000000001"/>
    <n v="4"/>
    <n v="180231"/>
    <n v="4"/>
    <n v="180231"/>
    <n v="4"/>
    <n v="180231"/>
    <x v="1"/>
    <x v="2"/>
  </r>
  <r>
    <x v="2"/>
    <n v="2194"/>
    <x v="565"/>
    <x v="437"/>
    <x v="13"/>
    <s v="#3 Deluxe Version"/>
    <n v="78"/>
    <x v="111"/>
    <x v="237"/>
    <n v="-4.343"/>
    <x v="1"/>
    <n v="10"/>
    <n v="5.6399999999999999E-2"/>
    <n v="6.54E-2"/>
    <n v="0"/>
    <x v="23"/>
    <n v="0.629"/>
    <n v="84.786000000000001"/>
    <n v="4"/>
    <n v="202533"/>
    <n v="4"/>
    <n v="202533"/>
    <n v="4"/>
    <n v="202533"/>
    <x v="1"/>
    <x v="2"/>
  </r>
  <r>
    <x v="1"/>
    <n v="2133"/>
    <x v="566"/>
    <x v="438"/>
    <x v="64"/>
    <s v="Fever (Remix)"/>
    <n v="0"/>
    <x v="348"/>
    <x v="103"/>
    <n v="-6.0670000000000002"/>
    <x v="0"/>
    <n v="10"/>
    <n v="5.67E-2"/>
    <n v="6.08E-2"/>
    <n v="4.0899999999999999E-3"/>
    <x v="79"/>
    <n v="0.72399999999999998"/>
    <n v="120.018"/>
    <n v="4"/>
    <n v="156000"/>
    <n v="4"/>
    <n v="156000"/>
    <n v="4"/>
    <n v="156000"/>
    <x v="1"/>
    <x v="2"/>
  </r>
  <r>
    <x v="0"/>
    <n v="2130"/>
    <x v="567"/>
    <x v="439"/>
    <x v="7"/>
    <s v="The Best Of Patience &amp; Prudence"/>
    <n v="52"/>
    <x v="51"/>
    <x v="372"/>
    <n v="-7.5439999999999996"/>
    <x v="0"/>
    <n v="10"/>
    <n v="2.8899999999999999E-2"/>
    <n v="0.95399999999999996"/>
    <n v="0"/>
    <x v="310"/>
    <n v="0.76900000000000002"/>
    <n v="108.07"/>
    <n v="4"/>
    <n v="115227"/>
    <n v="4"/>
    <n v="115227"/>
    <n v="4"/>
    <n v="115227"/>
    <x v="1"/>
    <x v="2"/>
  </r>
  <r>
    <x v="1"/>
    <n v="2118"/>
    <x v="568"/>
    <x v="109"/>
    <x v="45"/>
    <s v="Harry's House"/>
    <n v="93"/>
    <x v="11"/>
    <x v="373"/>
    <n v="-4.5949999999999998"/>
    <x v="1"/>
    <n v="10"/>
    <n v="4.6800000000000001E-2"/>
    <n v="0.29799999999999999"/>
    <n v="0"/>
    <x v="83"/>
    <n v="0.90100000000000002"/>
    <n v="114.996"/>
    <n v="4"/>
    <n v="177955"/>
    <n v="4"/>
    <n v="177955"/>
    <n v="4"/>
    <n v="177955"/>
    <x v="1"/>
    <x v="2"/>
  </r>
  <r>
    <x v="3"/>
    <n v="2058"/>
    <x v="569"/>
    <x v="440"/>
    <x v="23"/>
    <s v="Not 4 Sale"/>
    <n v="73"/>
    <x v="349"/>
    <x v="175"/>
    <n v="-5.9569999999999999"/>
    <x v="1"/>
    <n v="8"/>
    <n v="7.5600000000000001E-2"/>
    <n v="4.3699999999999998E-3"/>
    <n v="0"/>
    <x v="342"/>
    <n v="0.80700000000000005"/>
    <n v="117.002"/>
    <n v="4"/>
    <n v="246053"/>
    <n v="4"/>
    <n v="246053"/>
    <n v="4"/>
    <n v="246053"/>
    <x v="1"/>
    <x v="2"/>
  </r>
  <r>
    <x v="0"/>
    <n v="2034"/>
    <x v="570"/>
    <x v="441"/>
    <x v="55"/>
    <s v="Konvicted (Complete Edition)"/>
    <n v="64"/>
    <x v="25"/>
    <x v="6"/>
    <n v="-8.7530000000000001"/>
    <x v="0"/>
    <n v="9"/>
    <n v="4.3299999999999998E-2"/>
    <n v="1.6400000000000001E-2"/>
    <n v="0"/>
    <x v="53"/>
    <n v="0.35699999999999998"/>
    <n v="99.994"/>
    <n v="4"/>
    <n v="246765"/>
    <n v="4"/>
    <n v="246765"/>
    <n v="4"/>
    <n v="246765"/>
    <x v="1"/>
    <x v="2"/>
  </r>
  <r>
    <x v="3"/>
    <n v="2030"/>
    <x v="570"/>
    <x v="441"/>
    <x v="55"/>
    <s v="Konvicted"/>
    <n v="14"/>
    <x v="350"/>
    <x v="92"/>
    <n v="-9.3870000000000005"/>
    <x v="1"/>
    <n v="0"/>
    <n v="4.1700000000000001E-2"/>
    <n v="3.5900000000000001E-2"/>
    <n v="1.28E-6"/>
    <x v="144"/>
    <n v="0.35199999999999998"/>
    <n v="99.989000000000004"/>
    <n v="4"/>
    <n v="247067"/>
    <n v="4"/>
    <n v="247067"/>
    <n v="4"/>
    <n v="247067"/>
    <x v="1"/>
    <x v="2"/>
  </r>
  <r>
    <x v="0"/>
    <n v="2012"/>
    <x v="571"/>
    <x v="356"/>
    <x v="31"/>
    <s v="Chromatica"/>
    <n v="64"/>
    <x v="275"/>
    <x v="88"/>
    <n v="-4.3719999999999999"/>
    <x v="1"/>
    <n v="2"/>
    <n v="3.4200000000000001E-2"/>
    <n v="1.29E-2"/>
    <n v="5.4600000000000002E-6"/>
    <x v="325"/>
    <n v="0.35099999999999998"/>
    <n v="115.95699999999999"/>
    <n v="4"/>
    <n v="161733"/>
    <n v="4"/>
    <n v="161733"/>
    <n v="4"/>
    <n v="161733"/>
    <x v="1"/>
    <x v="2"/>
  </r>
  <r>
    <x v="1"/>
    <n v="2001"/>
    <x v="572"/>
    <x v="442"/>
    <x v="23"/>
    <s v="Memories"/>
    <n v="64"/>
    <x v="21"/>
    <x v="249"/>
    <n v="-4.18"/>
    <x v="1"/>
    <n v="8"/>
    <n v="0.11600000000000001"/>
    <n v="0.33500000000000002"/>
    <n v="6.2299999999999996E-4"/>
    <x v="55"/>
    <n v="0.73799999999999999"/>
    <n v="123.979"/>
    <n v="4"/>
    <n v="138453"/>
    <n v="4"/>
    <n v="138453"/>
    <n v="4"/>
    <n v="138453"/>
    <x v="1"/>
    <x v="2"/>
  </r>
  <r>
    <x v="3"/>
    <n v="1982"/>
    <x v="573"/>
    <x v="426"/>
    <x v="60"/>
    <s v="Talk That Talk"/>
    <n v="77"/>
    <x v="136"/>
    <x v="45"/>
    <n v="-4.4850000000000003"/>
    <x v="1"/>
    <n v="1"/>
    <n v="3.8300000000000001E-2"/>
    <n v="2.5000000000000001E-2"/>
    <n v="1.3799999999999999E-3"/>
    <x v="19"/>
    <n v="0.6"/>
    <n v="127.986"/>
    <n v="4"/>
    <n v="215227"/>
    <n v="4"/>
    <n v="215227"/>
    <n v="4"/>
    <n v="215227"/>
    <x v="1"/>
    <x v="2"/>
  </r>
  <r>
    <x v="0"/>
    <n v="1952"/>
    <x v="574"/>
    <x v="443"/>
    <x v="44"/>
    <s v="Hello My Name Is..."/>
    <n v="73"/>
    <x v="233"/>
    <x v="272"/>
    <n v="-3.835"/>
    <x v="1"/>
    <n v="2"/>
    <n v="5.0900000000000001E-2"/>
    <n v="3.5100000000000001E-3"/>
    <n v="3.8399999999999998E-5"/>
    <x v="77"/>
    <n v="0.748"/>
    <n v="93.043000000000006"/>
    <n v="4"/>
    <n v="200947"/>
    <n v="4"/>
    <n v="200947"/>
    <n v="4"/>
    <n v="200947"/>
    <x v="1"/>
    <x v="2"/>
  </r>
  <r>
    <x v="3"/>
    <n v="1860"/>
    <x v="575"/>
    <x v="444"/>
    <x v="5"/>
    <s v="Love Tonight (David Guetta Remix)"/>
    <n v="81"/>
    <x v="114"/>
    <x v="374"/>
    <n v="-4.2249999999999996"/>
    <x v="0"/>
    <n v="10"/>
    <n v="4.3400000000000001E-2"/>
    <n v="1.4999999999999999E-2"/>
    <n v="0.35699999999999998"/>
    <x v="299"/>
    <n v="3.4799999999999998E-2"/>
    <n v="126.002"/>
    <n v="4"/>
    <n v="158095"/>
    <n v="4"/>
    <n v="158095"/>
    <n v="4"/>
    <n v="158095"/>
    <x v="1"/>
    <x v="2"/>
  </r>
  <r>
    <x v="2"/>
    <n v="1848"/>
    <x v="576"/>
    <x v="445"/>
    <x v="51"/>
    <s v="Jump Up, Super Star!"/>
    <n v="52"/>
    <x v="97"/>
    <x v="375"/>
    <n v="-2.3119999999999998"/>
    <x v="1"/>
    <n v="8"/>
    <n v="0.223"/>
    <n v="2.9000000000000001E-2"/>
    <n v="0"/>
    <x v="366"/>
    <n v="0.58799999999999997"/>
    <n v="104.753"/>
    <n v="4"/>
    <n v="241452"/>
    <n v="4"/>
    <n v="241452"/>
    <n v="4"/>
    <n v="241452"/>
    <x v="1"/>
    <x v="2"/>
  </r>
  <r>
    <x v="1"/>
    <n v="1758"/>
    <x v="577"/>
    <x v="446"/>
    <x v="21"/>
    <s v="Falling for U"/>
    <n v="1"/>
    <x v="351"/>
    <x v="376"/>
    <n v="-12.018000000000001"/>
    <x v="0"/>
    <n v="8"/>
    <n v="0.42399999999999999"/>
    <n v="0.74299999999999999"/>
    <n v="1.3E-6"/>
    <x v="367"/>
    <n v="0.39700000000000002"/>
    <n v="79.509"/>
    <n v="4"/>
    <n v="124000"/>
    <n v="4"/>
    <n v="124000"/>
    <n v="4"/>
    <n v="124000"/>
    <x v="1"/>
    <x v="2"/>
  </r>
  <r>
    <x v="2"/>
    <n v="1758"/>
    <x v="577"/>
    <x v="446"/>
    <x v="21"/>
    <s v="Falling for U"/>
    <n v="1"/>
    <x v="351"/>
    <x v="376"/>
    <n v="-12.018000000000001"/>
    <x v="0"/>
    <n v="8"/>
    <n v="0.42399999999999999"/>
    <n v="0.74299999999999999"/>
    <n v="1.3E-6"/>
    <x v="367"/>
    <n v="0.39700000000000002"/>
    <n v="79.509"/>
    <n v="4"/>
    <n v="124000"/>
    <n v="4"/>
    <n v="124000"/>
    <n v="4"/>
    <n v="124000"/>
    <x v="1"/>
    <x v="2"/>
  </r>
  <r>
    <x v="2"/>
    <n v="1636"/>
    <x v="578"/>
    <x v="447"/>
    <x v="3"/>
    <s v="Pure Heroine (Extended)"/>
    <n v="1"/>
    <x v="141"/>
    <x v="377"/>
    <n v="-7.2569999999999997"/>
    <x v="1"/>
    <n v="5"/>
    <n v="5.6300000000000003E-2"/>
    <n v="0.21199999999999999"/>
    <n v="1.3299999999999999E-2"/>
    <x v="164"/>
    <n v="0.626"/>
    <n v="92.025999999999996"/>
    <n v="4"/>
    <n v="201434"/>
    <n v="4"/>
    <n v="201434"/>
    <n v="4"/>
    <n v="201434"/>
    <x v="1"/>
    <x v="2"/>
  </r>
  <r>
    <x v="1"/>
    <n v="1540"/>
    <x v="579"/>
    <x v="442"/>
    <x v="23"/>
    <s v="Only Girl"/>
    <n v="52"/>
    <x v="14"/>
    <x v="155"/>
    <n v="-4.4059999999999997"/>
    <x v="0"/>
    <n v="11"/>
    <n v="3.9699999999999999E-2"/>
    <n v="0.36699999999999999"/>
    <n v="1.64E-3"/>
    <x v="276"/>
    <n v="0.186"/>
    <n v="127.983"/>
    <n v="4"/>
    <n v="146465"/>
    <n v="4"/>
    <n v="146465"/>
    <n v="4"/>
    <n v="146465"/>
    <x v="1"/>
    <x v="2"/>
  </r>
  <r>
    <x v="0"/>
    <n v="1487"/>
    <x v="580"/>
    <x v="448"/>
    <x v="16"/>
    <s v="ily (i love you baby) (feat. Emilee)"/>
    <n v="78"/>
    <x v="161"/>
    <x v="156"/>
    <n v="-7.5670000000000002"/>
    <x v="0"/>
    <n v="11"/>
    <n v="8.9200000000000002E-2"/>
    <n v="6.8599999999999994E-2"/>
    <n v="1.8799999999999999E-3"/>
    <x v="368"/>
    <n v="0.33"/>
    <n v="112.05"/>
    <n v="4"/>
    <n v="176547"/>
    <n v="4"/>
    <n v="176547"/>
    <n v="4"/>
    <n v="176547"/>
    <x v="1"/>
    <x v="2"/>
  </r>
  <r>
    <x v="3"/>
    <n v="1435"/>
    <x v="581"/>
    <x v="449"/>
    <x v="23"/>
    <s v="finding it hard to smile"/>
    <n v="70"/>
    <x v="352"/>
    <x v="373"/>
    <n v="-5.8079999999999998"/>
    <x v="1"/>
    <n v="7"/>
    <n v="4.19E-2"/>
    <n v="1.75E-3"/>
    <n v="4.2599999999999999E-6"/>
    <x v="369"/>
    <n v="0.51"/>
    <n v="122.996"/>
    <n v="4"/>
    <n v="204878"/>
    <n v="4"/>
    <n v="204878"/>
    <n v="4"/>
    <n v="204878"/>
    <x v="1"/>
    <x v="2"/>
  </r>
  <r>
    <x v="0"/>
    <n v="1420"/>
    <x v="582"/>
    <x v="9"/>
    <x v="8"/>
    <s v="Say So (feat. Nicki Minaj)"/>
    <n v="65"/>
    <x v="353"/>
    <x v="378"/>
    <n v="-4.6399999999999997"/>
    <x v="0"/>
    <n v="11"/>
    <n v="0.20399999999999999"/>
    <n v="0.11899999999999999"/>
    <n v="4.9699999999999998E-6"/>
    <x v="370"/>
    <n v="0.745"/>
    <n v="111.004"/>
    <n v="4"/>
    <n v="206221"/>
    <n v="4"/>
    <n v="206221"/>
    <n v="4"/>
    <n v="206221"/>
    <x v="1"/>
    <x v="2"/>
  </r>
  <r>
    <x v="2"/>
    <n v="1420"/>
    <x v="583"/>
    <x v="450"/>
    <x v="37"/>
    <s v="Galactic Mermaid (From &quot;&quot;Carole &amp; Tuesday&quot;&quot;)"/>
    <n v="0"/>
    <x v="114"/>
    <x v="76"/>
    <n v="-4.6529999999999996"/>
    <x v="1"/>
    <n v="7"/>
    <n v="3.8399999999999997E-2"/>
    <n v="0.73599999999999999"/>
    <n v="0"/>
    <x v="371"/>
    <n v="0.97"/>
    <n v="108.727"/>
    <n v="4"/>
    <n v="45424"/>
    <n v="4"/>
    <n v="45424"/>
    <n v="4"/>
    <n v="45424"/>
    <x v="1"/>
    <x v="2"/>
  </r>
  <r>
    <x v="2"/>
    <n v="1336"/>
    <x v="584"/>
    <x v="451"/>
    <x v="16"/>
    <s v="Dancin (feat. Luvli) [Krono Remix]"/>
    <n v="78"/>
    <x v="219"/>
    <x v="3"/>
    <n v="-6.5289999999999999"/>
    <x v="0"/>
    <n v="10"/>
    <n v="2.87E-2"/>
    <n v="0.10100000000000001"/>
    <n v="1.4100000000000001E-5"/>
    <x v="106"/>
    <n v="0.35699999999999998"/>
    <n v="119.896"/>
    <n v="4"/>
    <n v="198053"/>
    <n v="4"/>
    <n v="198053"/>
    <n v="4"/>
    <n v="198053"/>
    <x v="1"/>
    <x v="2"/>
  </r>
  <r>
    <x v="2"/>
    <n v="1291"/>
    <x v="585"/>
    <x v="35"/>
    <x v="3"/>
    <s v="Warrior (Expanded Edition)"/>
    <n v="61"/>
    <x v="119"/>
    <x v="379"/>
    <n v="-5.4480000000000004"/>
    <x v="0"/>
    <n v="1"/>
    <n v="9.6299999999999997E-2"/>
    <n v="6.5700000000000003E-3"/>
    <n v="1.4400000000000001E-3"/>
    <x v="55"/>
    <n v="0.28599999999999998"/>
    <n v="126.02500000000001"/>
    <n v="4"/>
    <n v="214307"/>
    <n v="4"/>
    <n v="214307"/>
    <n v="4"/>
    <n v="214307"/>
    <x v="1"/>
    <x v="2"/>
  </r>
  <r>
    <x v="3"/>
    <n v="1257"/>
    <x v="586"/>
    <x v="452"/>
    <x v="46"/>
    <s v="Savage Days"/>
    <n v="0"/>
    <x v="306"/>
    <x v="234"/>
    <n v="-6.4370000000000003"/>
    <x v="0"/>
    <n v="1"/>
    <n v="6.0100000000000001E-2"/>
    <n v="3.2399999999999998E-3"/>
    <n v="6.6299999999999996E-4"/>
    <x v="372"/>
    <n v="0.75600000000000001"/>
    <n v="136.88300000000001"/>
    <n v="4"/>
    <n v="138312"/>
    <n v="4"/>
    <n v="138312"/>
    <n v="4"/>
    <n v="138312"/>
    <x v="1"/>
    <x v="2"/>
  </r>
  <r>
    <x v="0"/>
    <n v="1191"/>
    <x v="587"/>
    <x v="51"/>
    <x v="32"/>
    <s v="Smyle (Extended)"/>
    <n v="0"/>
    <x v="354"/>
    <x v="185"/>
    <n v="-6.9"/>
    <x v="1"/>
    <n v="0"/>
    <n v="0.27500000000000002"/>
    <n v="1.5100000000000001E-2"/>
    <n v="0"/>
    <x v="153"/>
    <n v="0.60399999999999998"/>
    <n v="132.08799999999999"/>
    <n v="4"/>
    <n v="232368"/>
    <n v="4"/>
    <n v="232368"/>
    <n v="4"/>
    <n v="232368"/>
    <x v="1"/>
    <x v="2"/>
  </r>
  <r>
    <x v="0"/>
    <n v="1152"/>
    <x v="588"/>
    <x v="131"/>
    <x v="55"/>
    <s v="Dutty Rock"/>
    <n v="74"/>
    <x v="355"/>
    <x v="264"/>
    <n v="-4.1429999999999998"/>
    <x v="0"/>
    <n v="10"/>
    <n v="3.5999999999999997E-2"/>
    <n v="0.61499999999999999"/>
    <n v="0"/>
    <x v="373"/>
    <n v="0.72599999999999998"/>
    <n v="100.202"/>
    <n v="4"/>
    <n v="211666"/>
    <n v="4"/>
    <n v="211666"/>
    <n v="4"/>
    <n v="211666"/>
    <x v="1"/>
    <x v="2"/>
  </r>
  <r>
    <x v="1"/>
    <n v="1151"/>
    <x v="347"/>
    <x v="442"/>
    <x v="23"/>
    <s v="Say It Right"/>
    <n v="60"/>
    <x v="248"/>
    <x v="101"/>
    <n v="-6.56"/>
    <x v="0"/>
    <n v="5"/>
    <n v="4.4699999999999997E-2"/>
    <n v="0.152"/>
    <n v="5.1900000000000002E-2"/>
    <x v="374"/>
    <n v="0.44900000000000001"/>
    <n v="125.976"/>
    <n v="4"/>
    <n v="128095"/>
    <n v="4"/>
    <n v="128095"/>
    <n v="4"/>
    <n v="128095"/>
    <x v="1"/>
    <x v="2"/>
  </r>
  <r>
    <x v="3"/>
    <n v="1128"/>
    <x v="589"/>
    <x v="268"/>
    <x v="53"/>
    <s v="Justice"/>
    <n v="78"/>
    <x v="303"/>
    <x v="343"/>
    <n v="-6.0679999999999996"/>
    <x v="0"/>
    <n v="1"/>
    <n v="4.3099999999999999E-2"/>
    <n v="1.04E-2"/>
    <n v="0"/>
    <x v="70"/>
    <n v="0.30199999999999999"/>
    <n v="140.00200000000001"/>
    <n v="4"/>
    <n v="170813"/>
    <n v="4"/>
    <n v="170813"/>
    <n v="4"/>
    <n v="170813"/>
    <x v="1"/>
    <x v="2"/>
  </r>
  <r>
    <x v="2"/>
    <n v="1086"/>
    <x v="590"/>
    <x v="51"/>
    <x v="11"/>
    <s v="Light of Mine (Deluxe)"/>
    <n v="55"/>
    <x v="356"/>
    <x v="295"/>
    <n v="-5.9320000000000004"/>
    <x v="1"/>
    <n v="11"/>
    <n v="0.30599999999999999"/>
    <n v="3.6299999999999999E-2"/>
    <n v="3.4599999999999999E-6"/>
    <x v="130"/>
    <n v="0.749"/>
    <n v="161.042"/>
    <n v="4"/>
    <n v="156637"/>
    <n v="4"/>
    <n v="156637"/>
    <n v="4"/>
    <n v="156637"/>
    <x v="1"/>
    <x v="2"/>
  </r>
  <r>
    <x v="0"/>
    <n v="1082"/>
    <x v="590"/>
    <x v="51"/>
    <x v="32"/>
    <s v="Hey Julie! (feat. Lil Yachty)"/>
    <n v="51"/>
    <x v="235"/>
    <x v="380"/>
    <n v="-5.8289999999999997"/>
    <x v="1"/>
    <n v="11"/>
    <n v="0.29299999999999998"/>
    <n v="4.4600000000000001E-2"/>
    <n v="9.5200000000000003E-6"/>
    <x v="176"/>
    <n v="0.75700000000000001"/>
    <n v="161.059"/>
    <n v="4"/>
    <n v="156443"/>
    <n v="4"/>
    <n v="156443"/>
    <n v="4"/>
    <n v="156443"/>
    <x v="1"/>
    <x v="3"/>
  </r>
  <r>
    <x v="0"/>
    <n v="1042"/>
    <x v="591"/>
    <x v="453"/>
    <x v="25"/>
    <s v="Queen of Disaster"/>
    <n v="49"/>
    <x v="180"/>
    <x v="381"/>
    <n v="-15.548"/>
    <x v="0"/>
    <n v="9"/>
    <n v="3.5700000000000003E-2"/>
    <n v="0.63100000000000001"/>
    <n v="0"/>
    <x v="375"/>
    <n v="0.68799999999999994"/>
    <n v="128.084"/>
    <n v="4"/>
    <n v="195631"/>
    <n v="4"/>
    <n v="195631"/>
    <n v="4"/>
    <n v="195631"/>
    <x v="1"/>
    <x v="3"/>
  </r>
  <r>
    <x v="2"/>
    <n v="1019"/>
    <x v="592"/>
    <x v="454"/>
    <x v="29"/>
    <s v="La La Land (Original Motion Picture Soundtrack)"/>
    <n v="64"/>
    <x v="170"/>
    <x v="274"/>
    <n v="-6.7569999999999997"/>
    <x v="1"/>
    <n v="8"/>
    <n v="5.28E-2"/>
    <n v="1.6199999999999999E-2"/>
    <n v="3.98E-6"/>
    <x v="376"/>
    <n v="0.82399999999999995"/>
    <n v="125.819"/>
    <n v="4"/>
    <n v="228173"/>
    <n v="4"/>
    <n v="228173"/>
    <n v="4"/>
    <n v="228173"/>
    <x v="1"/>
    <x v="3"/>
  </r>
  <r>
    <x v="0"/>
    <n v="1014"/>
    <x v="592"/>
    <x v="454"/>
    <x v="29"/>
    <s v="La La Land (Original Motion Picture Soundtrack)"/>
    <n v="64"/>
    <x v="170"/>
    <x v="274"/>
    <n v="-6.7569999999999997"/>
    <x v="1"/>
    <n v="8"/>
    <n v="5.28E-2"/>
    <n v="1.6199999999999999E-2"/>
    <n v="3.98E-6"/>
    <x v="376"/>
    <n v="0.82399999999999995"/>
    <n v="125.819"/>
    <n v="4"/>
    <n v="228173"/>
    <n v="4"/>
    <n v="228173"/>
    <n v="4"/>
    <n v="228173"/>
    <x v="1"/>
    <x v="3"/>
  </r>
  <r>
    <x v="3"/>
    <n v="1006"/>
    <x v="593"/>
    <x v="455"/>
    <x v="20"/>
    <s v="Flying Solo"/>
    <n v="78"/>
    <x v="357"/>
    <x v="203"/>
    <n v="-6.55"/>
    <x v="0"/>
    <n v="7"/>
    <n v="2.7E-2"/>
    <n v="0.51400000000000001"/>
    <n v="1.9000000000000001E-5"/>
    <x v="112"/>
    <n v="0.93899999999999995"/>
    <n v="139.99100000000001"/>
    <n v="4"/>
    <n v="344571"/>
    <n v="4"/>
    <n v="344571"/>
    <n v="4"/>
    <n v="344571"/>
    <x v="1"/>
    <x v="3"/>
  </r>
  <r>
    <x v="1"/>
    <n v="958"/>
    <x v="594"/>
    <x v="456"/>
    <x v="65"/>
    <s v="That Bxtch"/>
    <n v="47"/>
    <x v="143"/>
    <x v="62"/>
    <n v="-5.9610000000000003"/>
    <x v="1"/>
    <n v="4"/>
    <n v="0.13900000000000001"/>
    <n v="3.6999999999999998E-2"/>
    <n v="0"/>
    <x v="377"/>
    <n v="0.45800000000000002"/>
    <n v="163.87"/>
    <n v="4"/>
    <n v="142644"/>
    <n v="4"/>
    <n v="142644"/>
    <n v="4"/>
    <n v="142644"/>
    <x v="1"/>
    <x v="3"/>
  </r>
  <r>
    <x v="3"/>
    <n v="937"/>
    <x v="595"/>
    <x v="457"/>
    <x v="18"/>
    <s v="Queen Of The Clouds"/>
    <n v="75"/>
    <x v="358"/>
    <x v="65"/>
    <n v="-3.5390000000000001"/>
    <x v="1"/>
    <n v="5"/>
    <n v="3.15E-2"/>
    <n v="7.0300000000000001E-2"/>
    <n v="6.5900000000000003E-5"/>
    <x v="378"/>
    <n v="0.34799999999999998"/>
    <n v="110.003"/>
    <n v="4"/>
    <n v="209160"/>
    <n v="4"/>
    <n v="209160"/>
    <n v="4"/>
    <n v="209160"/>
    <x v="1"/>
    <x v="3"/>
  </r>
  <r>
    <x v="3"/>
    <n v="921"/>
    <x v="596"/>
    <x v="458"/>
    <x v="20"/>
    <s v="EVERYTHING YOU WANTED"/>
    <n v="66"/>
    <x v="164"/>
    <x v="181"/>
    <n v="-6.867"/>
    <x v="1"/>
    <n v="8"/>
    <n v="0.26700000000000002"/>
    <n v="0.245"/>
    <n v="0"/>
    <x v="85"/>
    <n v="0.50900000000000001"/>
    <n v="96.176000000000002"/>
    <n v="4"/>
    <n v="209393"/>
    <n v="4"/>
    <n v="209393"/>
    <n v="4"/>
    <n v="209393"/>
    <x v="1"/>
    <x v="3"/>
  </r>
  <r>
    <x v="2"/>
    <n v="919"/>
    <x v="597"/>
    <x v="459"/>
    <x v="44"/>
    <s v="Sincerely, Tokyo"/>
    <n v="55"/>
    <x v="359"/>
    <x v="288"/>
    <n v="-4.8259999999999996"/>
    <x v="0"/>
    <n v="10"/>
    <n v="0.314"/>
    <n v="0.52300000000000002"/>
    <n v="0"/>
    <x v="23"/>
    <n v="0.56499999999999995"/>
    <n v="78.457999999999998"/>
    <n v="4"/>
    <n v="165293"/>
    <n v="4"/>
    <n v="165293"/>
    <n v="4"/>
    <n v="165293"/>
    <x v="1"/>
    <x v="3"/>
  </r>
  <r>
    <x v="3"/>
    <n v="895"/>
    <x v="598"/>
    <x v="460"/>
    <x v="21"/>
    <s v="YRN (Remix)"/>
    <n v="0"/>
    <x v="122"/>
    <x v="52"/>
    <n v="-8.5050000000000008"/>
    <x v="0"/>
    <n v="7"/>
    <n v="0.19700000000000001"/>
    <n v="2.41E-2"/>
    <n v="1.56E-3"/>
    <x v="23"/>
    <n v="0.63400000000000001"/>
    <n v="126.026"/>
    <n v="4"/>
    <n v="268355"/>
    <n v="4"/>
    <n v="268355"/>
    <n v="4"/>
    <n v="268355"/>
    <x v="1"/>
    <x v="3"/>
  </r>
  <r>
    <x v="1"/>
    <n v="882"/>
    <x v="599"/>
    <x v="242"/>
    <x v="36"/>
    <s v="deadroses"/>
    <n v="65"/>
    <x v="360"/>
    <x v="382"/>
    <n v="-8.8989999999999991"/>
    <x v="1"/>
    <n v="0"/>
    <n v="3.4500000000000003E-2"/>
    <n v="5.0999999999999997E-2"/>
    <n v="0"/>
    <x v="347"/>
    <n v="0.67"/>
    <n v="100.044"/>
    <n v="4"/>
    <n v="165600"/>
    <n v="4"/>
    <n v="165600"/>
    <n v="4"/>
    <n v="165600"/>
    <x v="1"/>
    <x v="3"/>
  </r>
  <r>
    <x v="3"/>
    <n v="880"/>
    <x v="599"/>
    <x v="242"/>
    <x v="36"/>
    <s v="deadroses"/>
    <n v="65"/>
    <x v="360"/>
    <x v="382"/>
    <n v="-8.8989999999999991"/>
    <x v="1"/>
    <n v="0"/>
    <n v="3.4500000000000003E-2"/>
    <n v="5.0999999999999997E-2"/>
    <n v="0"/>
    <x v="347"/>
    <n v="0.67"/>
    <n v="100.044"/>
    <n v="4"/>
    <n v="165600"/>
    <n v="4"/>
    <n v="165600"/>
    <n v="4"/>
    <n v="165600"/>
    <x v="1"/>
    <x v="3"/>
  </r>
  <r>
    <x v="0"/>
    <n v="877"/>
    <x v="600"/>
    <x v="356"/>
    <x v="31"/>
    <s v="Rain On Me (with Ariana Grande)"/>
    <n v="74"/>
    <x v="361"/>
    <x v="355"/>
    <n v="-3.7639999999999998"/>
    <x v="1"/>
    <n v="9"/>
    <n v="3.9699999999999999E-2"/>
    <n v="2.1000000000000001E-2"/>
    <n v="0"/>
    <x v="185"/>
    <n v="0.64600000000000002"/>
    <n v="123.056"/>
    <n v="4"/>
    <n v="182200"/>
    <n v="4"/>
    <n v="182200"/>
    <n v="4"/>
    <n v="182200"/>
    <x v="1"/>
    <x v="3"/>
  </r>
  <r>
    <x v="2"/>
    <n v="873"/>
    <x v="601"/>
    <x v="461"/>
    <x v="37"/>
    <s v="You Reposted in the Wrong Neighborhood I Glue70 Mashup"/>
    <n v="60"/>
    <x v="362"/>
    <x v="383"/>
    <n v="-13.912000000000001"/>
    <x v="1"/>
    <n v="10"/>
    <n v="0.23200000000000001"/>
    <n v="0.41"/>
    <n v="0"/>
    <x v="379"/>
    <n v="0.92700000000000005"/>
    <n v="104.047"/>
    <n v="4"/>
    <n v="196642"/>
    <n v="4"/>
    <n v="196642"/>
    <n v="4"/>
    <n v="196642"/>
    <x v="1"/>
    <x v="3"/>
  </r>
  <r>
    <x v="3"/>
    <n v="850"/>
    <x v="602"/>
    <x v="462"/>
    <x v="29"/>
    <s v="Baby I Got Issues"/>
    <n v="63"/>
    <x v="136"/>
    <x v="384"/>
    <n v="-8.2279999999999998"/>
    <x v="0"/>
    <n v="2"/>
    <n v="0.24"/>
    <n v="0.54800000000000004"/>
    <n v="0"/>
    <x v="293"/>
    <n v="0.53900000000000003"/>
    <n v="150.04400000000001"/>
    <n v="4"/>
    <n v="164955"/>
    <n v="4"/>
    <n v="164955"/>
    <n v="4"/>
    <n v="164955"/>
    <x v="1"/>
    <x v="3"/>
  </r>
  <r>
    <x v="0"/>
    <n v="844"/>
    <x v="603"/>
    <x v="463"/>
    <x v="21"/>
    <s v="By Your Side"/>
    <n v="69"/>
    <x v="363"/>
    <x v="385"/>
    <n v="-3.7549999999999999"/>
    <x v="0"/>
    <n v="2"/>
    <n v="6.6799999999999998E-2"/>
    <n v="0.72599999999999998"/>
    <n v="5.8300000000000001E-6"/>
    <x v="176"/>
    <n v="0.75800000000000001"/>
    <n v="118.05"/>
    <n v="4"/>
    <n v="215507"/>
    <n v="4"/>
    <n v="215507"/>
    <n v="4"/>
    <n v="215507"/>
    <x v="1"/>
    <x v="3"/>
  </r>
  <r>
    <x v="2"/>
    <n v="844"/>
    <x v="603"/>
    <x v="463"/>
    <x v="21"/>
    <s v="By Your Side"/>
    <n v="69"/>
    <x v="363"/>
    <x v="385"/>
    <n v="-3.7549999999999999"/>
    <x v="0"/>
    <n v="2"/>
    <n v="6.6799999999999998E-2"/>
    <n v="0.72599999999999998"/>
    <n v="5.8300000000000001E-6"/>
    <x v="176"/>
    <n v="0.75800000000000001"/>
    <n v="118.05"/>
    <n v="4"/>
    <n v="215507"/>
    <n v="4"/>
    <n v="215507"/>
    <n v="4"/>
    <n v="215507"/>
    <x v="1"/>
    <x v="3"/>
  </r>
  <r>
    <x v="3"/>
    <n v="830"/>
    <x v="604"/>
    <x v="464"/>
    <x v="12"/>
    <s v="Watch Dogs (Music from the Video Game) [Original Game Soundtrack]"/>
    <n v="62"/>
    <x v="6"/>
    <x v="386"/>
    <n v="-6.1539999999999999"/>
    <x v="0"/>
    <n v="11"/>
    <n v="6.6000000000000003E-2"/>
    <n v="0.51500000000000001"/>
    <n v="4.5700000000000003E-6"/>
    <x v="55"/>
    <n v="0.78700000000000003"/>
    <n v="138.048"/>
    <n v="4"/>
    <n v="222067"/>
    <n v="4"/>
    <n v="222067"/>
    <n v="4"/>
    <n v="222067"/>
    <x v="1"/>
    <x v="3"/>
  </r>
  <r>
    <x v="0"/>
    <n v="803"/>
    <x v="605"/>
    <x v="3"/>
    <x v="2"/>
    <s v="Savage Remix (feat. BeyoncÃ©)"/>
    <n v="67"/>
    <x v="214"/>
    <x v="75"/>
    <n v="-4.7720000000000002"/>
    <x v="0"/>
    <n v="10"/>
    <n v="0.28000000000000003"/>
    <n v="1.6E-2"/>
    <n v="0"/>
    <x v="27"/>
    <n v="0.63600000000000001"/>
    <n v="84.459000000000003"/>
    <n v="4"/>
    <n v="242001"/>
    <n v="4"/>
    <n v="242001"/>
    <n v="4"/>
    <n v="242001"/>
    <x v="1"/>
    <x v="3"/>
  </r>
  <r>
    <x v="1"/>
    <n v="749"/>
    <x v="606"/>
    <x v="465"/>
    <x v="25"/>
    <s v="Being Good Is Boring"/>
    <n v="55"/>
    <x v="246"/>
    <x v="387"/>
    <n v="-3.1909999999999998"/>
    <x v="0"/>
    <n v="11"/>
    <n v="8.4000000000000005E-2"/>
    <n v="3.6799999999999999E-2"/>
    <n v="0"/>
    <x v="380"/>
    <n v="0.84399999999999997"/>
    <n v="111.986"/>
    <n v="4"/>
    <n v="160982"/>
    <n v="4"/>
    <n v="160982"/>
    <n v="4"/>
    <n v="160982"/>
    <x v="1"/>
    <x v="3"/>
  </r>
  <r>
    <x v="2"/>
    <n v="732"/>
    <x v="607"/>
    <x v="466"/>
    <x v="29"/>
    <s v="Womp Womp"/>
    <n v="56"/>
    <x v="59"/>
    <x v="358"/>
    <n v="-4.8959999999999999"/>
    <x v="1"/>
    <n v="1"/>
    <n v="0.34200000000000003"/>
    <n v="6.6000000000000003E-2"/>
    <n v="0"/>
    <x v="381"/>
    <n v="0.49299999999999999"/>
    <n v="157.02699999999999"/>
    <n v="4"/>
    <n v="226533"/>
    <n v="4"/>
    <n v="226533"/>
    <n v="4"/>
    <n v="226533"/>
    <x v="1"/>
    <x v="3"/>
  </r>
  <r>
    <x v="2"/>
    <n v="589"/>
    <x v="608"/>
    <x v="467"/>
    <x v="40"/>
    <s v="Just Did a Bad Thing"/>
    <n v="43"/>
    <x v="72"/>
    <x v="22"/>
    <n v="-12.96"/>
    <x v="1"/>
    <n v="1"/>
    <n v="4.3499999999999997E-2"/>
    <n v="2.6099999999999999E-3"/>
    <n v="0.46600000000000003"/>
    <x v="18"/>
    <n v="0.71599999999999997"/>
    <n v="117.051"/>
    <n v="4"/>
    <n v="167180"/>
    <n v="4"/>
    <n v="167180"/>
    <n v="4"/>
    <n v="167180"/>
    <x v="1"/>
    <x v="3"/>
  </r>
  <r>
    <x v="0"/>
    <n v="578"/>
    <x v="609"/>
    <x v="426"/>
    <x v="60"/>
    <s v="Loud"/>
    <n v="54"/>
    <x v="46"/>
    <x v="388"/>
    <n v="-2.9590000000000001"/>
    <x v="1"/>
    <n v="2"/>
    <n v="6.9199999999999998E-2"/>
    <n v="0.22900000000000001"/>
    <n v="0"/>
    <x v="382"/>
    <n v="0.58299999999999996"/>
    <n v="100.04900000000001"/>
    <n v="4"/>
    <n v="263173"/>
    <n v="4"/>
    <n v="263173"/>
    <n v="4"/>
    <n v="263173"/>
    <x v="1"/>
    <x v="3"/>
  </r>
  <r>
    <x v="1"/>
    <n v="574"/>
    <x v="610"/>
    <x v="468"/>
    <x v="29"/>
    <s v="I Wanna Know"/>
    <n v="52"/>
    <x v="110"/>
    <x v="55"/>
    <n v="-4.57"/>
    <x v="0"/>
    <n v="9"/>
    <n v="0.05"/>
    <n v="0.34799999999999998"/>
    <n v="0.39700000000000002"/>
    <x v="37"/>
    <n v="0.88"/>
    <n v="112.04300000000001"/>
    <n v="4"/>
    <n v="149787"/>
    <n v="4"/>
    <n v="149787"/>
    <n v="4"/>
    <n v="149787"/>
    <x v="1"/>
    <x v="3"/>
  </r>
  <r>
    <x v="0"/>
    <n v="572"/>
    <x v="611"/>
    <x v="469"/>
    <x v="32"/>
    <s v="Astrid S"/>
    <n v="68"/>
    <x v="364"/>
    <x v="141"/>
    <n v="-5.0270000000000001"/>
    <x v="0"/>
    <n v="7"/>
    <n v="5.8599999999999999E-2"/>
    <n v="8.4000000000000005E-2"/>
    <n v="0"/>
    <x v="341"/>
    <n v="0.378"/>
    <n v="120.039"/>
    <n v="4"/>
    <n v="208729"/>
    <n v="4"/>
    <n v="208729"/>
    <n v="4"/>
    <n v="208729"/>
    <x v="1"/>
    <x v="3"/>
  </r>
  <r>
    <x v="2"/>
    <n v="555"/>
    <x v="612"/>
    <x v="470"/>
    <x v="16"/>
    <s v="Eazy-Duz-It"/>
    <n v="69"/>
    <x v="39"/>
    <x v="178"/>
    <n v="-4.782"/>
    <x v="1"/>
    <n v="7"/>
    <n v="0.22500000000000001"/>
    <n v="1.43E-2"/>
    <n v="1.53E-6"/>
    <x v="383"/>
    <n v="0.624"/>
    <n v="105.64100000000001"/>
    <n v="4"/>
    <n v="234360"/>
    <n v="4"/>
    <n v="234360"/>
    <n v="4"/>
    <n v="234360"/>
    <x v="1"/>
    <x v="3"/>
  </r>
  <r>
    <x v="0"/>
    <n v="554"/>
    <x v="2"/>
    <x v="2"/>
    <x v="0"/>
    <s v="Wayy 2 Kritical"/>
    <n v="56"/>
    <x v="2"/>
    <x v="2"/>
    <n v="-8.6010000000000009"/>
    <x v="1"/>
    <n v="1"/>
    <n v="0.216"/>
    <n v="1.4500000000000001E-2"/>
    <n v="1.7899999999999999E-4"/>
    <x v="2"/>
    <n v="0.67"/>
    <n v="148.964"/>
    <n v="4"/>
    <n v="170947"/>
    <n v="4"/>
    <n v="170947"/>
    <n v="4"/>
    <n v="170947"/>
    <x v="1"/>
    <x v="3"/>
  </r>
  <r>
    <x v="0"/>
    <n v="541"/>
    <x v="613"/>
    <x v="471"/>
    <x v="13"/>
    <s v="Cha Cha"/>
    <n v="69"/>
    <x v="14"/>
    <x v="312"/>
    <n v="-6.3639999999999999"/>
    <x v="1"/>
    <n v="1"/>
    <n v="0.17199999999999999"/>
    <n v="0.48899999999999999"/>
    <n v="7.8799999999999995E-2"/>
    <x v="27"/>
    <n v="0.751"/>
    <n v="129.971"/>
    <n v="4"/>
    <n v="173938"/>
    <n v="4"/>
    <n v="173938"/>
    <n v="4"/>
    <n v="173938"/>
    <x v="1"/>
    <x v="3"/>
  </r>
  <r>
    <x v="2"/>
    <n v="541"/>
    <x v="613"/>
    <x v="471"/>
    <x v="13"/>
    <s v="Cha Cha"/>
    <n v="0"/>
    <x v="82"/>
    <x v="34"/>
    <n v="-6.3630000000000004"/>
    <x v="1"/>
    <n v="1"/>
    <n v="0.17199999999999999"/>
    <n v="0.48699999999999999"/>
    <n v="7.1800000000000003E-2"/>
    <x v="46"/>
    <n v="0.74299999999999999"/>
    <n v="129.96"/>
    <n v="4"/>
    <n v="173897"/>
    <n v="4"/>
    <n v="173897"/>
    <n v="4"/>
    <n v="173897"/>
    <x v="1"/>
    <x v="3"/>
  </r>
  <r>
    <x v="0"/>
    <n v="449"/>
    <x v="614"/>
    <x v="472"/>
    <x v="38"/>
    <s v="Sofia the First"/>
    <n v="54"/>
    <x v="254"/>
    <x v="389"/>
    <n v="-3.9950000000000001"/>
    <x v="1"/>
    <n v="4"/>
    <n v="4.8899999999999999E-2"/>
    <n v="0.42299999999999999"/>
    <n v="0"/>
    <x v="164"/>
    <n v="0.66"/>
    <n v="92.968000000000004"/>
    <n v="4"/>
    <n v="52867"/>
    <n v="4"/>
    <n v="52867"/>
    <n v="4"/>
    <n v="52867"/>
    <x v="1"/>
    <x v="3"/>
  </r>
  <r>
    <x v="0"/>
    <n v="377"/>
    <x v="615"/>
    <x v="315"/>
    <x v="17"/>
    <s v="Go Stupid (feat. NLE Choppa &amp; Mike WiLL Made-It)"/>
    <n v="54"/>
    <x v="365"/>
    <x v="390"/>
    <n v="-3.18"/>
    <x v="1"/>
    <n v="1"/>
    <n v="0.253"/>
    <n v="2.7699999999999999E-2"/>
    <n v="0"/>
    <x v="384"/>
    <n v="0.64500000000000002"/>
    <n v="141.03399999999999"/>
    <n v="4"/>
    <n v="165726"/>
    <n v="4"/>
    <n v="165726"/>
    <n v="4"/>
    <n v="165726"/>
    <x v="1"/>
    <x v="3"/>
  </r>
  <r>
    <x v="1"/>
    <n v="366"/>
    <x v="616"/>
    <x v="473"/>
    <x v="44"/>
    <s v="When You're Gone"/>
    <n v="53"/>
    <x v="366"/>
    <x v="391"/>
    <n v="-5.0030000000000001"/>
    <x v="1"/>
    <n v="11"/>
    <n v="0.32500000000000001"/>
    <n v="1.17E-2"/>
    <n v="0"/>
    <x v="260"/>
    <n v="0.66300000000000003"/>
    <n v="124.036"/>
    <n v="4"/>
    <n v="145161"/>
    <n v="4"/>
    <n v="145161"/>
    <n v="4"/>
    <n v="145161"/>
    <x v="1"/>
    <x v="3"/>
  </r>
  <r>
    <x v="0"/>
    <n v="340"/>
    <x v="617"/>
    <x v="474"/>
    <x v="2"/>
    <s v="The Massacre"/>
    <n v="73"/>
    <x v="210"/>
    <x v="392"/>
    <n v="-4.7629999999999999"/>
    <x v="1"/>
    <n v="3"/>
    <n v="0.23100000000000001"/>
    <n v="0.20599999999999999"/>
    <n v="7.8800000000000004E-5"/>
    <x v="385"/>
    <n v="0.71"/>
    <n v="97.018000000000001"/>
    <n v="4"/>
    <n v="214227"/>
    <n v="4"/>
    <n v="214227"/>
    <n v="4"/>
    <n v="214227"/>
    <x v="1"/>
    <x v="3"/>
  </r>
  <r>
    <x v="0"/>
    <n v="335"/>
    <x v="618"/>
    <x v="475"/>
    <x v="74"/>
    <s v="Throw That Back Like a Cadillac"/>
    <n v="0"/>
    <x v="367"/>
    <x v="4"/>
    <n v="-9.4079999999999995"/>
    <x v="1"/>
    <n v="7"/>
    <n v="0.63900000000000001"/>
    <n v="7.5800000000000006E-2"/>
    <n v="0"/>
    <x v="19"/>
    <n v="0.38300000000000001"/>
    <n v="139.91"/>
    <n v="4"/>
    <n v="118075"/>
    <n v="4"/>
    <n v="118075"/>
    <n v="4"/>
    <n v="118075"/>
    <x v="1"/>
    <x v="3"/>
  </r>
  <r>
    <x v="2"/>
    <n v="331"/>
    <x v="619"/>
    <x v="476"/>
    <x v="26"/>
    <s v="Human"/>
    <n v="45"/>
    <x v="368"/>
    <x v="393"/>
    <n v="-13.396000000000001"/>
    <x v="1"/>
    <n v="0"/>
    <n v="4.2999999999999997E-2"/>
    <n v="0.79200000000000004"/>
    <n v="2.2300000000000002E-3"/>
    <x v="51"/>
    <n v="0.14199999999999999"/>
    <n v="118.952"/>
    <n v="4"/>
    <n v="143290"/>
    <n v="4"/>
    <n v="143290"/>
    <n v="4"/>
    <n v="143290"/>
    <x v="1"/>
    <x v="3"/>
  </r>
  <r>
    <x v="0"/>
    <n v="321"/>
    <x v="620"/>
    <x v="9"/>
    <x v="8"/>
    <s v="Hot Pink"/>
    <n v="68"/>
    <x v="42"/>
    <x v="292"/>
    <n v="-3.1150000000000002"/>
    <x v="1"/>
    <n v="5"/>
    <n v="9.64E-2"/>
    <n v="0.35099999999999998"/>
    <n v="0"/>
    <x v="21"/>
    <n v="0.59199999999999997"/>
    <n v="127.996"/>
    <n v="4"/>
    <n v="195213"/>
    <n v="4"/>
    <n v="195213"/>
    <n v="4"/>
    <n v="195213"/>
    <x v="1"/>
    <x v="3"/>
  </r>
  <r>
    <x v="0"/>
    <n v="319"/>
    <x v="621"/>
    <x v="477"/>
    <x v="57"/>
    <s v="diary 001"/>
    <n v="68"/>
    <x v="133"/>
    <x v="283"/>
    <n v="-7.835"/>
    <x v="0"/>
    <n v="10"/>
    <n v="6.0699999999999997E-2"/>
    <n v="0.64100000000000001"/>
    <n v="4.5899999999999999E-4"/>
    <x v="386"/>
    <n v="6.4399999999999999E-2"/>
    <n v="98.731999999999999"/>
    <n v="4"/>
    <n v="135016"/>
    <n v="4"/>
    <n v="135016"/>
    <n v="4"/>
    <n v="135016"/>
    <x v="1"/>
    <x v="3"/>
  </r>
  <r>
    <x v="0"/>
    <n v="305"/>
    <x v="622"/>
    <x v="478"/>
    <x v="10"/>
    <s v="Pray 4 Love (Deluxe)"/>
    <n v="4"/>
    <x v="369"/>
    <x v="149"/>
    <n v="-9.6280000000000001"/>
    <x v="0"/>
    <n v="5"/>
    <n v="0.24099999999999999"/>
    <n v="0.14699999999999999"/>
    <n v="0"/>
    <x v="16"/>
    <n v="0.29799999999999999"/>
    <n v="118.004"/>
    <n v="4"/>
    <n v="235988"/>
    <n v="4"/>
    <n v="235988"/>
    <n v="4"/>
    <n v="235988"/>
    <x v="1"/>
    <x v="3"/>
  </r>
  <r>
    <x v="0"/>
    <n v="304"/>
    <x v="622"/>
    <x v="478"/>
    <x v="10"/>
    <s v="Pray 4 Love (Deluxe)"/>
    <n v="71"/>
    <x v="369"/>
    <x v="149"/>
    <n v="-9.6280000000000001"/>
    <x v="0"/>
    <n v="5"/>
    <n v="0.24099999999999999"/>
    <n v="0.14699999999999999"/>
    <n v="0"/>
    <x v="16"/>
    <n v="0.29799999999999999"/>
    <n v="118.004"/>
    <n v="4"/>
    <n v="235988"/>
    <n v="4"/>
    <n v="235988"/>
    <n v="4"/>
    <n v="235988"/>
    <x v="1"/>
    <x v="3"/>
  </r>
  <r>
    <x v="2"/>
    <n v="302"/>
    <x v="623"/>
    <x v="479"/>
    <x v="13"/>
    <s v="The Beach Boys Love Songs"/>
    <n v="60"/>
    <x v="370"/>
    <x v="323"/>
    <n v="-9.1389999999999993"/>
    <x v="1"/>
    <n v="5"/>
    <n v="3.4700000000000002E-2"/>
    <n v="0.53600000000000003"/>
    <n v="2.5400000000000001E-5"/>
    <x v="179"/>
    <n v="0.69299999999999995"/>
    <n v="122.619"/>
    <n v="4"/>
    <n v="145107"/>
    <n v="4"/>
    <n v="145107"/>
    <n v="4"/>
    <n v="145107"/>
    <x v="1"/>
    <x v="3"/>
  </r>
  <r>
    <x v="3"/>
    <n v="300"/>
    <x v="624"/>
    <x v="125"/>
    <x v="54"/>
    <s v="SOUR"/>
    <n v="88"/>
    <x v="371"/>
    <x v="146"/>
    <n v="-7.2220000000000004"/>
    <x v="1"/>
    <n v="2"/>
    <n v="0.112"/>
    <n v="0.58399999999999996"/>
    <n v="5.6999999999999996E-6"/>
    <x v="387"/>
    <n v="0.17799999999999999"/>
    <n v="180.917"/>
    <n v="4"/>
    <n v="215507"/>
    <n v="4"/>
    <n v="215507"/>
    <n v="4"/>
    <n v="215507"/>
    <x v="1"/>
    <x v="3"/>
  </r>
  <r>
    <x v="3"/>
    <n v="271"/>
    <x v="625"/>
    <x v="142"/>
    <x v="57"/>
    <s v="lowkey"/>
    <n v="76"/>
    <x v="252"/>
    <x v="152"/>
    <n v="-8.18"/>
    <x v="1"/>
    <n v="0"/>
    <n v="5.5899999999999998E-2"/>
    <n v="0.432"/>
    <n v="0"/>
    <x v="388"/>
    <n v="0.22700000000000001"/>
    <n v="117.901"/>
    <n v="4"/>
    <n v="171356"/>
    <n v="4"/>
    <n v="171356"/>
    <n v="4"/>
    <n v="171356"/>
    <x v="1"/>
    <x v="3"/>
  </r>
  <r>
    <x v="2"/>
    <n v="233"/>
    <x v="626"/>
    <x v="148"/>
    <x v="26"/>
    <s v="Six: The Musical (Studio Cast Recording)"/>
    <n v="63"/>
    <x v="65"/>
    <x v="394"/>
    <n v="-7.9669999999999996"/>
    <x v="0"/>
    <n v="11"/>
    <n v="0.187"/>
    <n v="0.30199999999999999"/>
    <n v="0"/>
    <x v="389"/>
    <n v="0.59599999999999997"/>
    <n v="143.99100000000001"/>
    <n v="4"/>
    <n v="410089"/>
    <n v="4"/>
    <n v="410089"/>
    <n v="4"/>
    <n v="410089"/>
    <x v="1"/>
    <x v="3"/>
  </r>
  <r>
    <x v="2"/>
    <n v="230"/>
    <x v="627"/>
    <x v="480"/>
    <x v="36"/>
    <s v="Another Cinderella Story (Original Motion Picture Soundtrack)"/>
    <n v="56"/>
    <x v="175"/>
    <x v="353"/>
    <n v="-3.6970000000000001"/>
    <x v="0"/>
    <n v="7"/>
    <n v="0.11"/>
    <n v="3.09E-2"/>
    <n v="0"/>
    <x v="70"/>
    <n v="0.69699999999999995"/>
    <n v="144.90100000000001"/>
    <n v="4"/>
    <n v="201427"/>
    <n v="4"/>
    <n v="201427"/>
    <n v="4"/>
    <n v="201427"/>
    <x v="1"/>
    <x v="3"/>
  </r>
  <r>
    <x v="1"/>
    <n v="220"/>
    <x v="628"/>
    <x v="481"/>
    <x v="26"/>
    <s v="Creep"/>
    <n v="65"/>
    <x v="372"/>
    <x v="260"/>
    <n v="-4.5670000000000002"/>
    <x v="1"/>
    <n v="6"/>
    <n v="4.2099999999999999E-2"/>
    <n v="5.5500000000000001E-2"/>
    <n v="1.56E-3"/>
    <x v="271"/>
    <n v="7.5399999999999995E-2"/>
    <n v="124.01300000000001"/>
    <n v="4"/>
    <n v="203226"/>
    <n v="4"/>
    <n v="203226"/>
    <n v="4"/>
    <n v="203226"/>
    <x v="1"/>
    <x v="3"/>
  </r>
  <r>
    <x v="0"/>
    <n v="220"/>
    <x v="629"/>
    <x v="348"/>
    <x v="13"/>
    <s v="Pink Friday (Complete Edition)"/>
    <n v="53"/>
    <x v="373"/>
    <x v="276"/>
    <n v="-4.2720000000000002"/>
    <x v="1"/>
    <n v="1"/>
    <n v="5.7200000000000001E-2"/>
    <n v="4.9299999999999997E-2"/>
    <n v="1.15E-5"/>
    <x v="56"/>
    <n v="0.72799999999999998"/>
    <n v="130.07499999999999"/>
    <n v="4"/>
    <n v="251013"/>
    <n v="4"/>
    <n v="251013"/>
    <n v="4"/>
    <n v="251013"/>
    <x v="1"/>
    <x v="3"/>
  </r>
  <r>
    <x v="2"/>
    <n v="213"/>
    <x v="567"/>
    <x v="439"/>
    <x v="7"/>
    <s v="The Best Of Patience &amp; Prudence"/>
    <n v="52"/>
    <x v="51"/>
    <x v="372"/>
    <n v="-7.5439999999999996"/>
    <x v="0"/>
    <n v="10"/>
    <n v="2.8899999999999999E-2"/>
    <n v="0.95399999999999996"/>
    <n v="0"/>
    <x v="310"/>
    <n v="0.76900000000000002"/>
    <n v="108.07"/>
    <n v="4"/>
    <n v="115227"/>
    <n v="4"/>
    <n v="115227"/>
    <n v="4"/>
    <n v="115227"/>
    <x v="1"/>
    <x v="3"/>
  </r>
  <r>
    <x v="3"/>
    <n v="201"/>
    <x v="630"/>
    <x v="482"/>
    <x v="6"/>
    <s v="Meet The Vamps"/>
    <n v="76"/>
    <x v="374"/>
    <x v="341"/>
    <n v="-5.952"/>
    <x v="1"/>
    <n v="3"/>
    <n v="3.5799999999999998E-2"/>
    <n v="5.8700000000000002E-2"/>
    <n v="0"/>
    <x v="282"/>
    <n v="0.89600000000000002"/>
    <n v="171.96"/>
    <n v="4"/>
    <n v="185098"/>
    <n v="4"/>
    <n v="185098"/>
    <n v="4"/>
    <n v="185098"/>
    <x v="1"/>
    <x v="3"/>
  </r>
  <r>
    <x v="0"/>
    <n v="174"/>
    <x v="631"/>
    <x v="433"/>
    <x v="54"/>
    <s v="Pink Friday (Complete Edition)"/>
    <n v="52"/>
    <x v="51"/>
    <x v="324"/>
    <n v="-3.883"/>
    <x v="1"/>
    <n v="11"/>
    <n v="0.23699999999999999"/>
    <n v="0.40600000000000003"/>
    <n v="0"/>
    <x v="178"/>
    <n v="0.38600000000000001"/>
    <n v="97.941000000000003"/>
    <n v="4"/>
    <n v="279307"/>
    <n v="4"/>
    <n v="279307"/>
    <n v="4"/>
    <n v="279307"/>
    <x v="1"/>
    <x v="3"/>
  </r>
  <r>
    <x v="2"/>
    <n v="174"/>
    <x v="631"/>
    <x v="433"/>
    <x v="54"/>
    <s v="Pink Friday"/>
    <n v="0"/>
    <x v="51"/>
    <x v="122"/>
    <n v="-3.883"/>
    <x v="1"/>
    <n v="11"/>
    <n v="0.23599999999999999"/>
    <n v="0.40600000000000003"/>
    <n v="0"/>
    <x v="126"/>
    <n v="0.38600000000000001"/>
    <n v="97.942999999999998"/>
    <n v="4"/>
    <n v="279307"/>
    <n v="4"/>
    <n v="279307"/>
    <n v="4"/>
    <n v="279307"/>
    <x v="1"/>
    <x v="3"/>
  </r>
  <r>
    <x v="3"/>
    <n v="170"/>
    <x v="632"/>
    <x v="268"/>
    <x v="53"/>
    <s v="My World"/>
    <n v="72"/>
    <x v="375"/>
    <x v="62"/>
    <n v="-4.4690000000000003"/>
    <x v="1"/>
    <n v="7"/>
    <n v="4.3499999999999997E-2"/>
    <n v="4.7199999999999999E-2"/>
    <n v="0"/>
    <x v="258"/>
    <n v="0.63400000000000001"/>
    <n v="176.03399999999999"/>
    <n v="4"/>
    <n v="256800"/>
    <n v="4"/>
    <n v="256800"/>
    <n v="4"/>
    <n v="256800"/>
    <x v="1"/>
    <x v="3"/>
  </r>
  <r>
    <x v="2"/>
    <n v="167"/>
    <x v="633"/>
    <x v="483"/>
    <x v="27"/>
    <s v="You Are Going to Hate This"/>
    <n v="56"/>
    <x v="376"/>
    <x v="395"/>
    <n v="-11.316000000000001"/>
    <x v="0"/>
    <n v="1"/>
    <n v="0.104"/>
    <n v="6.9699999999999998E-2"/>
    <n v="6.3700000000000003E-5"/>
    <x v="390"/>
    <n v="0.5"/>
    <n v="106.337"/>
    <n v="4"/>
    <n v="170299"/>
    <n v="4"/>
    <n v="170299"/>
    <n v="4"/>
    <n v="170299"/>
    <x v="1"/>
    <x v="3"/>
  </r>
  <r>
    <x v="0"/>
    <n v="162"/>
    <x v="634"/>
    <x v="484"/>
    <x v="6"/>
    <s v="Survive The Summer"/>
    <n v="66"/>
    <x v="67"/>
    <x v="225"/>
    <n v="-6.665"/>
    <x v="1"/>
    <n v="10"/>
    <n v="0.13700000000000001"/>
    <n v="3.3500000000000002E-2"/>
    <n v="4.3599999999999998E-6"/>
    <x v="19"/>
    <n v="0.192"/>
    <n v="174.02799999999999"/>
    <n v="4"/>
    <n v="166627"/>
    <n v="4"/>
    <n v="166627"/>
    <n v="4"/>
    <n v="166627"/>
    <x v="1"/>
    <x v="3"/>
  </r>
  <r>
    <x v="1"/>
    <n v="161"/>
    <x v="635"/>
    <x v="485"/>
    <x v="29"/>
    <s v="Feel Your Love"/>
    <n v="43"/>
    <x v="51"/>
    <x v="267"/>
    <n v="-6.2939999999999996"/>
    <x v="1"/>
    <n v="6"/>
    <n v="4.3299999999999998E-2"/>
    <n v="7.0499999999999993E-2"/>
    <n v="0"/>
    <x v="391"/>
    <n v="0.51100000000000001"/>
    <n v="124.98099999999999"/>
    <n v="4"/>
    <n v="172714"/>
    <n v="4"/>
    <n v="172714"/>
    <n v="4"/>
    <n v="172714"/>
    <x v="1"/>
    <x v="3"/>
  </r>
  <r>
    <x v="0"/>
    <n v="153"/>
    <x v="636"/>
    <x v="486"/>
    <x v="11"/>
    <s v="Leave Em Alone"/>
    <n v="59"/>
    <x v="377"/>
    <x v="253"/>
    <n v="-4.74"/>
    <x v="0"/>
    <n v="6"/>
    <n v="0.29599999999999999"/>
    <n v="1.89E-2"/>
    <n v="7.3499999999999999E-6"/>
    <x v="392"/>
    <n v="0.50600000000000001"/>
    <n v="102.033"/>
    <n v="4"/>
    <n v="171980"/>
    <n v="4"/>
    <n v="171980"/>
    <n v="4"/>
    <n v="171980"/>
    <x v="1"/>
    <x v="3"/>
  </r>
  <r>
    <x v="1"/>
    <n v="151"/>
    <x v="637"/>
    <x v="13"/>
    <x v="12"/>
    <s v="MAMIII"/>
    <n v="87"/>
    <x v="3"/>
    <x v="182"/>
    <n v="-3.5630000000000002"/>
    <x v="0"/>
    <n v="4"/>
    <n v="8.0299999999999996E-2"/>
    <n v="9.3399999999999997E-2"/>
    <n v="0"/>
    <x v="21"/>
    <n v="0.89900000000000002"/>
    <n v="93.991"/>
    <n v="4"/>
    <n v="226088"/>
    <n v="4"/>
    <n v="226088"/>
    <n v="4"/>
    <n v="226088"/>
    <x v="1"/>
    <x v="3"/>
  </r>
  <r>
    <x v="2"/>
    <n v="147"/>
    <x v="638"/>
    <x v="487"/>
    <x v="7"/>
    <s v="L.O.V.E."/>
    <n v="51"/>
    <x v="170"/>
    <x v="17"/>
    <n v="-6.226"/>
    <x v="0"/>
    <n v="11"/>
    <n v="3.6299999999999999E-2"/>
    <n v="0.72"/>
    <n v="0"/>
    <x v="393"/>
    <n v="0.70299999999999996"/>
    <n v="74.960999999999999"/>
    <n v="4"/>
    <n v="158493"/>
    <n v="4"/>
    <n v="158493"/>
    <n v="4"/>
    <n v="158493"/>
    <x v="1"/>
    <x v="3"/>
  </r>
  <r>
    <x v="1"/>
    <n v="141"/>
    <x v="639"/>
    <x v="488"/>
    <x v="7"/>
    <s v="Play With Me"/>
    <n v="48"/>
    <x v="11"/>
    <x v="396"/>
    <n v="-6.0119999999999996"/>
    <x v="1"/>
    <n v="6"/>
    <n v="7.5600000000000001E-2"/>
    <n v="0.223"/>
    <n v="0"/>
    <x v="55"/>
    <n v="0.48599999999999999"/>
    <n v="95.064999999999998"/>
    <n v="4"/>
    <n v="178261"/>
    <n v="4"/>
    <n v="178261"/>
    <n v="4"/>
    <n v="178261"/>
    <x v="1"/>
    <x v="3"/>
  </r>
  <r>
    <x v="1"/>
    <n v="137"/>
    <x v="640"/>
    <x v="344"/>
    <x v="54"/>
    <s v="Red Pill Blues (Deluxe)"/>
    <n v="74"/>
    <x v="378"/>
    <x v="244"/>
    <n v="-6.8250000000000002"/>
    <x v="1"/>
    <n v="0"/>
    <n v="5.0500000000000003E-2"/>
    <n v="0.56799999999999995"/>
    <n v="0"/>
    <x v="164"/>
    <n v="0.44800000000000001"/>
    <n v="124.959"/>
    <n v="4"/>
    <n v="235545"/>
    <n v="4"/>
    <n v="235545"/>
    <n v="4"/>
    <n v="235545"/>
    <x v="1"/>
    <x v="3"/>
  </r>
  <r>
    <x v="0"/>
    <n v="130"/>
    <x v="641"/>
    <x v="169"/>
    <x v="5"/>
    <s v="TROLLZ (with Nicki Minaj)"/>
    <n v="5"/>
    <x v="116"/>
    <x v="397"/>
    <n v="-8.9459999999999997"/>
    <x v="1"/>
    <n v="1"/>
    <n v="0.29399999999999998"/>
    <n v="3.1899999999999998E-2"/>
    <n v="1.1E-4"/>
    <x v="40"/>
    <n v="0.49299999999999999"/>
    <n v="180.006"/>
    <n v="4"/>
    <n v="202667"/>
    <n v="4"/>
    <n v="202667"/>
    <n v="4"/>
    <n v="202667"/>
    <x v="1"/>
    <x v="3"/>
  </r>
  <r>
    <x v="1"/>
    <n v="126"/>
    <x v="642"/>
    <x v="489"/>
    <x v="16"/>
    <s v="Running To You (feat. Caden)"/>
    <n v="65"/>
    <x v="379"/>
    <x v="203"/>
    <n v="-5.149"/>
    <x v="0"/>
    <n v="11"/>
    <n v="3.9899999999999998E-2"/>
    <n v="3.2099999999999997E-2"/>
    <n v="0"/>
    <x v="394"/>
    <n v="0.246"/>
    <n v="124.09"/>
    <n v="4"/>
    <n v="183091"/>
    <n v="4"/>
    <n v="183091"/>
    <n v="4"/>
    <n v="183091"/>
    <x v="1"/>
    <x v="3"/>
  </r>
  <r>
    <x v="3"/>
    <n v="123"/>
    <x v="643"/>
    <x v="490"/>
    <x v="41"/>
    <s v="Pop 2"/>
    <n v="63"/>
    <x v="86"/>
    <x v="210"/>
    <n v="-5.8639999999999999"/>
    <x v="1"/>
    <n v="9"/>
    <n v="4.5199999999999997E-2"/>
    <n v="5.8500000000000003E-2"/>
    <n v="1.8300000000000001E-5"/>
    <x v="222"/>
    <n v="0.5"/>
    <n v="134.82400000000001"/>
    <n v="4"/>
    <n v="232933"/>
    <n v="4"/>
    <n v="232933"/>
    <n v="4"/>
    <n v="232933"/>
    <x v="1"/>
    <x v="3"/>
  </r>
  <r>
    <x v="2"/>
    <n v="122"/>
    <x v="644"/>
    <x v="314"/>
    <x v="4"/>
    <s v="Flamingo"/>
    <n v="58"/>
    <x v="130"/>
    <x v="23"/>
    <n v="-6.2869999999999999"/>
    <x v="1"/>
    <n v="8"/>
    <n v="0.51100000000000001"/>
    <n v="0.313"/>
    <n v="0"/>
    <x v="363"/>
    <n v="0.79"/>
    <n v="177.86500000000001"/>
    <n v="4"/>
    <n v="197528"/>
    <n v="4"/>
    <n v="197528"/>
    <n v="4"/>
    <n v="197528"/>
    <x v="1"/>
    <x v="3"/>
  </r>
  <r>
    <x v="2"/>
    <n v="120"/>
    <x v="645"/>
    <x v="491"/>
    <x v="1"/>
    <s v="Utamonogatari Special Edition (Original Soundtrack)"/>
    <n v="65"/>
    <x v="62"/>
    <x v="398"/>
    <n v="-5.6790000000000003"/>
    <x v="0"/>
    <n v="1"/>
    <n v="3.9600000000000003E-2"/>
    <n v="5.2400000000000002E-2"/>
    <n v="1.1100000000000001E-3"/>
    <x v="69"/>
    <n v="0.94099999999999995"/>
    <n v="120.009"/>
    <n v="4"/>
    <n v="255040"/>
    <n v="4"/>
    <n v="255040"/>
    <n v="4"/>
    <n v="255040"/>
    <x v="1"/>
    <x v="3"/>
  </r>
  <r>
    <x v="2"/>
    <n v="112"/>
    <x v="646"/>
    <x v="492"/>
    <x v="38"/>
    <s v="The Hunchback of Notre Dame (Studio Cast Recording)"/>
    <n v="44"/>
    <x v="380"/>
    <x v="399"/>
    <n v="-7.99"/>
    <x v="0"/>
    <n v="1"/>
    <n v="4.5999999999999999E-2"/>
    <n v="0.79600000000000004"/>
    <n v="4.5600000000000004E-6"/>
    <x v="330"/>
    <n v="0.317"/>
    <n v="171.488"/>
    <n v="4"/>
    <n v="275947"/>
    <n v="4"/>
    <n v="275947"/>
    <n v="4"/>
    <n v="275947"/>
    <x v="1"/>
    <x v="3"/>
  </r>
  <r>
    <x v="1"/>
    <n v="109"/>
    <x v="647"/>
    <x v="493"/>
    <x v="40"/>
    <s v="Payphone"/>
    <n v="45"/>
    <x v="285"/>
    <x v="400"/>
    <n v="-7.9530000000000003"/>
    <x v="1"/>
    <n v="11"/>
    <n v="0.224"/>
    <n v="0.56299999999999994"/>
    <n v="6.3999999999999997E-6"/>
    <x v="395"/>
    <n v="0.46200000000000002"/>
    <n v="125.07"/>
    <n v="4"/>
    <n v="128825"/>
    <n v="4"/>
    <n v="128825"/>
    <n v="4"/>
    <n v="128825"/>
    <x v="1"/>
    <x v="3"/>
  </r>
  <r>
    <x v="0"/>
    <n v="106"/>
    <x v="648"/>
    <x v="494"/>
    <x v="75"/>
    <s v="Party Party Party (feat. Chris Brown &amp; Dej Loaf)"/>
    <n v="47"/>
    <x v="241"/>
    <x v="401"/>
    <n v="-5.7629999999999999"/>
    <x v="1"/>
    <n v="7"/>
    <n v="0.183"/>
    <n v="3.7599999999999999E-3"/>
    <n v="3.3399999999999999E-5"/>
    <x v="0"/>
    <n v="0.56399999999999995"/>
    <n v="94.918999999999997"/>
    <n v="4"/>
    <n v="191340"/>
    <n v="4"/>
    <n v="191340"/>
    <n v="4"/>
    <n v="191340"/>
    <x v="1"/>
    <x v="3"/>
  </r>
  <r>
    <x v="0"/>
    <n v="103"/>
    <x v="649"/>
    <x v="356"/>
    <x v="31"/>
    <s v="The Fame Monster (Deluxe Edition)"/>
    <n v="61"/>
    <x v="381"/>
    <x v="282"/>
    <n v="-4.5030000000000001"/>
    <x v="0"/>
    <n v="9"/>
    <n v="4.41E-2"/>
    <n v="1.24E-3"/>
    <n v="0"/>
    <x v="396"/>
    <n v="0.64600000000000002"/>
    <n v="119.96899999999999"/>
    <n v="4"/>
    <n v="249280"/>
    <n v="4"/>
    <n v="249280"/>
    <n v="4"/>
    <n v="249280"/>
    <x v="1"/>
    <x v="3"/>
  </r>
  <r>
    <x v="0"/>
    <n v="93"/>
    <x v="650"/>
    <x v="204"/>
    <x v="27"/>
    <s v="Yellow Hearts (feat. Audrey Mika)"/>
    <n v="55"/>
    <x v="182"/>
    <x v="224"/>
    <n v="-8.0410000000000004"/>
    <x v="1"/>
    <n v="7"/>
    <n v="0.22"/>
    <n v="0.46400000000000002"/>
    <n v="0"/>
    <x v="397"/>
    <n v="0.67800000000000005"/>
    <n v="129.041"/>
    <n v="4"/>
    <n v="180672"/>
    <n v="4"/>
    <n v="180672"/>
    <n v="4"/>
    <n v="180672"/>
    <x v="1"/>
    <x v="3"/>
  </r>
  <r>
    <x v="1"/>
    <n v="90"/>
    <x v="651"/>
    <x v="495"/>
    <x v="27"/>
    <s v="Love Me Again"/>
    <n v="46"/>
    <x v="171"/>
    <x v="264"/>
    <n v="-5.6420000000000003"/>
    <x v="0"/>
    <n v="0"/>
    <n v="0.41299999999999998"/>
    <n v="0.20599999999999999"/>
    <n v="3.0800000000000001E-4"/>
    <x v="6"/>
    <n v="0.24199999999999999"/>
    <n v="125"/>
    <n v="4"/>
    <n v="134400"/>
    <n v="4"/>
    <n v="134400"/>
    <n v="4"/>
    <n v="134400"/>
    <x v="1"/>
    <x v="3"/>
  </r>
  <r>
    <x v="1"/>
    <n v="88"/>
    <x v="652"/>
    <x v="496"/>
    <x v="16"/>
    <s v="The Plan"/>
    <n v="58"/>
    <x v="66"/>
    <x v="47"/>
    <n v="-5.8490000000000002"/>
    <x v="0"/>
    <n v="5"/>
    <n v="3.61E-2"/>
    <n v="5.8999999999999999E-3"/>
    <n v="0"/>
    <x v="56"/>
    <n v="0.86399999999999999"/>
    <n v="124.03400000000001"/>
    <n v="4"/>
    <n v="135484"/>
    <n v="4"/>
    <n v="135484"/>
    <n v="4"/>
    <n v="135484"/>
    <x v="1"/>
    <x v="3"/>
  </r>
  <r>
    <x v="1"/>
    <n v="86"/>
    <x v="603"/>
    <x v="463"/>
    <x v="21"/>
    <s v="By Your Side"/>
    <n v="69"/>
    <x v="363"/>
    <x v="385"/>
    <n v="-3.7549999999999999"/>
    <x v="0"/>
    <n v="2"/>
    <n v="6.6799999999999998E-2"/>
    <n v="0.72599999999999998"/>
    <n v="5.8300000000000001E-6"/>
    <x v="176"/>
    <n v="0.75800000000000001"/>
    <n v="118.05"/>
    <n v="4"/>
    <n v="215507"/>
    <n v="4"/>
    <n v="215507"/>
    <n v="4"/>
    <n v="215507"/>
    <x v="1"/>
    <x v="3"/>
  </r>
  <r>
    <x v="1"/>
    <n v="70"/>
    <x v="653"/>
    <x v="497"/>
    <x v="58"/>
    <s v="Serenity"/>
    <n v="46"/>
    <x v="180"/>
    <x v="100"/>
    <n v="-8.0939999999999994"/>
    <x v="0"/>
    <n v="8"/>
    <n v="5.0799999999999998E-2"/>
    <n v="5.1499999999999997E-2"/>
    <n v="2.7E-6"/>
    <x v="398"/>
    <n v="0.312"/>
    <n v="117.979"/>
    <n v="4"/>
    <n v="202507"/>
    <n v="4"/>
    <n v="202507"/>
    <n v="4"/>
    <n v="202507"/>
    <x v="1"/>
    <x v="3"/>
  </r>
  <r>
    <x v="1"/>
    <n v="67"/>
    <x v="654"/>
    <x v="498"/>
    <x v="29"/>
    <s v="Forever"/>
    <n v="54"/>
    <x v="173"/>
    <x v="332"/>
    <n v="-4.3140000000000001"/>
    <x v="1"/>
    <n v="11"/>
    <n v="8.1699999999999995E-2"/>
    <n v="4.2100000000000002E-3"/>
    <n v="3.4700000000000003E-5"/>
    <x v="399"/>
    <n v="0.26600000000000001"/>
    <n v="124.998"/>
    <n v="4"/>
    <n v="167040"/>
    <n v="4"/>
    <n v="167040"/>
    <n v="4"/>
    <n v="167040"/>
    <x v="1"/>
    <x v="3"/>
  </r>
  <r>
    <x v="1"/>
    <n v="66"/>
    <x v="655"/>
    <x v="499"/>
    <x v="7"/>
    <s v="On My Way!"/>
    <n v="54"/>
    <x v="382"/>
    <x v="396"/>
    <n v="-6.5880000000000001"/>
    <x v="0"/>
    <n v="0"/>
    <n v="3.6299999999999999E-2"/>
    <n v="0.16700000000000001"/>
    <n v="1.3100000000000001E-4"/>
    <x v="258"/>
    <n v="0.85499999999999998"/>
    <n v="119.021"/>
    <n v="4"/>
    <n v="177080"/>
    <n v="4"/>
    <n v="177080"/>
    <n v="4"/>
    <n v="177080"/>
    <x v="1"/>
    <x v="3"/>
  </r>
  <r>
    <x v="2"/>
    <n v="64"/>
    <x v="656"/>
    <x v="500"/>
    <x v="76"/>
    <s v="Gm Say It Back"/>
    <n v="31"/>
    <x v="45"/>
    <x v="402"/>
    <n v="-12.525"/>
    <x v="1"/>
    <n v="8"/>
    <n v="0.17100000000000001"/>
    <n v="0.73299999999999998"/>
    <n v="4.8000000000000001E-5"/>
    <x v="400"/>
    <n v="0.42299999999999999"/>
    <n v="77.540000000000006"/>
    <n v="4"/>
    <n v="102792"/>
    <n v="4"/>
    <n v="102792"/>
    <n v="4"/>
    <n v="102792"/>
    <x v="1"/>
    <x v="3"/>
  </r>
  <r>
    <x v="1"/>
    <n v="63"/>
    <x v="657"/>
    <x v="501"/>
    <x v="38"/>
    <s v="Follow Me"/>
    <n v="60"/>
    <x v="138"/>
    <x v="403"/>
    <n v="-4.3550000000000004"/>
    <x v="0"/>
    <n v="6"/>
    <n v="0.05"/>
    <n v="4.5300000000000002E-3"/>
    <n v="1.3500000000000001E-3"/>
    <x v="23"/>
    <n v="0.48499999999999999"/>
    <n v="122.014"/>
    <n v="4"/>
    <n v="158247"/>
    <n v="4"/>
    <n v="158247"/>
    <n v="4"/>
    <n v="158247"/>
    <x v="1"/>
    <x v="3"/>
  </r>
  <r>
    <x v="1"/>
    <n v="58"/>
    <x v="658"/>
    <x v="502"/>
    <x v="33"/>
    <s v="Lovely"/>
    <n v="45"/>
    <x v="86"/>
    <x v="331"/>
    <n v="-6.9539999999999997"/>
    <x v="0"/>
    <n v="4"/>
    <n v="6.4000000000000001E-2"/>
    <n v="0.316"/>
    <n v="1.2700000000000001E-3"/>
    <x v="401"/>
    <n v="3.7499999999999999E-2"/>
    <n v="128.078"/>
    <n v="4"/>
    <n v="159023"/>
    <n v="4"/>
    <n v="159023"/>
    <n v="4"/>
    <n v="159023"/>
    <x v="1"/>
    <x v="3"/>
  </r>
  <r>
    <x v="0"/>
    <n v="57"/>
    <x v="248"/>
    <x v="210"/>
    <x v="51"/>
    <s v="Holo"/>
    <n v="0"/>
    <x v="211"/>
    <x v="104"/>
    <n v="-10.631"/>
    <x v="1"/>
    <n v="7"/>
    <n v="0.158"/>
    <n v="0.85199999999999998"/>
    <n v="0.11799999999999999"/>
    <x v="19"/>
    <n v="7.0000000000000007E-2"/>
    <n v="119.905"/>
    <n v="4"/>
    <n v="164113"/>
    <n v="4"/>
    <n v="164113"/>
    <n v="4"/>
    <n v="164113"/>
    <x v="1"/>
    <x v="3"/>
  </r>
  <r>
    <x v="0"/>
    <n v="53"/>
    <x v="659"/>
    <x v="503"/>
    <x v="37"/>
    <s v="Cartoon Heroes, Vol. 5"/>
    <n v="33"/>
    <x v="65"/>
    <x v="88"/>
    <n v="-7.0359999999999996"/>
    <x v="1"/>
    <n v="7"/>
    <n v="5.5599999999999997E-2"/>
    <n v="0.249"/>
    <n v="0"/>
    <x v="128"/>
    <n v="0.88200000000000001"/>
    <n v="142.09399999999999"/>
    <n v="4"/>
    <n v="61466"/>
    <n v="4"/>
    <n v="61466"/>
    <n v="4"/>
    <n v="61466"/>
    <x v="1"/>
    <x v="3"/>
  </r>
  <r>
    <x v="1"/>
    <n v="51"/>
    <x v="660"/>
    <x v="504"/>
    <x v="65"/>
    <s v="Chaa Chaa Chaa (feat. HoodCelebrityy)"/>
    <n v="45"/>
    <x v="122"/>
    <x v="58"/>
    <n v="-6.3819999999999997"/>
    <x v="1"/>
    <n v="2"/>
    <n v="0.41499999999999998"/>
    <n v="0.43099999999999999"/>
    <n v="0"/>
    <x v="271"/>
    <n v="0.628"/>
    <n v="139.92500000000001"/>
    <n v="4"/>
    <n v="185376"/>
    <n v="4"/>
    <n v="185376"/>
    <n v="4"/>
    <n v="185376"/>
    <x v="1"/>
    <x v="3"/>
  </r>
  <r>
    <x v="1"/>
    <n v="51"/>
    <x v="661"/>
    <x v="468"/>
    <x v="29"/>
    <s v="On My Way"/>
    <n v="40"/>
    <x v="383"/>
    <x v="404"/>
    <n v="-5.5060000000000002"/>
    <x v="1"/>
    <n v="4"/>
    <n v="2.52E-2"/>
    <n v="4.2900000000000001E-2"/>
    <n v="0"/>
    <x v="142"/>
    <n v="0.77200000000000002"/>
    <n v="96.039000000000001"/>
    <n v="3"/>
    <n v="200840"/>
    <n v="3"/>
    <n v="200840"/>
    <n v="3"/>
    <n v="200840"/>
    <x v="1"/>
    <x v="3"/>
  </r>
  <r>
    <x v="2"/>
    <n v="50"/>
    <x v="662"/>
    <x v="505"/>
    <x v="18"/>
    <s v="Sinatra/Basie: The Complete Reprise Studio Recordings"/>
    <n v="71"/>
    <x v="357"/>
    <x v="405"/>
    <n v="-14.256"/>
    <x v="1"/>
    <n v="7"/>
    <n v="5.2299999999999999E-2"/>
    <n v="0.45300000000000001"/>
    <n v="0"/>
    <x v="402"/>
    <n v="0.36799999999999999"/>
    <n v="119.416"/>
    <n v="4"/>
    <n v="147000"/>
    <n v="4"/>
    <n v="147000"/>
    <n v="4"/>
    <n v="147000"/>
    <x v="1"/>
    <x v="3"/>
  </r>
  <r>
    <x v="2"/>
    <n v="50"/>
    <x v="663"/>
    <x v="506"/>
    <x v="51"/>
    <s v="Minnie's Favorites (Songs from &quot;&quot;Mickey Mouse Clubhouse&quot;&quot;)"/>
    <n v="29"/>
    <x v="384"/>
    <x v="193"/>
    <n v="-7.8559999999999999"/>
    <x v="1"/>
    <n v="7"/>
    <n v="8.1100000000000005E-2"/>
    <n v="0.44800000000000001"/>
    <n v="3.5899999999999999E-6"/>
    <x v="330"/>
    <n v="0.92600000000000005"/>
    <n v="92.614000000000004"/>
    <n v="4"/>
    <n v="148133"/>
    <n v="4"/>
    <n v="148133"/>
    <n v="4"/>
    <n v="148133"/>
    <x v="1"/>
    <x v="3"/>
  </r>
  <r>
    <x v="0"/>
    <n v="49"/>
    <x v="664"/>
    <x v="507"/>
    <x v="1"/>
    <s v="The Little Mermaid"/>
    <n v="60"/>
    <x v="385"/>
    <x v="406"/>
    <n v="-15.141999999999999"/>
    <x v="1"/>
    <n v="5"/>
    <n v="3.8600000000000002E-2"/>
    <n v="0.91400000000000003"/>
    <n v="7.0699999999999995E-4"/>
    <x v="129"/>
    <n v="0.32300000000000001"/>
    <n v="100"/>
    <n v="4"/>
    <n v="195493"/>
    <n v="4"/>
    <n v="195493"/>
    <n v="4"/>
    <n v="195493"/>
    <x v="1"/>
    <x v="3"/>
  </r>
  <r>
    <x v="1"/>
    <n v="47"/>
    <x v="665"/>
    <x v="508"/>
    <x v="17"/>
    <s v="PAPI JUANCHO"/>
    <n v="77"/>
    <x v="366"/>
    <x v="203"/>
    <n v="-3.4540000000000002"/>
    <x v="0"/>
    <n v="6"/>
    <n v="0.38900000000000001"/>
    <n v="0.185"/>
    <n v="2.4600000000000002E-5"/>
    <x v="328"/>
    <n v="0.55800000000000005"/>
    <n v="180.06700000000001"/>
    <n v="4"/>
    <n v="199112"/>
    <n v="4"/>
    <n v="199112"/>
    <n v="4"/>
    <n v="199112"/>
    <x v="1"/>
    <x v="3"/>
  </r>
  <r>
    <x v="2"/>
    <n v="42"/>
    <x v="666"/>
    <x v="237"/>
    <x v="60"/>
    <s v="Sweetener"/>
    <n v="65"/>
    <x v="5"/>
    <x v="215"/>
    <n v="-4.6070000000000002"/>
    <x v="0"/>
    <n v="0"/>
    <n v="3.9699999999999999E-2"/>
    <n v="0.107"/>
    <n v="7.4000000000000003E-6"/>
    <x v="83"/>
    <n v="0.73499999999999999"/>
    <n v="114.045"/>
    <n v="4"/>
    <n v="227387"/>
    <n v="4"/>
    <n v="227387"/>
    <n v="4"/>
    <n v="227387"/>
    <x v="1"/>
    <x v="3"/>
  </r>
  <r>
    <x v="1"/>
    <n v="41"/>
    <x v="667"/>
    <x v="509"/>
    <x v="23"/>
    <s v="Flex On My Ex (with Bankrol Hayden)"/>
    <n v="57"/>
    <x v="97"/>
    <x v="400"/>
    <n v="-8.0329999999999995"/>
    <x v="1"/>
    <n v="1"/>
    <n v="9.9000000000000005E-2"/>
    <n v="6.0099999999999997E-3"/>
    <n v="0"/>
    <x v="198"/>
    <n v="0.36499999999999999"/>
    <n v="85.284999999999997"/>
    <n v="5"/>
    <n v="166805"/>
    <n v="5"/>
    <n v="166805"/>
    <n v="5"/>
    <n v="166805"/>
    <x v="1"/>
    <x v="3"/>
  </r>
  <r>
    <x v="0"/>
    <n v="41"/>
    <x v="668"/>
    <x v="510"/>
    <x v="23"/>
    <s v="La La La"/>
    <n v="58"/>
    <x v="72"/>
    <x v="331"/>
    <n v="-4.399"/>
    <x v="0"/>
    <n v="6"/>
    <n v="3.1600000000000003E-2"/>
    <n v="0.112"/>
    <n v="0"/>
    <x v="69"/>
    <n v="0.254"/>
    <n v="124.988"/>
    <n v="4"/>
    <n v="220779"/>
    <n v="4"/>
    <n v="220779"/>
    <n v="4"/>
    <n v="220779"/>
    <x v="1"/>
    <x v="3"/>
  </r>
  <r>
    <x v="1"/>
    <n v="39"/>
    <x v="669"/>
    <x v="47"/>
    <x v="30"/>
    <s v="Honestly, Nevermind"/>
    <n v="92"/>
    <x v="334"/>
    <x v="9"/>
    <n v="-4.7110000000000003"/>
    <x v="1"/>
    <n v="0"/>
    <n v="0.17499999999999999"/>
    <n v="3.0699999999999998E-4"/>
    <n v="2.4099999999999998E-6"/>
    <x v="403"/>
    <n v="0.36599999999999999"/>
    <n v="165.92099999999999"/>
    <n v="4"/>
    <n v="218365"/>
    <n v="4"/>
    <n v="218365"/>
    <n v="4"/>
    <n v="218365"/>
    <x v="1"/>
    <x v="3"/>
  </r>
  <r>
    <x v="1"/>
    <n v="38"/>
    <x v="670"/>
    <x v="511"/>
    <x v="63"/>
    <s v="Counting Stars"/>
    <n v="54"/>
    <x v="189"/>
    <x v="315"/>
    <n v="-6.8769999999999998"/>
    <x v="1"/>
    <n v="7"/>
    <n v="0.26400000000000001"/>
    <n v="0.501"/>
    <n v="0"/>
    <x v="51"/>
    <n v="0.45400000000000001"/>
    <n v="124.791"/>
    <n v="4"/>
    <n v="144935"/>
    <n v="4"/>
    <n v="144935"/>
    <n v="4"/>
    <n v="144935"/>
    <x v="1"/>
    <x v="3"/>
  </r>
  <r>
    <x v="3"/>
    <n v="36"/>
    <x v="671"/>
    <x v="512"/>
    <x v="11"/>
    <s v="MADE"/>
    <n v="67"/>
    <x v="46"/>
    <x v="407"/>
    <n v="-2.9489999999999998"/>
    <x v="1"/>
    <n v="1"/>
    <n v="5.3400000000000003E-2"/>
    <n v="1.67E-2"/>
    <n v="0"/>
    <x v="404"/>
    <n v="0.42799999999999999"/>
    <n v="135.01"/>
    <n v="4"/>
    <n v="220178"/>
    <n v="4"/>
    <n v="220178"/>
    <n v="4"/>
    <n v="220178"/>
    <x v="1"/>
    <x v="3"/>
  </r>
  <r>
    <x v="0"/>
    <n v="35"/>
    <x v="672"/>
    <x v="513"/>
    <x v="4"/>
    <s v="Eyes Blue Like The Atlantic"/>
    <n v="0"/>
    <x v="0"/>
    <x v="408"/>
    <n v="-16.925999999999998"/>
    <x v="0"/>
    <n v="9"/>
    <n v="0.90300000000000002"/>
    <n v="0.65"/>
    <n v="3.1199999999999999E-4"/>
    <x v="405"/>
    <n v="0.47599999999999998"/>
    <n v="76.430999999999997"/>
    <n v="4"/>
    <n v="154550"/>
    <n v="4"/>
    <n v="154550"/>
    <n v="4"/>
    <n v="154550"/>
    <x v="1"/>
    <x v="3"/>
  </r>
  <r>
    <x v="1"/>
    <n v="32"/>
    <x v="673"/>
    <x v="511"/>
    <x v="63"/>
    <s v="Apologize"/>
    <n v="48"/>
    <x v="386"/>
    <x v="98"/>
    <n v="-7.1079999999999997"/>
    <x v="1"/>
    <n v="8"/>
    <n v="5.5199999999999999E-2"/>
    <n v="0.53200000000000003"/>
    <n v="0"/>
    <x v="93"/>
    <n v="0.32500000000000001"/>
    <n v="126.10899999999999"/>
    <n v="4"/>
    <n v="129410"/>
    <n v="4"/>
    <n v="129410"/>
    <n v="4"/>
    <n v="129410"/>
    <x v="1"/>
    <x v="3"/>
  </r>
  <r>
    <x v="0"/>
    <n v="32"/>
    <x v="674"/>
    <x v="426"/>
    <x v="60"/>
    <s v="ANTI (Deluxe)"/>
    <n v="72"/>
    <x v="276"/>
    <x v="189"/>
    <n v="-5.2210000000000001"/>
    <x v="0"/>
    <n v="0"/>
    <n v="4.3900000000000002E-2"/>
    <n v="0.32300000000000001"/>
    <n v="0"/>
    <x v="55"/>
    <n v="0.32300000000000001"/>
    <n v="94.384"/>
    <n v="3"/>
    <n v="186467"/>
    <n v="3"/>
    <n v="186467"/>
    <n v="3"/>
    <n v="186467"/>
    <x v="1"/>
    <x v="3"/>
  </r>
  <r>
    <x v="1"/>
    <n v="29"/>
    <x v="675"/>
    <x v="514"/>
    <x v="2"/>
    <s v="The Lockdown Sessions"/>
    <n v="73"/>
    <x v="387"/>
    <x v="11"/>
    <n v="-6.32"/>
    <x v="1"/>
    <n v="1"/>
    <n v="3.09E-2"/>
    <n v="3.5400000000000001E-2"/>
    <n v="7.25E-5"/>
    <x v="406"/>
    <n v="0.93400000000000005"/>
    <n v="116.032"/>
    <n v="4"/>
    <n v="202735"/>
    <n v="4"/>
    <n v="202735"/>
    <n v="4"/>
    <n v="202735"/>
    <x v="1"/>
    <x v="3"/>
  </r>
  <r>
    <x v="1"/>
    <n v="28"/>
    <x v="676"/>
    <x v="515"/>
    <x v="26"/>
    <s v="Heart of Glass"/>
    <n v="54"/>
    <x v="388"/>
    <x v="409"/>
    <n v="-5.1319999999999997"/>
    <x v="1"/>
    <n v="9"/>
    <n v="0.124"/>
    <n v="0.19400000000000001"/>
    <n v="7.9899999999999997E-6"/>
    <x v="362"/>
    <n v="0.39700000000000002"/>
    <n v="123.89"/>
    <n v="4"/>
    <n v="144245"/>
    <n v="4"/>
    <n v="144245"/>
    <n v="4"/>
    <n v="144245"/>
    <x v="1"/>
    <x v="3"/>
  </r>
  <r>
    <x v="1"/>
    <n v="23"/>
    <x v="677"/>
    <x v="516"/>
    <x v="24"/>
    <s v="Moi... Lolita"/>
    <n v="49"/>
    <x v="389"/>
    <x v="140"/>
    <n v="-6.6950000000000003"/>
    <x v="0"/>
    <n v="4"/>
    <n v="5.0500000000000003E-2"/>
    <n v="5.3100000000000001E-2"/>
    <n v="2.73E-5"/>
    <x v="304"/>
    <n v="0.73499999999999999"/>
    <n v="109.92"/>
    <n v="4"/>
    <n v="158312"/>
    <n v="4"/>
    <n v="158312"/>
    <n v="4"/>
    <n v="158312"/>
    <x v="1"/>
    <x v="3"/>
  </r>
  <r>
    <x v="0"/>
    <n v="23"/>
    <x v="678"/>
    <x v="517"/>
    <x v="11"/>
    <s v="Shine"/>
    <n v="78"/>
    <x v="32"/>
    <x v="46"/>
    <n v="-2.99"/>
    <x v="1"/>
    <n v="0"/>
    <n v="0.32600000000000001"/>
    <n v="0.17100000000000001"/>
    <n v="0"/>
    <x v="407"/>
    <n v="0.51200000000000001"/>
    <n v="117.932"/>
    <n v="4"/>
    <n v="284733"/>
    <n v="4"/>
    <n v="284733"/>
    <n v="4"/>
    <n v="284733"/>
    <x v="1"/>
    <x v="3"/>
  </r>
  <r>
    <x v="1"/>
    <n v="20"/>
    <x v="679"/>
    <x v="518"/>
    <x v="46"/>
    <s v="Long Road"/>
    <n v="52"/>
    <x v="65"/>
    <x v="410"/>
    <n v="-8.1129999999999995"/>
    <x v="0"/>
    <n v="10"/>
    <n v="0.40899999999999997"/>
    <n v="0.13500000000000001"/>
    <n v="0"/>
    <x v="408"/>
    <n v="0.66300000000000003"/>
    <n v="162.03899999999999"/>
    <n v="4"/>
    <n v="204000"/>
    <n v="4"/>
    <n v="204000"/>
    <n v="4"/>
    <n v="204000"/>
    <x v="1"/>
    <x v="3"/>
  </r>
  <r>
    <x v="1"/>
    <n v="20"/>
    <x v="485"/>
    <x v="499"/>
    <x v="7"/>
    <s v="Good Morning"/>
    <n v="50"/>
    <x v="199"/>
    <x v="142"/>
    <n v="-5.101"/>
    <x v="1"/>
    <n v="11"/>
    <n v="4.1300000000000003E-2"/>
    <n v="0.15"/>
    <n v="8.9199999999999993E-6"/>
    <x v="301"/>
    <n v="0.69099999999999995"/>
    <n v="171.90700000000001"/>
    <n v="4"/>
    <n v="161423"/>
    <n v="4"/>
    <n v="161423"/>
    <n v="4"/>
    <n v="161423"/>
    <x v="1"/>
    <x v="3"/>
  </r>
  <r>
    <x v="1"/>
    <n v="20"/>
    <x v="680"/>
    <x v="519"/>
    <x v="35"/>
    <s v="Paint It Black"/>
    <n v="56"/>
    <x v="46"/>
    <x v="3"/>
    <n v="-7.4050000000000002"/>
    <x v="1"/>
    <n v="7"/>
    <n v="3.6299999999999999E-2"/>
    <n v="4.3299999999999998E-2"/>
    <n v="4.2900000000000004E-3"/>
    <x v="409"/>
    <n v="7.7399999999999997E-2"/>
    <n v="125.985"/>
    <n v="4"/>
    <n v="146190"/>
    <n v="4"/>
    <n v="146190"/>
    <n v="4"/>
    <n v="146190"/>
    <x v="1"/>
    <x v="3"/>
  </r>
  <r>
    <x v="2"/>
    <n v="19"/>
    <x v="678"/>
    <x v="517"/>
    <x v="11"/>
    <s v="Shine"/>
    <n v="78"/>
    <x v="32"/>
    <x v="46"/>
    <n v="-2.99"/>
    <x v="1"/>
    <n v="0"/>
    <n v="0.32600000000000001"/>
    <n v="0.17100000000000001"/>
    <n v="0"/>
    <x v="407"/>
    <n v="0.51200000000000001"/>
    <n v="117.932"/>
    <n v="4"/>
    <n v="284733"/>
    <n v="4"/>
    <n v="284733"/>
    <n v="4"/>
    <n v="284733"/>
    <x v="1"/>
    <x v="3"/>
  </r>
  <r>
    <x v="1"/>
    <n v="17"/>
    <x v="681"/>
    <x v="520"/>
    <x v="35"/>
    <s v="Lost on You"/>
    <n v="53"/>
    <x v="268"/>
    <x v="126"/>
    <n v="-4.43"/>
    <x v="0"/>
    <n v="1"/>
    <n v="7.3899999999999993E-2"/>
    <n v="0.124"/>
    <n v="0"/>
    <x v="410"/>
    <n v="0.307"/>
    <n v="121.79600000000001"/>
    <n v="4"/>
    <n v="144349"/>
    <n v="4"/>
    <n v="144349"/>
    <n v="4"/>
    <n v="144349"/>
    <x v="1"/>
    <x v="3"/>
  </r>
  <r>
    <x v="0"/>
    <n v="16"/>
    <x v="682"/>
    <x v="325"/>
    <x v="53"/>
    <s v="The Life Of Pablo"/>
    <n v="70"/>
    <x v="205"/>
    <x v="28"/>
    <n v="-8.7680000000000007"/>
    <x v="0"/>
    <n v="0"/>
    <n v="0.41399999999999998"/>
    <n v="0.62"/>
    <n v="0"/>
    <x v="400"/>
    <n v="0.39100000000000001"/>
    <n v="105.169"/>
    <n v="4"/>
    <n v="320680"/>
    <n v="4"/>
    <n v="320680"/>
    <n v="4"/>
    <n v="320680"/>
    <x v="1"/>
    <x v="3"/>
  </r>
  <r>
    <x v="1"/>
    <n v="15"/>
    <x v="683"/>
    <x v="468"/>
    <x v="29"/>
    <s v="On My Way"/>
    <n v="44"/>
    <x v="390"/>
    <x v="411"/>
    <n v="-7.665"/>
    <x v="1"/>
    <n v="2"/>
    <n v="0.20499999999999999"/>
    <n v="2.1399999999999999E-2"/>
    <n v="0"/>
    <x v="411"/>
    <n v="0.59699999999999998"/>
    <n v="166.01599999999999"/>
    <n v="4"/>
    <n v="158160"/>
    <n v="4"/>
    <n v="158160"/>
    <n v="4"/>
    <n v="158160"/>
    <x v="1"/>
    <x v="3"/>
  </r>
  <r>
    <x v="3"/>
    <n v="15"/>
    <x v="230"/>
    <x v="521"/>
    <x v="21"/>
    <s v="It's You"/>
    <n v="73"/>
    <x v="257"/>
    <x v="286"/>
    <n v="-8.2850000000000001"/>
    <x v="1"/>
    <n v="8"/>
    <n v="3.1699999999999999E-2"/>
    <n v="0.54500000000000004"/>
    <n v="0"/>
    <x v="47"/>
    <n v="0.16600000000000001"/>
    <n v="137.91499999999999"/>
    <n v="3"/>
    <n v="251440"/>
    <n v="3"/>
    <n v="251440"/>
    <n v="3"/>
    <n v="251440"/>
    <x v="1"/>
    <x v="3"/>
  </r>
  <r>
    <x v="1"/>
    <n v="14"/>
    <x v="684"/>
    <x v="522"/>
    <x v="7"/>
    <s v="Why (with WLHELMINA)"/>
    <n v="38"/>
    <x v="346"/>
    <x v="412"/>
    <n v="-4.351"/>
    <x v="0"/>
    <n v="11"/>
    <n v="7.6399999999999996E-2"/>
    <n v="0.13300000000000001"/>
    <n v="3.3300000000000002E-4"/>
    <x v="412"/>
    <n v="0.47799999999999998"/>
    <n v="186.04900000000001"/>
    <n v="3"/>
    <n v="154839"/>
    <n v="3"/>
    <n v="154839"/>
    <n v="3"/>
    <n v="154839"/>
    <x v="1"/>
    <x v="3"/>
  </r>
  <r>
    <x v="1"/>
    <n v="14"/>
    <x v="685"/>
    <x v="523"/>
    <x v="14"/>
    <s v="Glad You Came"/>
    <n v="48"/>
    <x v="199"/>
    <x v="413"/>
    <n v="-4.6340000000000003"/>
    <x v="0"/>
    <n v="6"/>
    <n v="0.115"/>
    <n v="2.7099999999999999E-2"/>
    <n v="8.6600000000000002E-4"/>
    <x v="410"/>
    <n v="0.13600000000000001"/>
    <n v="125.997"/>
    <n v="4"/>
    <n v="190879"/>
    <n v="4"/>
    <n v="190879"/>
    <n v="4"/>
    <n v="190879"/>
    <x v="1"/>
    <x v="3"/>
  </r>
  <r>
    <x v="1"/>
    <n v="12"/>
    <x v="686"/>
    <x v="515"/>
    <x v="26"/>
    <s v="Complicated"/>
    <n v="52"/>
    <x v="125"/>
    <x v="126"/>
    <n v="-4.9969999999999999"/>
    <x v="1"/>
    <n v="5"/>
    <n v="0.109"/>
    <n v="7.3999999999999996E-2"/>
    <n v="0"/>
    <x v="413"/>
    <n v="0.41899999999999998"/>
    <n v="134.08799999999999"/>
    <n v="4"/>
    <n v="152126"/>
    <n v="4"/>
    <n v="152126"/>
    <n v="4"/>
    <n v="152126"/>
    <x v="1"/>
    <x v="3"/>
  </r>
  <r>
    <x v="1"/>
    <n v="12"/>
    <x v="687"/>
    <x v="442"/>
    <x v="23"/>
    <s v="Work from Home"/>
    <n v="54"/>
    <x v="156"/>
    <x v="414"/>
    <n v="-7.8860000000000001"/>
    <x v="1"/>
    <n v="8"/>
    <n v="6.5799999999999997E-2"/>
    <n v="0.18099999999999999"/>
    <n v="3.47E-3"/>
    <x v="84"/>
    <n v="0.86"/>
    <n v="125.014"/>
    <n v="4"/>
    <n v="151680"/>
    <n v="4"/>
    <n v="151680"/>
    <n v="4"/>
    <n v="151680"/>
    <x v="1"/>
    <x v="3"/>
  </r>
  <r>
    <x v="1"/>
    <n v="12"/>
    <x v="688"/>
    <x v="524"/>
    <x v="4"/>
    <s v="Fly"/>
    <n v="53"/>
    <x v="166"/>
    <x v="235"/>
    <n v="-5.98"/>
    <x v="1"/>
    <n v="8"/>
    <n v="0.23899999999999999"/>
    <n v="5.7799999999999997E-2"/>
    <n v="1.3699999999999999E-3"/>
    <x v="210"/>
    <n v="0.38800000000000001"/>
    <n v="140.142"/>
    <n v="4"/>
    <n v="134857"/>
    <n v="4"/>
    <n v="134857"/>
    <n v="4"/>
    <n v="134857"/>
    <x v="1"/>
    <x v="3"/>
  </r>
  <r>
    <x v="0"/>
    <n v="12"/>
    <x v="689"/>
    <x v="429"/>
    <x v="31"/>
    <s v="2014 Forest Hills Drive"/>
    <n v="87"/>
    <x v="46"/>
    <x v="196"/>
    <n v="-8.4920000000000009"/>
    <x v="0"/>
    <n v="10"/>
    <n v="0.33900000000000002"/>
    <n v="0.32400000000000001"/>
    <n v="0"/>
    <x v="348"/>
    <n v="0.49399999999999999"/>
    <n v="100.02800000000001"/>
    <n v="4"/>
    <n v="292799"/>
    <n v="4"/>
    <n v="292799"/>
    <n v="4"/>
    <n v="292799"/>
    <x v="1"/>
    <x v="3"/>
  </r>
  <r>
    <x v="1"/>
    <n v="11"/>
    <x v="690"/>
    <x v="525"/>
    <x v="52"/>
    <s v="credit union"/>
    <n v="32"/>
    <x v="79"/>
    <x v="72"/>
    <n v="-8.9209999999999994"/>
    <x v="0"/>
    <n v="4"/>
    <n v="0.13"/>
    <n v="0.32900000000000001"/>
    <n v="0"/>
    <x v="412"/>
    <n v="0.64900000000000002"/>
    <n v="148.94999999999999"/>
    <n v="4"/>
    <n v="183465"/>
    <n v="4"/>
    <n v="183465"/>
    <n v="4"/>
    <n v="183465"/>
    <x v="1"/>
    <x v="3"/>
  </r>
  <r>
    <x v="1"/>
    <n v="11"/>
    <x v="691"/>
    <x v="526"/>
    <x v="0"/>
    <s v="Free Falling Love"/>
    <n v="58"/>
    <x v="102"/>
    <x v="415"/>
    <n v="-3.7269999999999999"/>
    <x v="0"/>
    <n v="7"/>
    <n v="4.24E-2"/>
    <n v="0.311"/>
    <n v="1.5799999999999999E-4"/>
    <x v="71"/>
    <n v="0.13900000000000001"/>
    <n v="120.012"/>
    <n v="4"/>
    <n v="155000"/>
    <n v="4"/>
    <n v="155000"/>
    <n v="4"/>
    <n v="155000"/>
    <x v="1"/>
    <x v="3"/>
  </r>
  <r>
    <x v="1"/>
    <n v="11"/>
    <x v="692"/>
    <x v="524"/>
    <x v="4"/>
    <s v="Cool for the Summer"/>
    <n v="49"/>
    <x v="362"/>
    <x v="416"/>
    <n v="-5.7160000000000002"/>
    <x v="1"/>
    <n v="6"/>
    <n v="0.28599999999999998"/>
    <n v="0.17699999999999999"/>
    <n v="7.5000000000000002E-6"/>
    <x v="414"/>
    <n v="0.443"/>
    <n v="136.01"/>
    <n v="4"/>
    <n v="171696"/>
    <n v="4"/>
    <n v="171696"/>
    <n v="4"/>
    <n v="171696"/>
    <x v="1"/>
    <x v="3"/>
  </r>
  <r>
    <x v="0"/>
    <n v="10"/>
    <x v="693"/>
    <x v="9"/>
    <x v="8"/>
    <s v="Hot Pink"/>
    <n v="46"/>
    <x v="369"/>
    <x v="417"/>
    <n v="-6.032"/>
    <x v="1"/>
    <n v="2"/>
    <n v="0.19400000000000001"/>
    <n v="0.23699999999999999"/>
    <n v="0"/>
    <x v="136"/>
    <n v="0.371"/>
    <n v="106.05200000000001"/>
    <n v="4"/>
    <n v="163173"/>
    <n v="4"/>
    <n v="163173"/>
    <n v="4"/>
    <n v="163173"/>
    <x v="1"/>
    <x v="3"/>
  </r>
  <r>
    <x v="0"/>
    <n v="10"/>
    <x v="693"/>
    <x v="9"/>
    <x v="8"/>
    <s v="Hot Pink"/>
    <n v="75"/>
    <x v="312"/>
    <x v="418"/>
    <n v="-6.0270000000000001"/>
    <x v="0"/>
    <n v="4"/>
    <n v="0.18"/>
    <n v="0.23899999999999999"/>
    <n v="0"/>
    <x v="415"/>
    <n v="0.40500000000000003"/>
    <n v="106.044"/>
    <n v="4"/>
    <n v="163173"/>
    <n v="4"/>
    <n v="163173"/>
    <n v="4"/>
    <n v="163173"/>
    <x v="1"/>
    <x v="3"/>
  </r>
  <r>
    <x v="0"/>
    <n v="10"/>
    <x v="694"/>
    <x v="356"/>
    <x v="31"/>
    <s v="A Star Is Born Soundtrack"/>
    <n v="56"/>
    <x v="92"/>
    <x v="404"/>
    <n v="-8.36"/>
    <x v="0"/>
    <n v="9"/>
    <n v="5.9299999999999999E-2"/>
    <n v="4.8099999999999997E-2"/>
    <n v="0"/>
    <x v="416"/>
    <n v="0.45600000000000002"/>
    <n v="86.013000000000005"/>
    <n v="4"/>
    <n v="196800"/>
    <n v="4"/>
    <n v="196800"/>
    <n v="4"/>
    <n v="196800"/>
    <x v="1"/>
    <x v="3"/>
  </r>
  <r>
    <x v="1"/>
    <n v="9"/>
    <x v="695"/>
    <x v="519"/>
    <x v="35"/>
    <s v="Let It Go"/>
    <n v="38"/>
    <x v="134"/>
    <x v="82"/>
    <n v="-7.37"/>
    <x v="1"/>
    <n v="8"/>
    <n v="5.6399999999999999E-2"/>
    <n v="2.7900000000000001E-2"/>
    <n v="1.9700000000000002E-6"/>
    <x v="417"/>
    <n v="0.68100000000000005"/>
    <n v="122.039"/>
    <n v="4"/>
    <n v="130286"/>
    <n v="4"/>
    <n v="130286"/>
    <n v="4"/>
    <n v="130286"/>
    <x v="1"/>
    <x v="3"/>
  </r>
  <r>
    <x v="1"/>
    <n v="8"/>
    <x v="696"/>
    <x v="527"/>
    <x v="71"/>
    <s v="Dreamer"/>
    <n v="42"/>
    <x v="116"/>
    <x v="236"/>
    <n v="-5.0730000000000004"/>
    <x v="0"/>
    <n v="9"/>
    <n v="9.9299999999999999E-2"/>
    <n v="8.1100000000000005E-2"/>
    <n v="1.1199999999999999E-5"/>
    <x v="418"/>
    <n v="0.82299999999999995"/>
    <n v="150.05600000000001"/>
    <n v="4"/>
    <n v="178913"/>
    <n v="4"/>
    <n v="178913"/>
    <n v="4"/>
    <n v="178913"/>
    <x v="1"/>
    <x v="3"/>
  </r>
  <r>
    <x v="1"/>
    <n v="8"/>
    <x v="697"/>
    <x v="528"/>
    <x v="38"/>
    <s v="Tainted Love"/>
    <n v="47"/>
    <x v="196"/>
    <x v="229"/>
    <n v="-7.5860000000000003"/>
    <x v="0"/>
    <n v="6"/>
    <n v="4.48E-2"/>
    <n v="4.3700000000000003E-2"/>
    <n v="1.4100000000000001E-4"/>
    <x v="419"/>
    <n v="0.36199999999999999"/>
    <n v="126.024"/>
    <n v="4"/>
    <n v="146667"/>
    <n v="4"/>
    <n v="146667"/>
    <n v="4"/>
    <n v="146667"/>
    <x v="1"/>
    <x v="3"/>
  </r>
  <r>
    <x v="1"/>
    <n v="8"/>
    <x v="698"/>
    <x v="524"/>
    <x v="4"/>
    <s v="Crazy"/>
    <n v="53"/>
    <x v="391"/>
    <x v="419"/>
    <n v="-4.5419999999999998"/>
    <x v="0"/>
    <n v="11"/>
    <n v="0.19800000000000001"/>
    <n v="0.28199999999999997"/>
    <n v="1.6899999999999999E-4"/>
    <x v="420"/>
    <n v="0.49399999999999999"/>
    <n v="123.056"/>
    <n v="4"/>
    <n v="148293"/>
    <n v="4"/>
    <n v="148293"/>
    <n v="4"/>
    <n v="148293"/>
    <x v="1"/>
    <x v="3"/>
  </r>
  <r>
    <x v="0"/>
    <n v="8"/>
    <x v="699"/>
    <x v="529"/>
    <x v="61"/>
    <s v="Say So (Japanese Version)"/>
    <n v="59"/>
    <x v="199"/>
    <x v="181"/>
    <n v="-6.7679999999999998"/>
    <x v="1"/>
    <n v="2"/>
    <n v="4.4400000000000002E-2"/>
    <n v="0.77500000000000002"/>
    <n v="5.2299999999999999E-6"/>
    <x v="48"/>
    <n v="0.70499999999999996"/>
    <n v="111.001"/>
    <n v="4"/>
    <n v="242327"/>
    <n v="4"/>
    <n v="242327"/>
    <n v="4"/>
    <n v="242327"/>
    <x v="1"/>
    <x v="3"/>
  </r>
  <r>
    <x v="1"/>
    <n v="7"/>
    <x v="700"/>
    <x v="530"/>
    <x v="42"/>
    <s v="We Know"/>
    <n v="39"/>
    <x v="392"/>
    <x v="268"/>
    <n v="-6.0220000000000002"/>
    <x v="0"/>
    <n v="4"/>
    <n v="0.25600000000000001"/>
    <n v="0.14199999999999999"/>
    <n v="0"/>
    <x v="83"/>
    <n v="0.71199999999999997"/>
    <n v="112.114"/>
    <n v="4"/>
    <n v="198982"/>
    <n v="4"/>
    <n v="198982"/>
    <n v="4"/>
    <n v="198982"/>
    <x v="1"/>
    <x v="3"/>
  </r>
  <r>
    <x v="1"/>
    <n v="7"/>
    <x v="701"/>
    <x v="511"/>
    <x v="63"/>
    <s v="The Hills"/>
    <n v="48"/>
    <x v="88"/>
    <x v="267"/>
    <n v="-6.8380000000000001"/>
    <x v="1"/>
    <n v="8"/>
    <n v="0.26500000000000001"/>
    <n v="0.4"/>
    <n v="0"/>
    <x v="421"/>
    <n v="0.73599999999999999"/>
    <n v="125.916"/>
    <n v="4"/>
    <n v="129717"/>
    <n v="4"/>
    <n v="129717"/>
    <n v="4"/>
    <n v="129717"/>
    <x v="1"/>
    <x v="3"/>
  </r>
  <r>
    <x v="1"/>
    <n v="7"/>
    <x v="702"/>
    <x v="527"/>
    <x v="71"/>
    <s v="Paid"/>
    <n v="39"/>
    <x v="181"/>
    <x v="24"/>
    <n v="-10.286"/>
    <x v="1"/>
    <n v="8"/>
    <n v="0.23"/>
    <n v="1.8800000000000001E-2"/>
    <n v="2.8299999999999999E-4"/>
    <x v="422"/>
    <n v="0.67500000000000004"/>
    <n v="117.99299999999999"/>
    <n v="4"/>
    <n v="180923"/>
    <n v="4"/>
    <n v="180923"/>
    <n v="4"/>
    <n v="180923"/>
    <x v="1"/>
    <x v="3"/>
  </r>
  <r>
    <x v="3"/>
    <n v="7"/>
    <x v="89"/>
    <x v="85"/>
    <x v="12"/>
    <s v="INDUSTRY BABY (feat. Jack Harlow)"/>
    <n v="86"/>
    <x v="0"/>
    <x v="80"/>
    <n v="-7.4089999999999998"/>
    <x v="0"/>
    <n v="3"/>
    <n v="6.1499999999999999E-2"/>
    <n v="2.0299999999999999E-2"/>
    <n v="0"/>
    <x v="14"/>
    <n v="0.89400000000000002"/>
    <n v="149.995"/>
    <n v="4"/>
    <n v="212000"/>
    <n v="4"/>
    <n v="212000"/>
    <n v="4"/>
    <n v="212000"/>
    <x v="1"/>
    <x v="3"/>
  </r>
  <r>
    <x v="0"/>
    <n v="7"/>
    <x v="703"/>
    <x v="531"/>
    <x v="19"/>
    <s v="Take Shelter"/>
    <n v="62"/>
    <x v="53"/>
    <x v="420"/>
    <n v="-7.0039999999999996"/>
    <x v="1"/>
    <n v="10"/>
    <n v="3.44E-2"/>
    <n v="0.222"/>
    <n v="1.4100000000000001E-6"/>
    <x v="23"/>
    <n v="0.41699999999999998"/>
    <n v="92.057000000000002"/>
    <n v="4"/>
    <n v="233228"/>
    <n v="4"/>
    <n v="233228"/>
    <n v="4"/>
    <n v="233228"/>
    <x v="1"/>
    <x v="3"/>
  </r>
  <r>
    <x v="1"/>
    <n v="6"/>
    <x v="704"/>
    <x v="532"/>
    <x v="39"/>
    <s v="AMG"/>
    <n v="0"/>
    <x v="12"/>
    <x v="77"/>
    <n v="-6.8890000000000002"/>
    <x v="0"/>
    <n v="10"/>
    <n v="0.18099999999999999"/>
    <n v="2.8299999999999999E-2"/>
    <n v="0"/>
    <x v="306"/>
    <n v="5.67E-2"/>
    <n v="87.849000000000004"/>
    <n v="4"/>
    <n v="135000"/>
    <n v="4"/>
    <n v="135000"/>
    <n v="4"/>
    <n v="135000"/>
    <x v="1"/>
    <x v="3"/>
  </r>
  <r>
    <x v="1"/>
    <n v="6"/>
    <x v="705"/>
    <x v="527"/>
    <x v="71"/>
    <s v="K Boy Bye"/>
    <n v="39"/>
    <x v="393"/>
    <x v="419"/>
    <n v="-5.0579999999999998"/>
    <x v="0"/>
    <n v="7"/>
    <n v="4.8300000000000003E-2"/>
    <n v="1.41E-2"/>
    <n v="0"/>
    <x v="423"/>
    <n v="0.63800000000000001"/>
    <n v="159.87"/>
    <n v="4"/>
    <n v="166354"/>
    <n v="4"/>
    <n v="166354"/>
    <n v="4"/>
    <n v="166354"/>
    <x v="1"/>
    <x v="3"/>
  </r>
  <r>
    <x v="1"/>
    <n v="5"/>
    <x v="706"/>
    <x v="533"/>
    <x v="39"/>
    <s v="Say My Name"/>
    <n v="54"/>
    <x v="311"/>
    <x v="25"/>
    <n v="-5.0519999999999996"/>
    <x v="0"/>
    <n v="5"/>
    <n v="3.15E-2"/>
    <n v="7.79E-3"/>
    <n v="2.48E-5"/>
    <x v="10"/>
    <n v="0.65900000000000003"/>
    <n v="125.98099999999999"/>
    <n v="4"/>
    <n v="160026"/>
    <n v="4"/>
    <n v="160026"/>
    <n v="4"/>
    <n v="160026"/>
    <x v="1"/>
    <x v="3"/>
  </r>
  <r>
    <x v="3"/>
    <n v="5"/>
    <x v="707"/>
    <x v="534"/>
    <x v="11"/>
    <s v="Never Been Better (Expanded Edition)"/>
    <n v="70"/>
    <x v="394"/>
    <x v="421"/>
    <n v="-5.3890000000000002"/>
    <x v="1"/>
    <n v="9"/>
    <n v="3.4000000000000002E-2"/>
    <n v="1.46E-2"/>
    <n v="0"/>
    <x v="283"/>
    <n v="0.67600000000000005"/>
    <n v="114.97199999999999"/>
    <n v="4"/>
    <n v="224294"/>
    <n v="4"/>
    <n v="224294"/>
    <n v="4"/>
    <n v="224294"/>
    <x v="1"/>
    <x v="3"/>
  </r>
  <r>
    <x v="0"/>
    <n v="5"/>
    <x v="708"/>
    <x v="471"/>
    <x v="13"/>
    <s v="Opaul"/>
    <n v="63"/>
    <x v="214"/>
    <x v="416"/>
    <n v="-4.0949999999999998"/>
    <x v="1"/>
    <n v="1"/>
    <n v="0.214"/>
    <n v="5.6699999999999997E-3"/>
    <n v="0.39100000000000001"/>
    <x v="36"/>
    <n v="0.64800000000000002"/>
    <n v="145.06200000000001"/>
    <n v="4"/>
    <n v="140527"/>
    <n v="4"/>
    <n v="140527"/>
    <n v="4"/>
    <n v="140527"/>
    <x v="1"/>
    <x v="3"/>
  </r>
  <r>
    <x v="2"/>
    <n v="5"/>
    <x v="709"/>
    <x v="356"/>
    <x v="31"/>
    <s v="The Fame Monster (International Deluxe)"/>
    <n v="44"/>
    <x v="378"/>
    <x v="422"/>
    <n v="-4.6180000000000003"/>
    <x v="1"/>
    <n v="4"/>
    <n v="7.8799999999999995E-2"/>
    <n v="0.12"/>
    <n v="1.39E-6"/>
    <x v="176"/>
    <n v="0.77500000000000002"/>
    <n v="119.002"/>
    <n v="4"/>
    <n v="237200"/>
    <n v="4"/>
    <n v="237200"/>
    <n v="4"/>
    <n v="237200"/>
    <x v="1"/>
    <x v="3"/>
  </r>
  <r>
    <x v="1"/>
    <n v="4"/>
    <x v="710"/>
    <x v="46"/>
    <x v="28"/>
    <s v="She Wolf (Falling to Pieces)"/>
    <n v="0"/>
    <x v="205"/>
    <x v="211"/>
    <n v="-5.0439999999999996"/>
    <x v="1"/>
    <n v="2"/>
    <n v="4.5199999999999997E-2"/>
    <n v="8.5800000000000008E-3"/>
    <n v="0"/>
    <x v="424"/>
    <n v="0.16900000000000001"/>
    <n v="125.03"/>
    <n v="4"/>
    <n v="171028"/>
    <n v="4"/>
    <n v="171028"/>
    <n v="4"/>
    <n v="171028"/>
    <x v="1"/>
    <x v="3"/>
  </r>
  <r>
    <x v="3"/>
    <n v="4"/>
    <x v="684"/>
    <x v="20"/>
    <x v="13"/>
    <s v="COSMIC"/>
    <n v="69"/>
    <x v="166"/>
    <x v="159"/>
    <n v="-6.5839999999999996"/>
    <x v="1"/>
    <n v="8"/>
    <n v="3.7400000000000003E-2"/>
    <n v="0.35299999999999998"/>
    <n v="0"/>
    <x v="283"/>
    <n v="0.54"/>
    <n v="113.01"/>
    <n v="4"/>
    <n v="148260"/>
    <n v="4"/>
    <n v="148260"/>
    <n v="4"/>
    <n v="148260"/>
    <x v="1"/>
    <x v="3"/>
  </r>
  <r>
    <x v="1"/>
    <n v="3"/>
    <x v="711"/>
    <x v="535"/>
    <x v="37"/>
    <s v="Looking for Love"/>
    <n v="0"/>
    <x v="256"/>
    <x v="423"/>
    <n v="-4.6769999999999996"/>
    <x v="1"/>
    <n v="7"/>
    <n v="9.98E-2"/>
    <n v="0.311"/>
    <n v="2.9E-5"/>
    <x v="191"/>
    <n v="0.503"/>
    <n v="120.004"/>
    <n v="4"/>
    <n v="148000"/>
    <n v="4"/>
    <n v="148000"/>
    <n v="4"/>
    <n v="148000"/>
    <x v="1"/>
    <x v="3"/>
  </r>
  <r>
    <x v="1"/>
    <n v="3"/>
    <x v="712"/>
    <x v="536"/>
    <x v="59"/>
    <s v="Beauty And A Beat"/>
    <n v="36"/>
    <x v="53"/>
    <x v="424"/>
    <n v="-3.113"/>
    <x v="0"/>
    <n v="9"/>
    <n v="0.14799999999999999"/>
    <n v="0.124"/>
    <n v="1.26E-5"/>
    <x v="425"/>
    <n v="0.51900000000000002"/>
    <n v="128.054"/>
    <n v="4"/>
    <n v="138750"/>
    <n v="4"/>
    <n v="138750"/>
    <n v="4"/>
    <n v="138750"/>
    <x v="1"/>
    <x v="3"/>
  </r>
  <r>
    <x v="1"/>
    <n v="3"/>
    <x v="713"/>
    <x v="537"/>
    <x v="32"/>
    <s v="Wellerman (Sea Shanty / 220 KID x Billen Ted Remix)"/>
    <n v="77"/>
    <x v="395"/>
    <x v="258"/>
    <n v="-3.2549999999999999"/>
    <x v="0"/>
    <n v="0"/>
    <n v="4.7500000000000001E-2"/>
    <n v="4.41E-2"/>
    <n v="9.3700000000000001E-4"/>
    <x v="426"/>
    <n v="0.439"/>
    <n v="119.932"/>
    <n v="4"/>
    <n v="116750"/>
    <n v="4"/>
    <n v="116750"/>
    <n v="4"/>
    <n v="116750"/>
    <x v="1"/>
    <x v="3"/>
  </r>
  <r>
    <x v="1"/>
    <n v="3"/>
    <x v="70"/>
    <x v="538"/>
    <x v="64"/>
    <s v="Without You"/>
    <n v="49"/>
    <x v="396"/>
    <x v="312"/>
    <n v="-5.8040000000000003"/>
    <x v="1"/>
    <n v="0"/>
    <n v="0.14599999999999999"/>
    <n v="1.0699999999999999E-2"/>
    <n v="0"/>
    <x v="61"/>
    <n v="0.20399999999999999"/>
    <n v="120.119"/>
    <n v="4"/>
    <n v="132625"/>
    <n v="4"/>
    <n v="132625"/>
    <n v="4"/>
    <n v="132625"/>
    <x v="1"/>
    <x v="3"/>
  </r>
  <r>
    <x v="1"/>
    <n v="3"/>
    <x v="714"/>
    <x v="442"/>
    <x v="23"/>
    <s v="The Boss"/>
    <n v="47"/>
    <x v="136"/>
    <x v="389"/>
    <n v="-5.3280000000000003"/>
    <x v="1"/>
    <n v="11"/>
    <n v="0.24299999999999999"/>
    <n v="8.09E-2"/>
    <n v="1.15E-4"/>
    <x v="325"/>
    <n v="0.25800000000000001"/>
    <n v="125.992"/>
    <n v="4"/>
    <n v="133810"/>
    <n v="4"/>
    <n v="133810"/>
    <n v="4"/>
    <n v="133810"/>
    <x v="1"/>
    <x v="3"/>
  </r>
  <r>
    <x v="1"/>
    <n v="3"/>
    <x v="715"/>
    <x v="351"/>
    <x v="52"/>
    <s v="Hey, Soul Sister"/>
    <n v="41"/>
    <x v="397"/>
    <x v="425"/>
    <n v="-7.89"/>
    <x v="1"/>
    <n v="11"/>
    <n v="5.7099999999999998E-2"/>
    <n v="0.192"/>
    <n v="0"/>
    <x v="393"/>
    <n v="0.13400000000000001"/>
    <n v="105.101"/>
    <n v="4"/>
    <n v="196583"/>
    <n v="4"/>
    <n v="196583"/>
    <n v="4"/>
    <n v="196583"/>
    <x v="1"/>
    <x v="3"/>
  </r>
  <r>
    <x v="3"/>
    <n v="3"/>
    <x v="716"/>
    <x v="539"/>
    <x v="34"/>
    <s v="Curtain Call: The Hits (Deluxe Edition)"/>
    <n v="62"/>
    <x v="96"/>
    <x v="401"/>
    <n v="-7.1029999999999998"/>
    <x v="1"/>
    <n v="1"/>
    <n v="7.9600000000000004E-2"/>
    <n v="6.3800000000000003E-3"/>
    <n v="0.112"/>
    <x v="283"/>
    <n v="0.372"/>
    <n v="124.21299999999999"/>
    <n v="4"/>
    <n v="205760"/>
    <n v="4"/>
    <n v="205760"/>
    <n v="4"/>
    <n v="205760"/>
    <x v="1"/>
    <x v="3"/>
  </r>
  <r>
    <x v="2"/>
    <n v="3"/>
    <x v="717"/>
    <x v="540"/>
    <x v="23"/>
    <s v="Monsters, Inc. (Original Motion Picture Soundtrack)"/>
    <n v="55"/>
    <x v="51"/>
    <x v="197"/>
    <n v="-8.3529999999999998"/>
    <x v="1"/>
    <n v="8"/>
    <n v="2.9000000000000001E-2"/>
    <n v="0.74299999999999999"/>
    <n v="0.67600000000000005"/>
    <x v="427"/>
    <n v="0.84699999999999998"/>
    <n v="109.97199999999999"/>
    <n v="4"/>
    <n v="126387"/>
    <n v="4"/>
    <n v="126387"/>
    <n v="4"/>
    <n v="126387"/>
    <x v="1"/>
    <x v="3"/>
  </r>
  <r>
    <x v="1"/>
    <n v="2"/>
    <x v="539"/>
    <x v="519"/>
    <x v="35"/>
    <s v="You Don't Know Me"/>
    <n v="49"/>
    <x v="58"/>
    <x v="234"/>
    <n v="-6.5209999999999999"/>
    <x v="1"/>
    <n v="9"/>
    <n v="0.27500000000000002"/>
    <n v="3.04E-2"/>
    <n v="1.4300000000000001E-4"/>
    <x v="424"/>
    <n v="0.373"/>
    <n v="124.953"/>
    <n v="4"/>
    <n v="157320"/>
    <n v="4"/>
    <n v="157320"/>
    <n v="4"/>
    <n v="157320"/>
    <x v="1"/>
    <x v="3"/>
  </r>
  <r>
    <x v="1"/>
    <n v="2"/>
    <x v="654"/>
    <x v="541"/>
    <x v="29"/>
    <s v="Forever"/>
    <n v="51"/>
    <x v="388"/>
    <x v="426"/>
    <n v="-4.88"/>
    <x v="0"/>
    <n v="4"/>
    <n v="4.2700000000000002E-2"/>
    <n v="2.3300000000000001E-2"/>
    <n v="0"/>
    <x v="243"/>
    <n v="0.33300000000000002"/>
    <n v="124.038"/>
    <n v="4"/>
    <n v="181308"/>
    <n v="4"/>
    <n v="181308"/>
    <n v="4"/>
    <n v="181308"/>
    <x v="1"/>
    <x v="3"/>
  </r>
  <r>
    <x v="1"/>
    <n v="2"/>
    <x v="718"/>
    <x v="46"/>
    <x v="28"/>
    <s v="Rude Boy"/>
    <n v="50"/>
    <x v="398"/>
    <x v="166"/>
    <n v="-6.0620000000000003"/>
    <x v="1"/>
    <n v="6"/>
    <n v="0.25900000000000001"/>
    <n v="2.4199999999999999E-2"/>
    <n v="0"/>
    <x v="94"/>
    <n v="0.47099999999999997"/>
    <n v="101.995"/>
    <n v="4"/>
    <n v="174858"/>
    <n v="4"/>
    <n v="174858"/>
    <n v="4"/>
    <n v="174858"/>
    <x v="1"/>
    <x v="3"/>
  </r>
  <r>
    <x v="1"/>
    <n v="2"/>
    <x v="719"/>
    <x v="18"/>
    <x v="17"/>
    <s v="Shoot For The Stars Aim For The Moon"/>
    <n v="78"/>
    <x v="399"/>
    <x v="401"/>
    <n v="-6.335"/>
    <x v="0"/>
    <n v="10"/>
    <n v="0.36799999999999999"/>
    <n v="0.48699999999999999"/>
    <n v="0"/>
    <x v="197"/>
    <n v="0.26900000000000002"/>
    <n v="179.798"/>
    <n v="4"/>
    <n v="213333"/>
    <n v="4"/>
    <n v="213333"/>
    <n v="4"/>
    <n v="213333"/>
    <x v="1"/>
    <x v="3"/>
  </r>
  <r>
    <x v="1"/>
    <n v="1"/>
    <x v="720"/>
    <x v="542"/>
    <x v="18"/>
    <s v="SNAP"/>
    <n v="89"/>
    <x v="325"/>
    <x v="247"/>
    <n v="-8.2050000000000001"/>
    <x v="1"/>
    <n v="0"/>
    <n v="6.8400000000000002E-2"/>
    <n v="0.107"/>
    <n v="1.06E-5"/>
    <x v="428"/>
    <n v="0.51800000000000002"/>
    <n v="169.98500000000001"/>
    <n v="4"/>
    <n v="179551"/>
    <n v="4"/>
    <n v="179551"/>
    <n v="4"/>
    <n v="179551"/>
    <x v="1"/>
    <x v="3"/>
  </r>
  <r>
    <x v="1"/>
    <n v="1"/>
    <x v="721"/>
    <x v="543"/>
    <x v="35"/>
    <s v="Can't Get You Out of My Head"/>
    <n v="52"/>
    <x v="397"/>
    <x v="189"/>
    <n v="-9.1940000000000008"/>
    <x v="0"/>
    <n v="2"/>
    <n v="9.9199999999999997E-2"/>
    <n v="0.16"/>
    <n v="6.8900000000000001E-6"/>
    <x v="305"/>
    <n v="0.29399999999999998"/>
    <n v="129.886"/>
    <n v="3"/>
    <n v="168000"/>
    <n v="3"/>
    <n v="168000"/>
    <n v="3"/>
    <n v="168000"/>
    <x v="1"/>
    <x v="3"/>
  </r>
  <r>
    <x v="1"/>
    <n v="1"/>
    <x v="200"/>
    <x v="544"/>
    <x v="27"/>
    <s v="As It Was"/>
    <n v="46"/>
    <x v="137"/>
    <x v="427"/>
    <n v="-5.6230000000000002"/>
    <x v="1"/>
    <n v="9"/>
    <n v="4.8099999999999997E-2"/>
    <n v="3.2100000000000002E-3"/>
    <n v="1.3799999999999999E-6"/>
    <x v="429"/>
    <n v="0.48299999999999998"/>
    <n v="104.98"/>
    <n v="4"/>
    <n v="124571"/>
    <n v="4"/>
    <n v="124571"/>
    <n v="4"/>
    <n v="124571"/>
    <x v="1"/>
    <x v="3"/>
  </r>
  <r>
    <x v="1"/>
    <n v="1"/>
    <x v="722"/>
    <x v="545"/>
    <x v="49"/>
    <s v="Over You"/>
    <n v="37"/>
    <x v="25"/>
    <x v="428"/>
    <n v="-7.8639999999999999"/>
    <x v="1"/>
    <n v="0"/>
    <n v="0.34100000000000003"/>
    <n v="0.66700000000000004"/>
    <n v="1.7099999999999999E-5"/>
    <x v="112"/>
    <n v="0.53700000000000003"/>
    <n v="98.947999999999993"/>
    <n v="4"/>
    <n v="126314"/>
    <n v="4"/>
    <n v="126314"/>
    <n v="4"/>
    <n v="126314"/>
    <x v="1"/>
    <x v="3"/>
  </r>
  <r>
    <x v="1"/>
    <n v="1"/>
    <x v="723"/>
    <x v="546"/>
    <x v="77"/>
    <s v="Red Flag"/>
    <n v="31"/>
    <x v="233"/>
    <x v="212"/>
    <n v="-5.8040000000000003"/>
    <x v="0"/>
    <n v="4"/>
    <n v="0.38300000000000001"/>
    <n v="0.32600000000000001"/>
    <n v="2.31E-4"/>
    <x v="430"/>
    <n v="0.34799999999999998"/>
    <n v="126.069"/>
    <n v="4"/>
    <n v="137431"/>
    <n v="4"/>
    <n v="137431"/>
    <n v="4"/>
    <n v="137431"/>
    <x v="1"/>
    <x v="3"/>
  </r>
  <r>
    <x v="3"/>
    <n v="1"/>
    <x v="724"/>
    <x v="547"/>
    <x v="78"/>
    <s v="Fashion Week"/>
    <n v="0"/>
    <x v="269"/>
    <x v="177"/>
    <n v="-3.1819999999999999"/>
    <x v="0"/>
    <n v="1"/>
    <n v="3.2899999999999999E-2"/>
    <n v="4.0099999999999997E-3"/>
    <n v="9.1300000000000006E-2"/>
    <x v="431"/>
    <n v="0.71299999999999997"/>
    <n v="136.96100000000001"/>
    <n v="4"/>
    <n v="155365"/>
    <n v="4"/>
    <n v="155365"/>
    <n v="4"/>
    <n v="155365"/>
    <x v="1"/>
    <x v="3"/>
  </r>
  <r>
    <x v="3"/>
    <n v="1"/>
    <x v="725"/>
    <x v="548"/>
    <x v="79"/>
    <s v="No Guidance, Remake"/>
    <n v="28"/>
    <x v="400"/>
    <x v="380"/>
    <n v="-7.5949999999999998"/>
    <x v="0"/>
    <n v="1"/>
    <n v="0.121"/>
    <n v="0.121"/>
    <n v="0"/>
    <x v="251"/>
    <n v="0.17199999999999999"/>
    <n v="93.022000000000006"/>
    <n v="4"/>
    <n v="216790"/>
    <n v="4"/>
    <n v="216790"/>
    <n v="4"/>
    <n v="216790"/>
    <x v="1"/>
    <x v="3"/>
  </r>
  <r>
    <x v="0"/>
    <n v="1"/>
    <x v="726"/>
    <x v="549"/>
    <x v="2"/>
    <s v="Die Lit"/>
    <n v="79"/>
    <x v="401"/>
    <x v="326"/>
    <n v="-8.4329999999999998"/>
    <x v="0"/>
    <n v="1"/>
    <n v="0.19600000000000001"/>
    <n v="0.188"/>
    <n v="0"/>
    <x v="176"/>
    <n v="0.47"/>
    <n v="153.07499999999999"/>
    <n v="4"/>
    <n v="153800"/>
    <n v="4"/>
    <n v="153800"/>
    <n v="4"/>
    <n v="153800"/>
    <x v="1"/>
    <x v="3"/>
  </r>
  <r>
    <x v="0"/>
    <n v="1"/>
    <x v="727"/>
    <x v="550"/>
    <x v="78"/>
    <s v="Mi Pan Su Su Sum"/>
    <n v="0"/>
    <x v="179"/>
    <x v="429"/>
    <n v="-7.5430000000000001"/>
    <x v="1"/>
    <n v="3"/>
    <n v="0.49299999999999999"/>
    <n v="0.27"/>
    <n v="0"/>
    <x v="247"/>
    <n v="0.68799999999999994"/>
    <n v="101.07299999999999"/>
    <n v="4"/>
    <n v="351467"/>
    <n v="4"/>
    <n v="351467"/>
    <n v="4"/>
    <n v="351467"/>
    <x v="1"/>
    <x v="3"/>
  </r>
  <r>
    <x v="2"/>
    <n v="1"/>
    <x v="728"/>
    <x v="551"/>
    <x v="26"/>
    <s v="Tunnel of Love"/>
    <n v="58"/>
    <x v="402"/>
    <x v="430"/>
    <n v="-12.096"/>
    <x v="0"/>
    <n v="7"/>
    <n v="9.7799999999999998E-2"/>
    <n v="0.30199999999999999"/>
    <n v="0.498"/>
    <x v="432"/>
    <n v="0.61499999999999999"/>
    <n v="160.012"/>
    <n v="4"/>
    <n v="142365"/>
    <n v="4"/>
    <n v="142365"/>
    <n v="4"/>
    <n v="142365"/>
    <x v="1"/>
    <x v="3"/>
  </r>
  <r>
    <x v="2"/>
    <n v="1"/>
    <x v="729"/>
    <x v="552"/>
    <x v="44"/>
    <s v="Preseason EP"/>
    <n v="54"/>
    <x v="349"/>
    <x v="225"/>
    <n v="-7.3929999999999998"/>
    <x v="1"/>
    <n v="5"/>
    <n v="0.224"/>
    <n v="2.9499999999999998E-2"/>
    <n v="0"/>
    <x v="83"/>
    <n v="0.621"/>
    <n v="124.92700000000001"/>
    <n v="4"/>
    <n v="135023"/>
    <n v="4"/>
    <n v="135023"/>
    <n v="4"/>
    <n v="135023"/>
    <x v="1"/>
    <x v="3"/>
  </r>
  <r>
    <x v="2"/>
    <n v="1"/>
    <x v="730"/>
    <x v="553"/>
    <x v="24"/>
    <s v="Change Ya Life"/>
    <n v="58"/>
    <x v="179"/>
    <x v="201"/>
    <n v="-8.673"/>
    <x v="0"/>
    <n v="4"/>
    <n v="3.6900000000000002E-2"/>
    <n v="2.24E-2"/>
    <n v="0"/>
    <x v="433"/>
    <n v="0.36399999999999999"/>
    <n v="98.004000000000005"/>
    <n v="4"/>
    <n v="156770"/>
    <n v="4"/>
    <n v="156770"/>
    <n v="4"/>
    <n v="156770"/>
    <x v="1"/>
    <x v="3"/>
  </r>
  <r>
    <x v="1"/>
    <n v="0"/>
    <x v="731"/>
    <x v="554"/>
    <x v="4"/>
    <s v="Riptide"/>
    <n v="51"/>
    <x v="114"/>
    <x v="431"/>
    <n v="-6.1079999999999997"/>
    <x v="1"/>
    <n v="3"/>
    <n v="0.27800000000000002"/>
    <n v="5.8400000000000001E-2"/>
    <n v="1.11E-6"/>
    <x v="51"/>
    <n v="0.373"/>
    <n v="101.996"/>
    <n v="4"/>
    <n v="172431"/>
    <n v="4"/>
    <n v="172431"/>
    <n v="4"/>
    <n v="172431"/>
    <x v="1"/>
    <x v="3"/>
  </r>
  <r>
    <x v="1"/>
    <n v="0"/>
    <x v="70"/>
    <x v="555"/>
    <x v="26"/>
    <s v="Without You"/>
    <n v="0"/>
    <x v="403"/>
    <x v="432"/>
    <n v="-5.5540000000000003"/>
    <x v="0"/>
    <n v="5"/>
    <n v="6.1899999999999997E-2"/>
    <n v="4.4900000000000002E-2"/>
    <n v="0"/>
    <x v="416"/>
    <n v="0.46100000000000002"/>
    <n v="124.968"/>
    <n v="4"/>
    <n v="182613"/>
    <n v="4"/>
    <n v="182613"/>
    <n v="4"/>
    <n v="182613"/>
    <x v="1"/>
    <x v="3"/>
  </r>
  <r>
    <x v="1"/>
    <n v="0"/>
    <x v="732"/>
    <x v="468"/>
    <x v="29"/>
    <s v="Leap of Faith"/>
    <n v="51"/>
    <x v="404"/>
    <x v="265"/>
    <n v="-4.4290000000000003"/>
    <x v="1"/>
    <n v="0"/>
    <n v="5.4100000000000002E-2"/>
    <n v="9.2399999999999999E-3"/>
    <n v="7.0799999999999997E-4"/>
    <x v="434"/>
    <n v="0.77800000000000002"/>
    <n v="169.893"/>
    <n v="4"/>
    <n v="191080"/>
    <n v="4"/>
    <n v="191080"/>
    <n v="4"/>
    <n v="191080"/>
    <x v="1"/>
    <x v="3"/>
  </r>
  <r>
    <x v="1"/>
    <n v="0"/>
    <x v="733"/>
    <x v="511"/>
    <x v="63"/>
    <s v="Ocean Eyes"/>
    <n v="42"/>
    <x v="249"/>
    <x v="305"/>
    <n v="-7.6769999999999996"/>
    <x v="1"/>
    <n v="6"/>
    <n v="3.4500000000000003E-2"/>
    <n v="0.66800000000000004"/>
    <n v="2.64E-2"/>
    <x v="435"/>
    <n v="0.113"/>
    <n v="125.989"/>
    <n v="4"/>
    <n v="137029"/>
    <n v="4"/>
    <n v="137029"/>
    <n v="4"/>
    <n v="137029"/>
    <x v="1"/>
    <x v="3"/>
  </r>
  <r>
    <x v="1"/>
    <n v="0"/>
    <x v="734"/>
    <x v="556"/>
    <x v="61"/>
    <s v="Warning / Signs"/>
    <n v="46"/>
    <x v="248"/>
    <x v="260"/>
    <n v="-8.1669999999999998"/>
    <x v="0"/>
    <n v="0"/>
    <n v="0.03"/>
    <n v="8.9099999999999999E-2"/>
    <n v="2.7900000000000001E-2"/>
    <x v="359"/>
    <n v="0.54100000000000004"/>
    <n v="121.976"/>
    <n v="4"/>
    <n v="155410"/>
    <n v="4"/>
    <n v="155410"/>
    <n v="4"/>
    <n v="155410"/>
    <x v="1"/>
    <x v="3"/>
  </r>
  <r>
    <x v="1"/>
    <n v="0"/>
    <x v="735"/>
    <x v="557"/>
    <x v="25"/>
    <s v="Would I Lie to You"/>
    <n v="51"/>
    <x v="389"/>
    <x v="165"/>
    <n v="-7.7249999999999996"/>
    <x v="0"/>
    <n v="7"/>
    <n v="6.6900000000000001E-2"/>
    <n v="0.52900000000000003"/>
    <n v="0.23899999999999999"/>
    <x v="74"/>
    <n v="0.498"/>
    <n v="120.06699999999999"/>
    <n v="4"/>
    <n v="174000"/>
    <n v="4"/>
    <n v="174000"/>
    <n v="4"/>
    <n v="174000"/>
    <x v="1"/>
    <x v="3"/>
  </r>
  <r>
    <x v="1"/>
    <n v="0"/>
    <x v="736"/>
    <x v="558"/>
    <x v="25"/>
    <s v="Pieces"/>
    <n v="42"/>
    <x v="275"/>
    <x v="205"/>
    <n v="-6.2510000000000003"/>
    <x v="1"/>
    <n v="6"/>
    <n v="6.2600000000000003E-2"/>
    <n v="0.157"/>
    <n v="3.2500000000000001E-2"/>
    <x v="436"/>
    <n v="0.20300000000000001"/>
    <n v="122.07599999999999"/>
    <n v="4"/>
    <n v="177956"/>
    <n v="4"/>
    <n v="177956"/>
    <n v="4"/>
    <n v="177956"/>
    <x v="1"/>
    <x v="3"/>
  </r>
  <r>
    <x v="1"/>
    <n v="0"/>
    <x v="737"/>
    <x v="559"/>
    <x v="22"/>
    <s v="Ocean Drive"/>
    <n v="51"/>
    <x v="143"/>
    <x v="257"/>
    <n v="-6.8609999999999998"/>
    <x v="0"/>
    <n v="8"/>
    <n v="8.2799999999999999E-2"/>
    <n v="6.6100000000000006E-2"/>
    <n v="4.7099999999999998E-3"/>
    <x v="126"/>
    <n v="0.51"/>
    <n v="120.009"/>
    <n v="4"/>
    <n v="197000"/>
    <n v="4"/>
    <n v="197000"/>
    <n v="4"/>
    <n v="197000"/>
    <x v="1"/>
    <x v="3"/>
  </r>
  <r>
    <x v="1"/>
    <n v="0"/>
    <x v="738"/>
    <x v="560"/>
    <x v="29"/>
    <s v="When You Were Young"/>
    <n v="31"/>
    <x v="27"/>
    <x v="40"/>
    <n v="-4.7530000000000001"/>
    <x v="1"/>
    <n v="11"/>
    <n v="0.19"/>
    <n v="8.2500000000000004E-2"/>
    <n v="0"/>
    <x v="250"/>
    <n v="0.50800000000000001"/>
    <n v="125.998"/>
    <n v="4"/>
    <n v="128095"/>
    <n v="4"/>
    <n v="128095"/>
    <n v="4"/>
    <n v="128095"/>
    <x v="1"/>
    <x v="3"/>
  </r>
  <r>
    <x v="1"/>
    <n v="0"/>
    <x v="739"/>
    <x v="515"/>
    <x v="26"/>
    <s v="Mr. Saxobeat"/>
    <n v="43"/>
    <x v="179"/>
    <x v="433"/>
    <n v="-5.8120000000000003"/>
    <x v="0"/>
    <n v="6"/>
    <n v="0.14399999999999999"/>
    <n v="0.13100000000000001"/>
    <n v="1.41E-3"/>
    <x v="47"/>
    <n v="0.51700000000000002"/>
    <n v="123.901"/>
    <n v="4"/>
    <n v="159927"/>
    <n v="4"/>
    <n v="159927"/>
    <n v="4"/>
    <n v="159927"/>
    <x v="1"/>
    <x v="3"/>
  </r>
  <r>
    <x v="1"/>
    <n v="0"/>
    <x v="740"/>
    <x v="561"/>
    <x v="70"/>
    <s v="Moves Like Jagger"/>
    <n v="46"/>
    <x v="405"/>
    <x v="421"/>
    <n v="-7.2279999999999998"/>
    <x v="0"/>
    <n v="6"/>
    <n v="0.19400000000000001"/>
    <n v="9.0499999999999997E-2"/>
    <n v="2.5999999999999998E-5"/>
    <x v="437"/>
    <n v="0.73299999999999998"/>
    <n v="127.851"/>
    <n v="4"/>
    <n v="199687"/>
    <n v="4"/>
    <n v="199687"/>
    <n v="4"/>
    <n v="199687"/>
    <x v="1"/>
    <x v="3"/>
  </r>
  <r>
    <x v="1"/>
    <n v="0"/>
    <x v="741"/>
    <x v="519"/>
    <x v="35"/>
    <s v="Lies"/>
    <n v="37"/>
    <x v="243"/>
    <x v="242"/>
    <n v="-6.0549999999999997"/>
    <x v="0"/>
    <n v="9"/>
    <n v="3.6499999999999998E-2"/>
    <n v="0.627"/>
    <n v="1.01E-3"/>
    <x v="303"/>
    <n v="0.65800000000000003"/>
    <n v="122.015"/>
    <n v="4"/>
    <n v="156885"/>
    <n v="4"/>
    <n v="156885"/>
    <n v="4"/>
    <n v="156885"/>
    <x v="1"/>
    <x v="3"/>
  </r>
  <r>
    <x v="1"/>
    <n v="0"/>
    <x v="742"/>
    <x v="562"/>
    <x v="51"/>
    <s v="Ready 4 Luv (TMLH Summer Mix)"/>
    <n v="55"/>
    <x v="299"/>
    <x v="434"/>
    <n v="-4.7009999999999996"/>
    <x v="0"/>
    <n v="5"/>
    <n v="0.13800000000000001"/>
    <n v="9.6900000000000007E-3"/>
    <n v="1.3200000000000001E-5"/>
    <x v="438"/>
    <n v="0.41"/>
    <n v="125.09"/>
    <n v="4"/>
    <n v="170040"/>
    <n v="4"/>
    <n v="170040"/>
    <n v="4"/>
    <n v="170040"/>
    <x v="1"/>
    <x v="3"/>
  </r>
  <r>
    <x v="1"/>
    <n v="0"/>
    <x v="743"/>
    <x v="268"/>
    <x v="53"/>
    <s v="Justice"/>
    <n v="86"/>
    <x v="386"/>
    <x v="34"/>
    <n v="-6.181"/>
    <x v="1"/>
    <n v="0"/>
    <n v="0.11899999999999999"/>
    <n v="0.32100000000000001"/>
    <n v="0"/>
    <x v="439"/>
    <n v="0.46400000000000002"/>
    <n v="90.03"/>
    <n v="4"/>
    <n v="198082"/>
    <n v="4"/>
    <n v="198082"/>
    <n v="4"/>
    <n v="198082"/>
    <x v="1"/>
    <x v="3"/>
  </r>
  <r>
    <x v="1"/>
    <n v="0"/>
    <x v="744"/>
    <x v="442"/>
    <x v="23"/>
    <s v="Slow Down"/>
    <n v="0"/>
    <x v="233"/>
    <x v="340"/>
    <n v="-3.9060000000000001"/>
    <x v="1"/>
    <n v="9"/>
    <n v="0.193"/>
    <n v="0.13400000000000001"/>
    <n v="0"/>
    <x v="225"/>
    <n v="0.41"/>
    <n v="128.048"/>
    <n v="4"/>
    <n v="138779"/>
    <n v="4"/>
    <n v="138779"/>
    <n v="4"/>
    <n v="138779"/>
    <x v="1"/>
    <x v="3"/>
  </r>
  <r>
    <x v="1"/>
    <n v="0"/>
    <x v="745"/>
    <x v="563"/>
    <x v="70"/>
    <s v="What If"/>
    <n v="0"/>
    <x v="163"/>
    <x v="435"/>
    <n v="-5.8789999999999996"/>
    <x v="1"/>
    <n v="6"/>
    <n v="3.5299999999999998E-2"/>
    <n v="1.6199999999999999E-3"/>
    <n v="1.28E-6"/>
    <x v="440"/>
    <n v="0.34899999999999998"/>
    <n v="126.001"/>
    <n v="4"/>
    <n v="154286"/>
    <n v="4"/>
    <n v="154286"/>
    <n v="4"/>
    <n v="154286"/>
    <x v="1"/>
    <x v="3"/>
  </r>
  <r>
    <x v="1"/>
    <n v="0"/>
    <x v="746"/>
    <x v="564"/>
    <x v="58"/>
    <s v="Wild &amp; Free"/>
    <n v="39"/>
    <x v="172"/>
    <x v="51"/>
    <n v="-6.2089999999999996"/>
    <x v="1"/>
    <n v="2"/>
    <n v="3.5499999999999997E-2"/>
    <n v="6.0400000000000002E-2"/>
    <n v="0"/>
    <x v="441"/>
    <n v="0.27400000000000002"/>
    <n v="155.941"/>
    <n v="4"/>
    <n v="149231"/>
    <n v="4"/>
    <n v="149231"/>
    <n v="4"/>
    <n v="149231"/>
    <x v="1"/>
    <x v="3"/>
  </r>
  <r>
    <x v="1"/>
    <n v="0"/>
    <x v="747"/>
    <x v="565"/>
    <x v="71"/>
    <s v="Falling Down"/>
    <n v="38"/>
    <x v="406"/>
    <x v="436"/>
    <n v="-9.0510000000000002"/>
    <x v="1"/>
    <n v="5"/>
    <n v="4.3799999999999999E-2"/>
    <n v="3.2000000000000001E-2"/>
    <n v="7.0499999999999993E-2"/>
    <x v="427"/>
    <n v="3.6299999999999999E-2"/>
    <n v="123.005"/>
    <n v="4"/>
    <n v="165854"/>
    <n v="4"/>
    <n v="165854"/>
    <n v="4"/>
    <n v="165854"/>
    <x v="1"/>
    <x v="3"/>
  </r>
  <r>
    <x v="1"/>
    <n v="0"/>
    <x v="748"/>
    <x v="566"/>
    <x v="3"/>
    <s v="ARDIPITHECUS"/>
    <n v="86"/>
    <x v="70"/>
    <x v="67"/>
    <n v="-5.2789999999999999"/>
    <x v="0"/>
    <n v="3"/>
    <n v="2.7799999999999998E-2"/>
    <n v="3.7100000000000001E-2"/>
    <n v="1.9400000000000001E-5"/>
    <x v="442"/>
    <n v="0.67200000000000004"/>
    <n v="101.003"/>
    <n v="4"/>
    <n v="196520"/>
    <n v="4"/>
    <n v="196520"/>
    <n v="4"/>
    <n v="196520"/>
    <x v="1"/>
    <x v="3"/>
  </r>
  <r>
    <x v="1"/>
    <n v="0"/>
    <x v="749"/>
    <x v="567"/>
    <x v="55"/>
    <s v="QUAVO HUNCHO"/>
    <n v="67"/>
    <x v="407"/>
    <x v="105"/>
    <n v="-5.9240000000000004"/>
    <x v="0"/>
    <n v="3"/>
    <n v="0.33100000000000002"/>
    <n v="0.129"/>
    <n v="0"/>
    <x v="357"/>
    <n v="0.496"/>
    <n v="86.048000000000002"/>
    <n v="4"/>
    <n v="156195"/>
    <n v="4"/>
    <n v="156195"/>
    <n v="4"/>
    <n v="156195"/>
    <x v="1"/>
    <x v="3"/>
  </r>
  <r>
    <x v="1"/>
    <n v="0"/>
    <x v="750"/>
    <x v="568"/>
    <x v="27"/>
    <s v="Right Here Waiting"/>
    <n v="0"/>
    <x v="408"/>
    <x v="80"/>
    <n v="-7.3319999999999999"/>
    <x v="1"/>
    <n v="10"/>
    <n v="3.5200000000000002E-2"/>
    <n v="6.4600000000000005E-2"/>
    <n v="0"/>
    <x v="443"/>
    <n v="0.28499999999999998"/>
    <n v="115.05200000000001"/>
    <n v="4"/>
    <n v="180522"/>
    <n v="4"/>
    <n v="180522"/>
    <n v="4"/>
    <n v="180522"/>
    <x v="1"/>
    <x v="3"/>
  </r>
  <r>
    <x v="1"/>
    <n v="0"/>
    <x v="751"/>
    <x v="569"/>
    <x v="33"/>
    <s v="THE SCOTTS"/>
    <n v="76"/>
    <x v="132"/>
    <x v="158"/>
    <n v="-7.6479999999999997"/>
    <x v="0"/>
    <n v="0"/>
    <n v="5.1400000000000001E-2"/>
    <n v="0.23300000000000001"/>
    <n v="0"/>
    <x v="249"/>
    <n v="0.28000000000000003"/>
    <n v="129.97900000000001"/>
    <n v="4"/>
    <n v="165978"/>
    <n v="4"/>
    <n v="165978"/>
    <n v="4"/>
    <n v="165978"/>
    <x v="1"/>
    <x v="3"/>
  </r>
  <r>
    <x v="1"/>
    <n v="0"/>
    <x v="752"/>
    <x v="526"/>
    <x v="0"/>
    <s v="Kiss Me"/>
    <n v="47"/>
    <x v="170"/>
    <x v="410"/>
    <n v="-8.08"/>
    <x v="1"/>
    <n v="8"/>
    <n v="6.2399999999999997E-2"/>
    <n v="0.374"/>
    <n v="1.55E-4"/>
    <x v="444"/>
    <n v="0.122"/>
    <n v="107.938"/>
    <n v="4"/>
    <n v="146669"/>
    <n v="4"/>
    <n v="146669"/>
    <n v="4"/>
    <n v="146669"/>
    <x v="1"/>
    <x v="3"/>
  </r>
  <r>
    <x v="1"/>
    <n v="0"/>
    <x v="753"/>
    <x v="570"/>
    <x v="38"/>
    <s v="One Too Many Times"/>
    <n v="47"/>
    <x v="285"/>
    <x v="267"/>
    <n v="-6.53"/>
    <x v="0"/>
    <n v="8"/>
    <n v="4.5900000000000003E-2"/>
    <n v="2.6199999999999999E-3"/>
    <n v="7.2899999999999997E-5"/>
    <x v="69"/>
    <n v="0.44900000000000001"/>
    <n v="122.023"/>
    <n v="4"/>
    <n v="141636"/>
    <n v="4"/>
    <n v="141636"/>
    <n v="4"/>
    <n v="141636"/>
    <x v="1"/>
    <x v="3"/>
  </r>
  <r>
    <x v="1"/>
    <n v="0"/>
    <x v="754"/>
    <x v="571"/>
    <x v="25"/>
    <s v="Rather Be"/>
    <n v="46"/>
    <x v="103"/>
    <x v="14"/>
    <n v="-3.879"/>
    <x v="0"/>
    <n v="8"/>
    <n v="0.14799999999999999"/>
    <n v="0.29899999999999999"/>
    <n v="0"/>
    <x v="445"/>
    <n v="0.55600000000000005"/>
    <n v="120.97799999999999"/>
    <n v="4"/>
    <n v="163884"/>
    <n v="4"/>
    <n v="163884"/>
    <n v="4"/>
    <n v="163884"/>
    <x v="1"/>
    <x v="3"/>
  </r>
  <r>
    <x v="1"/>
    <n v="0"/>
    <x v="128"/>
    <x v="120"/>
    <x v="19"/>
    <s v="Certified Hitmaker"/>
    <n v="75"/>
    <x v="117"/>
    <x v="29"/>
    <n v="-7.9089999999999998"/>
    <x v="1"/>
    <n v="0"/>
    <n v="3.8300000000000001E-2"/>
    <n v="0.20699999999999999"/>
    <n v="0"/>
    <x v="113"/>
    <n v="0.34899999999999998"/>
    <n v="99.034000000000006"/>
    <n v="4"/>
    <n v="162547"/>
    <n v="4"/>
    <n v="162547"/>
    <n v="4"/>
    <n v="162547"/>
    <x v="1"/>
    <x v="3"/>
  </r>
  <r>
    <x v="1"/>
    <n v="0"/>
    <x v="755"/>
    <x v="572"/>
    <x v="71"/>
    <s v="What's up?"/>
    <n v="43"/>
    <x v="409"/>
    <x v="91"/>
    <n v="-7.06"/>
    <x v="1"/>
    <n v="9"/>
    <n v="3.3000000000000002E-2"/>
    <n v="3.9899999999999999E-4"/>
    <n v="0"/>
    <x v="68"/>
    <n v="0.39400000000000002"/>
    <n v="120.06"/>
    <n v="4"/>
    <n v="186000"/>
    <n v="4"/>
    <n v="186000"/>
    <n v="4"/>
    <n v="186000"/>
    <x v="1"/>
    <x v="3"/>
  </r>
  <r>
    <x v="1"/>
    <n v="0"/>
    <x v="756"/>
    <x v="573"/>
    <x v="42"/>
    <s v="Old Times"/>
    <n v="38"/>
    <x v="375"/>
    <x v="50"/>
    <n v="-5.6310000000000002"/>
    <x v="1"/>
    <n v="1"/>
    <n v="8.5099999999999995E-2"/>
    <n v="1.95E-2"/>
    <n v="0"/>
    <x v="446"/>
    <n v="0.14899999999999999"/>
    <n v="92.992000000000004"/>
    <n v="4"/>
    <n v="184516"/>
    <n v="4"/>
    <n v="184516"/>
    <n v="4"/>
    <n v="184516"/>
    <x v="1"/>
    <x v="3"/>
  </r>
  <r>
    <x v="1"/>
    <n v="0"/>
    <x v="757"/>
    <x v="519"/>
    <x v="35"/>
    <s v="DÃKITI"/>
    <n v="47"/>
    <x v="33"/>
    <x v="437"/>
    <n v="-5.0919999999999996"/>
    <x v="0"/>
    <n v="4"/>
    <n v="0.10100000000000001"/>
    <n v="0.20599999999999999"/>
    <n v="0"/>
    <x v="447"/>
    <n v="0.627"/>
    <n v="121.97499999999999"/>
    <n v="4"/>
    <n v="147367"/>
    <n v="4"/>
    <n v="147367"/>
    <n v="4"/>
    <n v="147367"/>
    <x v="1"/>
    <x v="3"/>
  </r>
  <r>
    <x v="1"/>
    <n v="0"/>
    <x v="758"/>
    <x v="574"/>
    <x v="7"/>
    <s v="When the Sun Goes Down"/>
    <n v="37"/>
    <x v="410"/>
    <x v="438"/>
    <n v="-5.556"/>
    <x v="1"/>
    <n v="5"/>
    <n v="8.6499999999999994E-2"/>
    <n v="6.4600000000000005E-2"/>
    <n v="0"/>
    <x v="448"/>
    <n v="0.39100000000000001"/>
    <n v="123.752"/>
    <n v="4"/>
    <n v="148999"/>
    <n v="4"/>
    <n v="148999"/>
    <n v="4"/>
    <n v="148999"/>
    <x v="1"/>
    <x v="3"/>
  </r>
  <r>
    <x v="1"/>
    <n v="0"/>
    <x v="759"/>
    <x v="495"/>
    <x v="27"/>
    <s v="Demons"/>
    <n v="56"/>
    <x v="24"/>
    <x v="236"/>
    <n v="-5.4729999999999999"/>
    <x v="1"/>
    <n v="8"/>
    <n v="0.217"/>
    <n v="0.317"/>
    <n v="0"/>
    <x v="135"/>
    <n v="0.28999999999999998"/>
    <n v="124.056"/>
    <n v="4"/>
    <n v="129693"/>
    <n v="4"/>
    <n v="129693"/>
    <n v="4"/>
    <n v="129693"/>
    <x v="1"/>
    <x v="3"/>
  </r>
  <r>
    <x v="3"/>
    <n v="0"/>
    <x v="743"/>
    <x v="268"/>
    <x v="53"/>
    <s v="Justice"/>
    <n v="86"/>
    <x v="386"/>
    <x v="34"/>
    <n v="-6.181"/>
    <x v="1"/>
    <n v="0"/>
    <n v="0.11899999999999999"/>
    <n v="0.32100000000000001"/>
    <n v="0"/>
    <x v="439"/>
    <n v="0.46400000000000002"/>
    <n v="90.03"/>
    <n v="4"/>
    <n v="198082"/>
    <n v="4"/>
    <n v="198082"/>
    <n v="4"/>
    <n v="198082"/>
    <x v="1"/>
    <x v="3"/>
  </r>
  <r>
    <x v="3"/>
    <n v="0"/>
    <x v="760"/>
    <x v="575"/>
    <x v="4"/>
    <s v="Know Me Too Well"/>
    <n v="59"/>
    <x v="388"/>
    <x v="312"/>
    <n v="-4.3710000000000004"/>
    <x v="0"/>
    <n v="1"/>
    <n v="3.8800000000000001E-2"/>
    <n v="0.42699999999999999"/>
    <n v="0"/>
    <x v="315"/>
    <n v="0.83399999999999996"/>
    <n v="122.95399999999999"/>
    <n v="4"/>
    <n v="200013"/>
    <n v="4"/>
    <n v="200013"/>
    <n v="4"/>
    <n v="200013"/>
    <x v="1"/>
    <x v="3"/>
  </r>
  <r>
    <x v="3"/>
    <n v="0"/>
    <x v="761"/>
    <x v="576"/>
    <x v="0"/>
    <s v="Replay"/>
    <n v="52"/>
    <x v="400"/>
    <x v="162"/>
    <n v="-4.5510000000000002"/>
    <x v="1"/>
    <n v="6"/>
    <n v="3.6200000000000003E-2"/>
    <n v="0.28999999999999998"/>
    <n v="0"/>
    <x v="144"/>
    <n v="0.66600000000000004"/>
    <n v="121.962"/>
    <n v="4"/>
    <n v="199920"/>
    <n v="4"/>
    <n v="199920"/>
    <n v="4"/>
    <n v="199920"/>
    <x v="1"/>
    <x v="3"/>
  </r>
  <r>
    <x v="3"/>
    <n v="0"/>
    <x v="498"/>
    <x v="125"/>
    <x v="54"/>
    <s v="good 4 u"/>
    <n v="27"/>
    <x v="411"/>
    <x v="439"/>
    <n v="-5.0519999999999996"/>
    <x v="0"/>
    <n v="6"/>
    <n v="0.20399999999999999"/>
    <n v="0.3"/>
    <n v="0"/>
    <x v="36"/>
    <n v="0.66800000000000004"/>
    <n v="168.56"/>
    <n v="4"/>
    <n v="178148"/>
    <n v="4"/>
    <n v="178148"/>
    <n v="4"/>
    <n v="178148"/>
    <x v="1"/>
    <x v="3"/>
  </r>
  <r>
    <x v="3"/>
    <n v="0"/>
    <x v="453"/>
    <x v="576"/>
    <x v="0"/>
    <s v="Replay"/>
    <n v="75"/>
    <x v="103"/>
    <x v="54"/>
    <n v="-6.3230000000000004"/>
    <x v="1"/>
    <n v="9"/>
    <n v="7.0800000000000002E-2"/>
    <n v="0.17299999999999999"/>
    <n v="0"/>
    <x v="359"/>
    <n v="0.19500000000000001"/>
    <n v="91.031000000000006"/>
    <n v="4"/>
    <n v="182307"/>
    <n v="4"/>
    <n v="182307"/>
    <n v="4"/>
    <n v="182307"/>
    <x v="1"/>
    <x v="3"/>
  </r>
  <r>
    <x v="3"/>
    <n v="0"/>
    <x v="762"/>
    <x v="577"/>
    <x v="22"/>
    <s v="Motive X (Promiscuous Mix)"/>
    <n v="4"/>
    <x v="347"/>
    <x v="70"/>
    <n v="-12.555999999999999"/>
    <x v="1"/>
    <n v="0"/>
    <n v="4.7800000000000002E-2"/>
    <n v="5.8399999999999997E-3"/>
    <n v="1.3200000000000001E-5"/>
    <x v="449"/>
    <n v="0.78900000000000003"/>
    <n v="112.005"/>
    <n v="4"/>
    <n v="193190"/>
    <n v="4"/>
    <n v="193190"/>
    <n v="4"/>
    <n v="193190"/>
    <x v="1"/>
    <x v="3"/>
  </r>
  <r>
    <x v="3"/>
    <n v="0"/>
    <x v="763"/>
    <x v="130"/>
    <x v="41"/>
    <s v="Year Of The Gentleman"/>
    <n v="65"/>
    <x v="357"/>
    <x v="9"/>
    <n v="-5.7140000000000004"/>
    <x v="1"/>
    <n v="1"/>
    <n v="0.14499999999999999"/>
    <n v="0.48"/>
    <n v="0"/>
    <x v="180"/>
    <n v="0.72699999999999998"/>
    <n v="171.81200000000001"/>
    <n v="4"/>
    <n v="232000"/>
    <n v="4"/>
    <n v="232000"/>
    <n v="4"/>
    <n v="232000"/>
    <x v="1"/>
    <x v="3"/>
  </r>
  <r>
    <x v="3"/>
    <n v="0"/>
    <x v="9"/>
    <x v="9"/>
    <x v="8"/>
    <s v="Hot Pink"/>
    <n v="80"/>
    <x v="9"/>
    <x v="9"/>
    <n v="-4.5830000000000002"/>
    <x v="0"/>
    <n v="11"/>
    <n v="0.159"/>
    <n v="0.26400000000000001"/>
    <n v="3.3500000000000001E-6"/>
    <x v="9"/>
    <n v="0.77900000000000003"/>
    <n v="110.962"/>
    <n v="4"/>
    <n v="237893"/>
    <n v="4"/>
    <n v="237893"/>
    <n v="4"/>
    <n v="237893"/>
    <x v="1"/>
    <x v="3"/>
  </r>
  <r>
    <x v="3"/>
    <n v="0"/>
    <x v="764"/>
    <x v="578"/>
    <x v="47"/>
    <s v="Nothing but the Beat (Ultimate Edition)"/>
    <n v="72"/>
    <x v="352"/>
    <x v="440"/>
    <n v="-3.0779999999999998"/>
    <x v="1"/>
    <n v="3"/>
    <n v="4.1399999999999999E-2"/>
    <n v="5.5E-2"/>
    <n v="0"/>
    <x v="192"/>
    <n v="0.55200000000000005"/>
    <n v="129.88399999999999"/>
    <n v="4"/>
    <n v="194840"/>
    <n v="4"/>
    <n v="194840"/>
    <n v="4"/>
    <n v="194840"/>
    <x v="1"/>
    <x v="3"/>
  </r>
  <r>
    <x v="3"/>
    <n v="0"/>
    <x v="765"/>
    <x v="579"/>
    <x v="27"/>
    <s v="CECE"/>
    <n v="67"/>
    <x v="412"/>
    <x v="285"/>
    <n v="-2.8340000000000001"/>
    <x v="1"/>
    <n v="10"/>
    <n v="7.4200000000000002E-2"/>
    <n v="0.38500000000000001"/>
    <n v="0"/>
    <x v="450"/>
    <n v="0.38600000000000001"/>
    <n v="107.974"/>
    <n v="4"/>
    <n v="184478"/>
    <n v="4"/>
    <n v="184478"/>
    <n v="4"/>
    <n v="184478"/>
    <x v="1"/>
    <x v="3"/>
  </r>
  <r>
    <x v="3"/>
    <n v="0"/>
    <x v="766"/>
    <x v="580"/>
    <x v="29"/>
    <s v="æ”¾å€‹å¤§æ‹›çµ¦ä½ çœ‹ (OPPO Reno å®£å‚³æ›²)"/>
    <n v="54"/>
    <x v="412"/>
    <x v="441"/>
    <n v="-4.9619999999999997"/>
    <x v="1"/>
    <n v="8"/>
    <n v="9.6699999999999994E-2"/>
    <n v="0.65400000000000003"/>
    <n v="0"/>
    <x v="451"/>
    <n v="0.92100000000000004"/>
    <n v="206.072"/>
    <n v="4"/>
    <n v="178720"/>
    <n v="4"/>
    <n v="178720"/>
    <n v="4"/>
    <n v="178720"/>
    <x v="1"/>
    <x v="3"/>
  </r>
  <r>
    <x v="3"/>
    <n v="0"/>
    <x v="767"/>
    <x v="106"/>
    <x v="17"/>
    <s v="Teenage Dream"/>
    <n v="70"/>
    <x v="139"/>
    <x v="442"/>
    <n v="-4.5819999999999999"/>
    <x v="1"/>
    <n v="10"/>
    <n v="3.61E-2"/>
    <n v="1.6199999999999999E-2"/>
    <n v="2.34E-6"/>
    <x v="67"/>
    <n v="0.59099999999999997"/>
    <n v="120.011"/>
    <n v="4"/>
    <n v="227741"/>
    <n v="4"/>
    <n v="227741"/>
    <n v="4"/>
    <n v="227741"/>
    <x v="1"/>
    <x v="3"/>
  </r>
  <r>
    <x v="0"/>
    <n v="0"/>
    <x v="768"/>
    <x v="581"/>
    <x v="61"/>
    <s v="LMK"/>
    <n v="65"/>
    <x v="256"/>
    <x v="443"/>
    <n v="-7.56"/>
    <x v="1"/>
    <n v="6"/>
    <n v="4.65E-2"/>
    <n v="2.92E-2"/>
    <n v="2.9399999999999999E-4"/>
    <x v="452"/>
    <n v="0.46400000000000002"/>
    <n v="123.035"/>
    <n v="4"/>
    <n v="188293"/>
    <n v="4"/>
    <n v="188293"/>
    <n v="4"/>
    <n v="188293"/>
    <x v="1"/>
    <x v="3"/>
  </r>
  <r>
    <x v="0"/>
    <n v="0"/>
    <x v="769"/>
    <x v="582"/>
    <x v="65"/>
    <s v="Why Is Everything Chrome (Lean Swag Rock Wit It)"/>
    <n v="46"/>
    <x v="2"/>
    <x v="289"/>
    <n v="-11.548"/>
    <x v="1"/>
    <n v="7"/>
    <n v="0.47499999999999998"/>
    <n v="0.112"/>
    <n v="0"/>
    <x v="453"/>
    <n v="0.67500000000000004"/>
    <n v="139.94"/>
    <n v="4"/>
    <n v="151018"/>
    <n v="4"/>
    <n v="151018"/>
    <n v="4"/>
    <n v="151018"/>
    <x v="1"/>
    <x v="3"/>
  </r>
  <r>
    <x v="0"/>
    <n v="0"/>
    <x v="770"/>
    <x v="365"/>
    <x v="8"/>
    <s v="good kid, m.A.A.d city"/>
    <n v="79"/>
    <x v="132"/>
    <x v="444"/>
    <n v="-7.3550000000000004"/>
    <x v="1"/>
    <n v="7"/>
    <n v="0.122"/>
    <n v="7.0300000000000001E-2"/>
    <n v="0"/>
    <x v="48"/>
    <n v="0.34399999999999997"/>
    <n v="71.994"/>
    <n v="4"/>
    <n v="386907"/>
    <n v="4"/>
    <n v="386907"/>
    <n v="4"/>
    <n v="386907"/>
    <x v="1"/>
    <x v="3"/>
  </r>
  <r>
    <x v="0"/>
    <n v="0"/>
    <x v="748"/>
    <x v="566"/>
    <x v="3"/>
    <s v="ARDIPITHECUS"/>
    <n v="86"/>
    <x v="70"/>
    <x v="67"/>
    <n v="-5.2789999999999999"/>
    <x v="0"/>
    <n v="3"/>
    <n v="2.7799999999999998E-2"/>
    <n v="3.7100000000000001E-2"/>
    <n v="1.9400000000000001E-5"/>
    <x v="442"/>
    <n v="0.67200000000000004"/>
    <n v="101.003"/>
    <n v="4"/>
    <n v="196520"/>
    <n v="4"/>
    <n v="196520"/>
    <n v="4"/>
    <n v="196520"/>
    <x v="1"/>
    <x v="3"/>
  </r>
  <r>
    <x v="0"/>
    <n v="0"/>
    <x v="771"/>
    <x v="217"/>
    <x v="36"/>
    <s v="Jason Derulo (Deluxe Audio)"/>
    <n v="59"/>
    <x v="372"/>
    <x v="210"/>
    <n v="-5.5069999999999997"/>
    <x v="1"/>
    <n v="11"/>
    <n v="7.7899999999999997E-2"/>
    <n v="4.4400000000000002E-2"/>
    <n v="0"/>
    <x v="99"/>
    <n v="0.71099999999999997"/>
    <n v="144.036"/>
    <n v="4"/>
    <n v="221253"/>
    <n v="4"/>
    <n v="221253"/>
    <n v="4"/>
    <n v="221253"/>
    <x v="1"/>
    <x v="3"/>
  </r>
  <r>
    <x v="0"/>
    <n v="0"/>
    <x v="772"/>
    <x v="583"/>
    <x v="31"/>
    <s v="Until Death Call My Name (Reloaded)"/>
    <n v="47"/>
    <x v="296"/>
    <x v="138"/>
    <n v="-5.7539999999999996"/>
    <x v="1"/>
    <n v="1"/>
    <n v="0.114"/>
    <n v="8.3799999999999999E-2"/>
    <n v="0"/>
    <x v="454"/>
    <n v="0.18"/>
    <n v="147.893"/>
    <n v="4"/>
    <n v="116757"/>
    <n v="4"/>
    <n v="116757"/>
    <n v="4"/>
    <n v="116757"/>
    <x v="1"/>
    <x v="3"/>
  </r>
  <r>
    <x v="0"/>
    <n v="0"/>
    <x v="773"/>
    <x v="584"/>
    <x v="58"/>
    <s v="All About Cake"/>
    <n v="30"/>
    <x v="185"/>
    <x v="196"/>
    <n v="-4.3179999999999996"/>
    <x v="1"/>
    <n v="1"/>
    <n v="0.443"/>
    <n v="0.21299999999999999"/>
    <n v="3.8699999999999999E-5"/>
    <x v="339"/>
    <n v="0.53300000000000003"/>
    <n v="131.11500000000001"/>
    <n v="4"/>
    <n v="179871"/>
    <n v="4"/>
    <n v="179871"/>
    <n v="4"/>
    <n v="179871"/>
    <x v="1"/>
    <x v="3"/>
  </r>
  <r>
    <x v="0"/>
    <n v="0"/>
    <x v="774"/>
    <x v="585"/>
    <x v="61"/>
    <s v="Raggatronic"/>
    <n v="54"/>
    <x v="213"/>
    <x v="174"/>
    <n v="-5.5519999999999996"/>
    <x v="0"/>
    <n v="10"/>
    <n v="0.16500000000000001"/>
    <n v="8.3300000000000006E-3"/>
    <n v="2.5999999999999999E-3"/>
    <x v="455"/>
    <n v="0.45300000000000001"/>
    <n v="125.995"/>
    <n v="4"/>
    <n v="230657"/>
    <n v="4"/>
    <n v="230657"/>
    <n v="4"/>
    <n v="230657"/>
    <x v="1"/>
    <x v="3"/>
  </r>
  <r>
    <x v="0"/>
    <n v="0"/>
    <x v="775"/>
    <x v="586"/>
    <x v="22"/>
    <s v="Please Mr. Postman"/>
    <n v="64"/>
    <x v="67"/>
    <x v="112"/>
    <n v="-5.2590000000000003"/>
    <x v="1"/>
    <n v="2"/>
    <n v="3.1199999999999999E-2"/>
    <n v="0.72899999999999998"/>
    <n v="0"/>
    <x v="456"/>
    <n v="0.96699999999999997"/>
    <n v="121.505"/>
    <n v="4"/>
    <n v="148040"/>
    <n v="4"/>
    <n v="148040"/>
    <n v="4"/>
    <n v="148040"/>
    <x v="1"/>
    <x v="3"/>
  </r>
  <r>
    <x v="0"/>
    <n v="0"/>
    <x v="776"/>
    <x v="587"/>
    <x v="16"/>
    <s v="Magic In The Hamptons (feat. Lil Yachty)"/>
    <n v="75"/>
    <x v="134"/>
    <x v="147"/>
    <n v="-5.3390000000000004"/>
    <x v="1"/>
    <n v="1"/>
    <n v="3.85E-2"/>
    <n v="0.66"/>
    <n v="0"/>
    <x v="63"/>
    <n v="0.80300000000000005"/>
    <n v="96.051000000000002"/>
    <n v="4"/>
    <n v="164640"/>
    <n v="4"/>
    <n v="164640"/>
    <n v="4"/>
    <n v="164640"/>
    <x v="1"/>
    <x v="3"/>
  </r>
  <r>
    <x v="0"/>
    <n v="0"/>
    <x v="700"/>
    <x v="588"/>
    <x v="5"/>
    <s v="Hamilton (Original Broadway Cast Recording)"/>
    <n v="60"/>
    <x v="29"/>
    <x v="445"/>
    <n v="-10.375999999999999"/>
    <x v="1"/>
    <n v="11"/>
    <n v="0.52300000000000002"/>
    <n v="0.312"/>
    <n v="0"/>
    <x v="27"/>
    <n v="0.69199999999999995"/>
    <n v="113.855"/>
    <n v="4"/>
    <n v="142044"/>
    <n v="4"/>
    <n v="142044"/>
    <n v="4"/>
    <n v="142044"/>
    <x v="1"/>
    <x v="3"/>
  </r>
  <r>
    <x v="0"/>
    <n v="0"/>
    <x v="777"/>
    <x v="589"/>
    <x v="16"/>
    <s v="Heads Will Roll"/>
    <n v="61"/>
    <x v="116"/>
    <x v="446"/>
    <n v="-3.9079999999999999"/>
    <x v="0"/>
    <n v="1"/>
    <n v="8.3799999999999999E-2"/>
    <n v="6.8500000000000002E-3"/>
    <n v="0.33400000000000002"/>
    <x v="4"/>
    <n v="0.77400000000000002"/>
    <n v="131.994"/>
    <n v="4"/>
    <n v="383547"/>
    <n v="4"/>
    <n v="383547"/>
    <n v="4"/>
    <n v="383547"/>
    <x v="1"/>
    <x v="3"/>
  </r>
  <r>
    <x v="0"/>
    <n v="0"/>
    <x v="778"/>
    <x v="590"/>
    <x v="3"/>
    <s v="SweetSexySavage (Deluxe)"/>
    <n v="56"/>
    <x v="413"/>
    <x v="76"/>
    <n v="-8.3360000000000003"/>
    <x v="0"/>
    <n v="10"/>
    <n v="4.3299999999999998E-2"/>
    <n v="0.10199999999999999"/>
    <n v="0"/>
    <x v="244"/>
    <n v="0.13100000000000001"/>
    <n v="121.801"/>
    <n v="4"/>
    <n v="177773"/>
    <n v="4"/>
    <n v="177773"/>
    <n v="4"/>
    <n v="177773"/>
    <x v="1"/>
    <x v="3"/>
  </r>
  <r>
    <x v="0"/>
    <n v="0"/>
    <x v="217"/>
    <x v="55"/>
    <x v="18"/>
    <s v="DROPPED OUTTA COLLEGE"/>
    <n v="72"/>
    <x v="53"/>
    <x v="179"/>
    <n v="-4.8410000000000002"/>
    <x v="0"/>
    <n v="9"/>
    <n v="0.17899999999999999"/>
    <n v="0.19900000000000001"/>
    <n v="0"/>
    <x v="113"/>
    <n v="0.52300000000000002"/>
    <n v="150.964"/>
    <n v="4"/>
    <n v="179133"/>
    <n v="4"/>
    <n v="179133"/>
    <n v="4"/>
    <n v="179133"/>
    <x v="1"/>
    <x v="3"/>
  </r>
  <r>
    <x v="0"/>
    <n v="0"/>
    <x v="779"/>
    <x v="591"/>
    <x v="28"/>
    <s v="Ponteme Despalda"/>
    <n v="6"/>
    <x v="56"/>
    <x v="45"/>
    <n v="-7.72"/>
    <x v="1"/>
    <n v="0"/>
    <n v="7.0000000000000007E-2"/>
    <n v="1.8100000000000002E-2"/>
    <n v="1.72E-3"/>
    <x v="217"/>
    <n v="0.441"/>
    <n v="96.010999999999996"/>
    <n v="4"/>
    <n v="77049"/>
    <n v="4"/>
    <n v="77049"/>
    <n v="4"/>
    <n v="77049"/>
    <x v="1"/>
    <x v="3"/>
  </r>
  <r>
    <x v="0"/>
    <n v="0"/>
    <x v="780"/>
    <x v="146"/>
    <x v="13"/>
    <s v="B4 The Storm"/>
    <n v="77"/>
    <x v="288"/>
    <x v="137"/>
    <n v="-6.1420000000000003"/>
    <x v="0"/>
    <n v="1"/>
    <n v="7.9000000000000001E-2"/>
    <n v="0.25"/>
    <n v="0"/>
    <x v="69"/>
    <n v="0.46200000000000002"/>
    <n v="140.042"/>
    <n v="4"/>
    <n v="195429"/>
    <n v="4"/>
    <n v="195429"/>
    <n v="4"/>
    <n v="195429"/>
    <x v="1"/>
    <x v="3"/>
  </r>
  <r>
    <x v="0"/>
    <n v="0"/>
    <x v="781"/>
    <x v="592"/>
    <x v="15"/>
    <s v="PCD"/>
    <n v="65"/>
    <x v="414"/>
    <x v="352"/>
    <n v="-4.38"/>
    <x v="1"/>
    <n v="2"/>
    <n v="0.26700000000000002"/>
    <n v="0.17799999999999999"/>
    <n v="0"/>
    <x v="106"/>
    <n v="0.40799999999999997"/>
    <n v="210.857"/>
    <n v="4"/>
    <n v="225560"/>
    <n v="4"/>
    <n v="225560"/>
    <n v="4"/>
    <n v="225560"/>
    <x v="1"/>
    <x v="3"/>
  </r>
  <r>
    <x v="2"/>
    <n v="0"/>
    <x v="748"/>
    <x v="566"/>
    <x v="3"/>
    <s v="ARDIPITHECUS"/>
    <n v="86"/>
    <x v="70"/>
    <x v="67"/>
    <n v="-5.2789999999999999"/>
    <x v="0"/>
    <n v="3"/>
    <n v="2.7799999999999998E-2"/>
    <n v="3.7100000000000001E-2"/>
    <n v="1.9400000000000001E-5"/>
    <x v="442"/>
    <n v="0.67200000000000004"/>
    <n v="101.003"/>
    <n v="4"/>
    <n v="196520"/>
    <n v="4"/>
    <n v="196520"/>
    <n v="4"/>
    <n v="196520"/>
    <x v="1"/>
    <x v="3"/>
  </r>
  <r>
    <x v="2"/>
    <n v="0"/>
    <x v="782"/>
    <x v="593"/>
    <x v="39"/>
    <s v="Wii Shop"/>
    <n v="43"/>
    <x v="192"/>
    <x v="42"/>
    <n v="-10.881"/>
    <x v="1"/>
    <n v="0"/>
    <n v="6.9400000000000003E-2"/>
    <n v="1.92E-4"/>
    <n v="0.90400000000000003"/>
    <x v="51"/>
    <n v="0.82899999999999996"/>
    <n v="148.27199999999999"/>
    <n v="4"/>
    <n v="96968"/>
    <n v="4"/>
    <n v="96968"/>
    <n v="4"/>
    <n v="96968"/>
    <x v="1"/>
    <x v="3"/>
  </r>
  <r>
    <x v="2"/>
    <n v="0"/>
    <x v="783"/>
    <x v="594"/>
    <x v="6"/>
    <s v="Hurry Up, We're Dreaming"/>
    <n v="0"/>
    <x v="415"/>
    <x v="46"/>
    <n v="-5.399"/>
    <x v="0"/>
    <n v="11"/>
    <n v="3.9300000000000002E-2"/>
    <n v="1.8200000000000001E-2"/>
    <n v="1.3999999999999999E-6"/>
    <x v="193"/>
    <n v="0.27200000000000002"/>
    <n v="105.01300000000001"/>
    <n v="4"/>
    <n v="243960"/>
    <n v="4"/>
    <n v="243960"/>
    <n v="4"/>
    <n v="243960"/>
    <x v="1"/>
    <x v="3"/>
  </r>
  <r>
    <x v="2"/>
    <n v="0"/>
    <x v="784"/>
    <x v="383"/>
    <x v="9"/>
    <s v="The Family Jewels"/>
    <n v="72"/>
    <x v="74"/>
    <x v="447"/>
    <n v="-3.9710000000000001"/>
    <x v="1"/>
    <n v="0"/>
    <n v="3.9E-2"/>
    <n v="5.3900000000000003E-2"/>
    <n v="0"/>
    <x v="457"/>
    <n v="0.96399999999999997"/>
    <n v="126.999"/>
    <n v="4"/>
    <n v="182587"/>
    <n v="4"/>
    <n v="182587"/>
    <n v="4"/>
    <n v="182587"/>
    <x v="1"/>
    <x v="3"/>
  </r>
  <r>
    <x v="2"/>
    <n v="0"/>
    <x v="785"/>
    <x v="595"/>
    <x v="1"/>
    <s v="The Much Much How How and I"/>
    <n v="0"/>
    <x v="46"/>
    <x v="357"/>
    <n v="-8.109"/>
    <x v="1"/>
    <n v="8"/>
    <n v="0.23100000000000001"/>
    <n v="0.83699999999999997"/>
    <n v="9.48E-5"/>
    <x v="293"/>
    <n v="0.52200000000000002"/>
    <n v="62.619"/>
    <n v="4"/>
    <n v="80407"/>
    <n v="4"/>
    <n v="80407"/>
    <n v="4"/>
    <n v="80407"/>
    <x v="1"/>
    <x v="3"/>
  </r>
  <r>
    <x v="2"/>
    <n v="0"/>
    <x v="786"/>
    <x v="596"/>
    <x v="13"/>
    <s v="SremmLife"/>
    <n v="78"/>
    <x v="199"/>
    <x v="154"/>
    <n v="-4.992"/>
    <x v="0"/>
    <n v="0"/>
    <n v="0.13400000000000001"/>
    <n v="0.29099999999999998"/>
    <n v="0"/>
    <x v="71"/>
    <n v="0.75800000000000001"/>
    <n v="143.072"/>
    <n v="4"/>
    <n v="206307"/>
    <n v="4"/>
    <n v="206307"/>
    <n v="4"/>
    <n v="206307"/>
    <x v="1"/>
    <x v="3"/>
  </r>
  <r>
    <x v="2"/>
    <n v="0"/>
    <x v="787"/>
    <x v="597"/>
    <x v="52"/>
    <s v="Remixes &amp; Covers"/>
    <n v="43"/>
    <x v="376"/>
    <x v="258"/>
    <n v="-4.6829999999999998"/>
    <x v="0"/>
    <n v="4"/>
    <n v="3.7600000000000001E-2"/>
    <n v="3.0300000000000001E-2"/>
    <n v="0"/>
    <x v="286"/>
    <n v="0.35199999999999998"/>
    <n v="141.95699999999999"/>
    <n v="4"/>
    <n v="228706"/>
    <n v="4"/>
    <n v="228706"/>
    <n v="4"/>
    <n v="228706"/>
    <x v="1"/>
    <x v="3"/>
  </r>
  <r>
    <x v="2"/>
    <n v="0"/>
    <x v="788"/>
    <x v="156"/>
    <x v="43"/>
    <s v="Fearless (Big Machine Radio Release Special)"/>
    <n v="72"/>
    <x v="333"/>
    <x v="432"/>
    <n v="-4.4320000000000004"/>
    <x v="1"/>
    <n v="6"/>
    <n v="3.7900000000000003E-2"/>
    <n v="0.17799999999999999"/>
    <n v="1.59E-5"/>
    <x v="69"/>
    <n v="0.435"/>
    <n v="129.96600000000001"/>
    <n v="4"/>
    <n v="232120"/>
    <n v="4"/>
    <n v="232120"/>
    <n v="4"/>
    <n v="232120"/>
    <x v="1"/>
    <x v="3"/>
  </r>
  <r>
    <x v="2"/>
    <n v="0"/>
    <x v="789"/>
    <x v="598"/>
    <x v="78"/>
    <s v="Drip Boy"/>
    <n v="0"/>
    <x v="17"/>
    <x v="338"/>
    <n v="-13.471"/>
    <x v="0"/>
    <n v="1"/>
    <n v="0.35199999999999998"/>
    <n v="0.182"/>
    <n v="0"/>
    <x v="458"/>
    <n v="0.48599999999999999"/>
    <n v="78.08"/>
    <n v="4"/>
    <n v="203533"/>
    <n v="4"/>
    <n v="203533"/>
    <n v="4"/>
    <n v="203533"/>
    <x v="1"/>
    <x v="3"/>
  </r>
  <r>
    <x v="2"/>
    <n v="0"/>
    <x v="790"/>
    <x v="599"/>
    <x v="32"/>
    <s v="Sharp on All 4 Corners: Corner 1"/>
    <n v="0"/>
    <x v="326"/>
    <x v="138"/>
    <n v="-7.26"/>
    <x v="0"/>
    <n v="9"/>
    <n v="0.33800000000000002"/>
    <n v="0.153"/>
    <n v="2.52E-4"/>
    <x v="63"/>
    <n v="0.26500000000000001"/>
    <n v="119.96899999999999"/>
    <n v="4"/>
    <n v="272720"/>
    <n v="4"/>
    <n v="272720"/>
    <n v="4"/>
    <n v="272720"/>
    <x v="1"/>
    <x v="3"/>
  </r>
  <r>
    <x v="2"/>
    <n v="0"/>
    <x v="791"/>
    <x v="600"/>
    <x v="5"/>
    <s v="Sadnecessary"/>
    <n v="16"/>
    <x v="80"/>
    <x v="153"/>
    <n v="-8.8130000000000006"/>
    <x v="1"/>
    <n v="11"/>
    <n v="3.78E-2"/>
    <n v="0.42699999999999999"/>
    <n v="2.04E-4"/>
    <x v="459"/>
    <n v="0.72799999999999998"/>
    <n v="114.01600000000001"/>
    <n v="4"/>
    <n v="313684"/>
    <n v="4"/>
    <n v="313684"/>
    <n v="4"/>
    <n v="313684"/>
    <x v="1"/>
    <x v="3"/>
  </r>
  <r>
    <x v="2"/>
    <n v="0"/>
    <x v="792"/>
    <x v="601"/>
    <x v="64"/>
    <s v="Let Me Hit It"/>
    <n v="46"/>
    <x v="130"/>
    <x v="442"/>
    <n v="-7.04"/>
    <x v="1"/>
    <n v="1"/>
    <n v="0.14599999999999999"/>
    <n v="1.22E-4"/>
    <n v="0.222"/>
    <x v="460"/>
    <n v="0.71299999999999997"/>
    <n v="127.98699999999999"/>
    <n v="4"/>
    <n v="289001"/>
    <n v="4"/>
    <n v="289001"/>
    <n v="4"/>
    <n v="289001"/>
    <x v="1"/>
    <x v="3"/>
  </r>
  <r>
    <x v="2"/>
    <n v="0"/>
    <x v="793"/>
    <x v="602"/>
    <x v="9"/>
    <s v="Cavetown"/>
    <n v="0"/>
    <x v="416"/>
    <x v="387"/>
    <n v="-8.1660000000000004"/>
    <x v="1"/>
    <n v="3"/>
    <n v="5.8599999999999999E-2"/>
    <n v="0.122"/>
    <n v="0"/>
    <x v="293"/>
    <n v="0.49299999999999999"/>
    <n v="99.968999999999994"/>
    <n v="4"/>
    <n v="179955"/>
    <n v="4"/>
    <n v="179955"/>
    <n v="4"/>
    <n v="179955"/>
    <x v="1"/>
    <x v="3"/>
  </r>
  <r>
    <x v="2"/>
    <n v="0"/>
    <x v="794"/>
    <x v="603"/>
    <x v="26"/>
    <s v="Sundown (Original Motion Picture Soundtrack)"/>
    <n v="0"/>
    <x v="219"/>
    <x v="448"/>
    <n v="-4.165"/>
    <x v="0"/>
    <n v="4"/>
    <n v="5.11E-2"/>
    <n v="2.76E-2"/>
    <n v="2.3800000000000001E-4"/>
    <x v="21"/>
    <n v="0.78100000000000003"/>
    <n v="127.004"/>
    <n v="4"/>
    <n v="195105"/>
    <n v="4"/>
    <n v="195105"/>
    <n v="4"/>
    <n v="195105"/>
    <x v="1"/>
    <x v="3"/>
  </r>
  <r>
    <x v="2"/>
    <n v="0"/>
    <x v="795"/>
    <x v="604"/>
    <x v="11"/>
    <s v="Proudly Present... A Guide to Love, Loss &amp; Desperation"/>
    <n v="64"/>
    <x v="216"/>
    <x v="375"/>
    <n v="-5.2949999999999999"/>
    <x v="0"/>
    <n v="1"/>
    <n v="4.8500000000000001E-2"/>
    <n v="3.47E-3"/>
    <n v="0"/>
    <x v="84"/>
    <n v="0.96199999999999997"/>
    <n v="161.48699999999999"/>
    <n v="4"/>
    <n v="161560"/>
    <n v="4"/>
    <n v="161560"/>
    <n v="4"/>
    <n v="161560"/>
    <x v="1"/>
    <x v="3"/>
  </r>
  <r>
    <x v="2"/>
    <n v="0"/>
    <x v="796"/>
    <x v="605"/>
    <x v="78"/>
    <s v="This Is for Rachel"/>
    <n v="0"/>
    <x v="326"/>
    <x v="227"/>
    <n v="-14.452999999999999"/>
    <x v="1"/>
    <n v="8"/>
    <n v="0.51500000000000001"/>
    <n v="0.161"/>
    <n v="1.7799999999999999E-6"/>
    <x v="461"/>
    <n v="0.35"/>
    <n v="96.984999999999999"/>
    <n v="4"/>
    <n v="165698"/>
    <n v="4"/>
    <n v="165698"/>
    <n v="4"/>
    <n v="165698"/>
    <x v="1"/>
    <x v="3"/>
  </r>
  <r>
    <x v="2"/>
    <n v="0"/>
    <x v="797"/>
    <x v="4"/>
    <x v="3"/>
    <s v="Memoirs of an imperfect Angel (International Version)"/>
    <n v="68"/>
    <x v="112"/>
    <x v="250"/>
    <n v="-5.5570000000000004"/>
    <x v="0"/>
    <n v="10"/>
    <n v="6.25E-2"/>
    <n v="4.65E-2"/>
    <n v="0"/>
    <x v="462"/>
    <n v="0.36899999999999999"/>
    <n v="86.442999999999998"/>
    <n v="4"/>
    <n v="242200"/>
    <n v="4"/>
    <n v="242200"/>
    <n v="4"/>
    <n v="242200"/>
    <x v="1"/>
    <x v="3"/>
  </r>
  <r>
    <x v="2"/>
    <n v="0"/>
    <x v="798"/>
    <x v="606"/>
    <x v="16"/>
    <s v="The Stereo Love Show"/>
    <n v="18"/>
    <x v="102"/>
    <x v="373"/>
    <n v="-6.8090000000000002"/>
    <x v="1"/>
    <n v="9"/>
    <n v="3.5900000000000001E-2"/>
    <n v="1.7399999999999999E-2"/>
    <n v="2.9899999999999999E-2"/>
    <x v="463"/>
    <n v="0.29699999999999999"/>
    <n v="127.01900000000001"/>
    <n v="4"/>
    <n v="320637"/>
    <n v="4"/>
    <n v="320637"/>
    <n v="4"/>
    <n v="320637"/>
    <x v="1"/>
    <x v="3"/>
  </r>
  <r>
    <x v="2"/>
    <n v="0"/>
    <x v="799"/>
    <x v="607"/>
    <x v="71"/>
    <s v="Skinny Legend Anthem"/>
    <n v="50"/>
    <x v="156"/>
    <x v="226"/>
    <n v="-7.5679999999999996"/>
    <x v="1"/>
    <n v="11"/>
    <n v="0.29899999999999999"/>
    <n v="7.0300000000000001E-2"/>
    <n v="0"/>
    <x v="176"/>
    <n v="0.443"/>
    <n v="129.95099999999999"/>
    <n v="4"/>
    <n v="135993"/>
    <n v="4"/>
    <n v="135993"/>
    <n v="4"/>
    <n v="135993"/>
    <x v="1"/>
    <x v="3"/>
  </r>
  <r>
    <x v="2"/>
    <n v="0"/>
    <x v="800"/>
    <x v="208"/>
    <x v="64"/>
    <s v="Woahh"/>
    <n v="22"/>
    <x v="240"/>
    <x v="449"/>
    <n v="-12.368"/>
    <x v="0"/>
    <n v="0"/>
    <n v="0.32800000000000001"/>
    <n v="0.61799999999999999"/>
    <n v="3.7299999999999999E-6"/>
    <x v="464"/>
    <n v="0.26900000000000002"/>
    <n v="142.04599999999999"/>
    <n v="4"/>
    <n v="172888"/>
    <n v="4"/>
    <n v="172888"/>
    <n v="4"/>
    <n v="172888"/>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8B8815-B4BF-4B36-9F0B-6C271A917DDA}" name="PivotTable15"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M20:N822" firstHeaderRow="1" firstDataRow="1" firstDataCol="1"/>
  <pivotFields count="26">
    <pivotField showAll="0">
      <items count="5">
        <item x="2"/>
        <item x="0"/>
        <item x="3"/>
        <item x="1"/>
        <item t="default"/>
      </items>
    </pivotField>
    <pivotField dataField="1" showAll="0"/>
    <pivotField axis="axisRow" showAll="0" sortType="descending">
      <items count="802">
        <item x="765"/>
        <item x="286"/>
        <item x="14"/>
        <item x="172"/>
        <item x="476"/>
        <item x="481"/>
        <item x="223"/>
        <item x="367"/>
        <item x="456"/>
        <item x="280"/>
        <item x="122"/>
        <item x="175"/>
        <item x="71"/>
        <item x="81"/>
        <item x="374"/>
        <item x="414"/>
        <item x="766"/>
        <item x="645"/>
        <item x="434"/>
        <item x="502"/>
        <item x="304"/>
        <item x="235"/>
        <item x="491"/>
        <item x="345"/>
        <item x="462"/>
        <item x="248"/>
        <item x="773"/>
        <item x="596"/>
        <item x="278"/>
        <item x="4"/>
        <item x="243"/>
        <item x="464"/>
        <item x="626"/>
        <item x="388"/>
        <item x="42"/>
        <item x="678"/>
        <item x="704"/>
        <item x="309"/>
        <item x="592"/>
        <item x="189"/>
        <item x="390"/>
        <item x="673"/>
        <item x="365"/>
        <item x="200"/>
        <item x="343"/>
        <item x="16"/>
        <item x="264"/>
        <item x="45"/>
        <item x="323"/>
        <item x="503"/>
        <item x="602"/>
        <item x="603"/>
        <item x="497"/>
        <item x="251"/>
        <item x="571"/>
        <item x="207"/>
        <item x="92"/>
        <item x="203"/>
        <item x="180"/>
        <item x="132"/>
        <item x="399"/>
        <item x="1"/>
        <item x="671"/>
        <item x="96"/>
        <item x="346"/>
        <item x="303"/>
        <item x="460"/>
        <item x="712"/>
        <item x="140"/>
        <item x="290"/>
        <item x="478"/>
        <item x="11"/>
        <item x="362"/>
        <item x="606"/>
        <item x="659"/>
        <item x="442"/>
        <item x="83"/>
        <item x="368"/>
        <item x="381"/>
        <item x="440"/>
        <item x="69"/>
        <item x="785"/>
        <item x="91"/>
        <item x="128"/>
        <item x="34"/>
        <item x="403"/>
        <item x="297"/>
        <item x="449"/>
        <item x="149"/>
        <item x="400"/>
        <item x="418"/>
        <item x="413"/>
        <item x="292"/>
        <item x="157"/>
        <item x="703"/>
        <item x="581"/>
        <item x="283"/>
        <item x="261"/>
        <item x="178"/>
        <item x="124"/>
        <item x="43"/>
        <item x="94"/>
        <item x="119"/>
        <item x="781"/>
        <item x="774"/>
        <item x="429"/>
        <item x="255"/>
        <item x="46"/>
        <item x="36"/>
        <item x="721"/>
        <item x="470"/>
        <item x="473"/>
        <item x="182"/>
        <item x="496"/>
        <item x="337"/>
        <item x="252"/>
        <item x="613"/>
        <item x="660"/>
        <item x="528"/>
        <item x="730"/>
        <item x="361"/>
        <item x="312"/>
        <item x="629"/>
        <item x="552"/>
        <item x="432"/>
        <item x="127"/>
        <item x="790"/>
        <item x="597"/>
        <item x="305"/>
        <item x="364"/>
        <item x="585"/>
        <item x="5"/>
        <item x="433"/>
        <item x="675"/>
        <item x="686"/>
        <item x="357"/>
        <item x="692"/>
        <item x="512"/>
        <item x="98"/>
        <item x="534"/>
        <item x="670"/>
        <item x="447"/>
        <item x="505"/>
        <item x="698"/>
        <item x="690"/>
        <item x="628"/>
        <item x="341"/>
        <item x="201"/>
        <item x="221"/>
        <item x="272"/>
        <item x="130"/>
        <item x="288"/>
        <item x="457"/>
        <item x="295"/>
        <item x="306"/>
        <item x="336"/>
        <item x="757"/>
        <item x="393"/>
        <item x="584"/>
        <item x="120"/>
        <item x="181"/>
        <item x="569"/>
        <item x="604"/>
        <item x="33"/>
        <item x="64"/>
        <item x="276"/>
        <item x="624"/>
        <item x="759"/>
        <item x="113"/>
        <item x="674"/>
        <item x="793"/>
        <item x="487"/>
        <item x="404"/>
        <item x="90"/>
        <item x="599"/>
        <item x="617"/>
        <item x="253"/>
        <item x="551"/>
        <item x="219"/>
        <item x="427"/>
        <item x="169"/>
        <item x="279"/>
        <item x="152"/>
        <item x="587"/>
        <item x="63"/>
        <item x="353"/>
        <item x="696"/>
        <item x="789"/>
        <item x="133"/>
        <item x="151"/>
        <item x="455"/>
        <item x="450"/>
        <item x="431"/>
        <item x="328"/>
        <item x="383"/>
        <item x="527"/>
        <item x="66"/>
        <item x="158"/>
        <item x="556"/>
        <item x="300"/>
        <item x="672"/>
        <item x="116"/>
        <item x="270"/>
        <item x="716"/>
        <item x="553"/>
        <item x="67"/>
        <item x="747"/>
        <item x="577"/>
        <item x="173"/>
        <item x="724"/>
        <item x="58"/>
        <item x="425"/>
        <item x="632"/>
        <item x="439"/>
        <item x="635"/>
        <item x="566"/>
        <item x="281"/>
        <item x="209"/>
        <item x="644"/>
        <item x="667"/>
        <item x="749"/>
        <item x="688"/>
        <item x="662"/>
        <item x="204"/>
        <item x="657"/>
        <item x="315"/>
        <item x="654"/>
        <item x="373"/>
        <item x="202"/>
        <item x="106"/>
        <item x="319"/>
        <item x="691"/>
        <item x="314"/>
        <item x="504"/>
        <item x="474"/>
        <item x="326"/>
        <item x="583"/>
        <item x="778"/>
        <item x="588"/>
        <item x="241"/>
        <item x="437"/>
        <item x="114"/>
        <item x="417"/>
        <item x="525"/>
        <item x="267"/>
        <item x="139"/>
        <item x="640"/>
        <item x="285"/>
        <item x="511"/>
        <item x="685"/>
        <item x="137"/>
        <item x="302"/>
        <item x="656"/>
        <item x="412"/>
        <item x="80"/>
        <item x="615"/>
        <item x="196"/>
        <item x="498"/>
        <item x="395"/>
        <item x="559"/>
        <item x="392"/>
        <item x="531"/>
        <item x="485"/>
        <item x="233"/>
        <item x="521"/>
        <item x="262"/>
        <item x="359"/>
        <item x="377"/>
        <item x="382"/>
        <item x="595"/>
        <item x="370"/>
        <item x="565"/>
        <item x="176"/>
        <item x="500"/>
        <item x="147"/>
        <item x="501"/>
        <item x="665"/>
        <item x="777"/>
        <item x="694"/>
        <item x="676"/>
        <item x="273"/>
        <item x="104"/>
        <item x="275"/>
        <item x="486"/>
        <item x="621"/>
        <item x="495"/>
        <item x="590"/>
        <item x="715"/>
        <item x="391"/>
        <item x="334"/>
        <item x="467"/>
        <item x="589"/>
        <item x="168"/>
        <item x="316"/>
        <item x="74"/>
        <item x="663"/>
        <item x="287"/>
        <item x="112"/>
        <item x="161"/>
        <item x="218"/>
        <item x="729"/>
        <item x="229"/>
        <item x="611"/>
        <item x="227"/>
        <item x="562"/>
        <item x="386"/>
        <item x="256"/>
        <item x="516"/>
        <item x="160"/>
        <item x="360"/>
        <item x="327"/>
        <item x="541"/>
        <item x="610"/>
        <item x="570"/>
        <item x="458"/>
        <item x="529"/>
        <item x="384"/>
        <item x="466"/>
        <item x="372"/>
        <item x="580"/>
        <item x="193"/>
        <item x="510"/>
        <item x="489"/>
        <item x="536"/>
        <item x="258"/>
        <item x="430"/>
        <item x="89"/>
        <item x="138"/>
        <item x="28"/>
        <item x="492"/>
        <item x="561"/>
        <item x="244"/>
        <item x="93"/>
        <item x="231"/>
        <item x="52"/>
        <item x="526"/>
        <item x="187"/>
        <item x="409"/>
        <item x="558"/>
        <item x="230"/>
        <item x="330"/>
        <item x="17"/>
        <item x="669"/>
        <item x="75"/>
        <item x="446"/>
        <item x="576"/>
        <item x="547"/>
        <item x="608"/>
        <item x="422"/>
        <item x="394"/>
        <item x="240"/>
        <item x="705"/>
        <item x="475"/>
        <item x="795"/>
        <item x="154"/>
        <item x="752"/>
        <item x="73"/>
        <item x="153"/>
        <item x="760"/>
        <item x="30"/>
        <item x="265"/>
        <item x="634"/>
        <item x="638"/>
        <item x="668"/>
        <item x="87"/>
        <item x="155"/>
        <item x="568"/>
        <item x="277"/>
        <item x="0"/>
        <item x="350"/>
        <item x="509"/>
        <item x="732"/>
        <item x="636"/>
        <item x="101"/>
        <item x="375"/>
        <item x="499"/>
        <item x="165"/>
        <item x="780"/>
        <item x="465"/>
        <item x="436"/>
        <item x="445"/>
        <item x="695"/>
        <item x="452"/>
        <item x="792"/>
        <item x="38"/>
        <item x="143"/>
        <item x="159"/>
        <item x="213"/>
        <item x="311"/>
        <item x="741"/>
        <item x="23"/>
        <item x="416"/>
        <item x="268"/>
        <item x="514"/>
        <item x="488"/>
        <item x="95"/>
        <item x="693"/>
        <item x="543"/>
        <item x="768"/>
        <item x="679"/>
        <item x="711"/>
        <item x="21"/>
        <item x="263"/>
        <item x="681"/>
        <item x="2"/>
        <item x="325"/>
        <item x="651"/>
        <item x="32"/>
        <item x="41"/>
        <item x="212"/>
        <item x="575"/>
        <item x="658"/>
        <item x="344"/>
        <item x="625"/>
        <item x="468"/>
        <item x="37"/>
        <item x="65"/>
        <item x="776"/>
        <item x="100"/>
        <item x="637"/>
        <item x="310"/>
        <item x="435"/>
        <item x="185"/>
        <item x="349"/>
        <item x="145"/>
        <item x="490"/>
        <item x="123"/>
        <item x="247"/>
        <item x="354"/>
        <item x="513"/>
        <item x="572"/>
        <item x="727"/>
        <item x="68"/>
        <item x="239"/>
        <item x="166"/>
        <item x="254"/>
        <item x="783"/>
        <item x="57"/>
        <item x="150"/>
        <item x="763"/>
        <item x="677"/>
        <item x="631"/>
        <item x="31"/>
        <item x="770"/>
        <item x="649"/>
        <item x="717"/>
        <item x="563"/>
        <item x="56"/>
        <item x="719"/>
        <item x="211"/>
        <item x="236"/>
        <item x="313"/>
        <item x="461"/>
        <item x="352"/>
        <item x="762"/>
        <item x="740"/>
        <item x="206"/>
        <item x="317"/>
        <item x="554"/>
        <item x="739"/>
        <item x="794"/>
        <item x="99"/>
        <item x="86"/>
        <item x="519"/>
        <item x="134"/>
        <item x="237"/>
        <item x="136"/>
        <item x="190"/>
        <item x="260"/>
        <item x="20"/>
        <item x="167"/>
        <item x="371"/>
        <item x="454"/>
        <item x="301"/>
        <item x="469"/>
        <item x="389"/>
        <item x="329"/>
        <item x="725"/>
        <item x="35"/>
        <item x="141"/>
        <item x="612"/>
        <item x="689"/>
        <item x="619"/>
        <item x="44"/>
        <item x="797"/>
        <item x="737"/>
        <item x="733"/>
        <item x="508"/>
        <item x="131"/>
        <item x="522"/>
        <item x="784"/>
        <item x="530"/>
        <item x="756"/>
        <item x="164"/>
        <item x="419"/>
        <item x="661"/>
        <item x="655"/>
        <item x="471"/>
        <item x="753"/>
        <item x="129"/>
        <item x="579"/>
        <item x="548"/>
        <item x="708"/>
        <item x="537"/>
        <item x="646"/>
        <item x="12"/>
        <item x="441"/>
        <item x="722"/>
        <item x="702"/>
        <item x="680"/>
        <item x="379"/>
        <item x="307"/>
        <item x="296"/>
        <item x="177"/>
        <item x="271"/>
        <item x="664"/>
        <item x="331"/>
        <item x="15"/>
        <item x="648"/>
        <item x="647"/>
        <item x="743"/>
        <item x="48"/>
        <item x="103"/>
        <item x="518"/>
        <item x="355"/>
        <item x="736"/>
        <item x="423"/>
        <item x="50"/>
        <item x="639"/>
        <item x="199"/>
        <item x="775"/>
        <item x="549"/>
        <item x="398"/>
        <item x="709"/>
        <item x="191"/>
        <item x="438"/>
        <item x="779"/>
        <item x="82"/>
        <item x="335"/>
        <item x="494"/>
        <item x="540"/>
        <item x="234"/>
        <item x="348"/>
        <item x="198"/>
        <item x="546"/>
        <item x="351"/>
        <item x="493"/>
        <item x="110"/>
        <item x="358"/>
        <item x="591"/>
        <item x="772"/>
        <item x="622"/>
        <item x="600"/>
        <item x="483"/>
        <item x="560"/>
        <item x="245"/>
        <item x="385"/>
        <item x="47"/>
        <item x="754"/>
        <item x="557"/>
        <item x="742"/>
        <item x="574"/>
        <item x="443"/>
        <item x="723"/>
        <item x="105"/>
        <item x="53"/>
        <item x="156"/>
        <item x="453"/>
        <item x="88"/>
        <item x="750"/>
        <item x="731"/>
        <item x="520"/>
        <item x="111"/>
        <item x="183"/>
        <item x="405"/>
        <item x="79"/>
        <item x="107"/>
        <item x="225"/>
        <item x="125"/>
        <item x="718"/>
        <item x="188"/>
        <item x="642"/>
        <item x="61"/>
        <item x="542"/>
        <item x="19"/>
        <item x="338"/>
        <item x="3"/>
        <item x="586"/>
        <item x="320"/>
        <item x="605"/>
        <item x="284"/>
        <item x="410"/>
        <item x="538"/>
        <item x="347"/>
        <item x="706"/>
        <item x="9"/>
        <item x="699"/>
        <item x="582"/>
        <item x="7"/>
        <item x="424"/>
        <item x="653"/>
        <item x="238"/>
        <item x="402"/>
        <item x="366"/>
        <item x="408"/>
        <item x="710"/>
        <item x="146"/>
        <item x="726"/>
        <item x="524"/>
        <item x="299"/>
        <item x="484"/>
        <item x="13"/>
        <item x="545"/>
        <item x="342"/>
        <item x="97"/>
        <item x="799"/>
        <item x="174"/>
        <item x="744"/>
        <item x="220"/>
        <item x="318"/>
        <item x="720"/>
        <item x="142"/>
        <item x="761"/>
        <item x="451"/>
        <item x="148"/>
        <item x="614"/>
        <item x="215"/>
        <item x="401"/>
        <item x="630"/>
        <item x="226"/>
        <item x="378"/>
        <item x="62"/>
        <item x="27"/>
        <item x="532"/>
        <item x="324"/>
        <item x="544"/>
        <item x="798"/>
        <item x="108"/>
        <item x="407"/>
        <item x="791"/>
        <item x="444"/>
        <item x="40"/>
        <item x="282"/>
        <item x="163"/>
        <item x="121"/>
        <item x="533"/>
        <item x="666"/>
        <item x="135"/>
        <item x="26"/>
        <item x="232"/>
        <item x="10"/>
        <item x="224"/>
        <item x="24"/>
        <item x="25"/>
        <item x="210"/>
        <item x="259"/>
        <item x="517"/>
        <item x="697"/>
        <item x="397"/>
        <item x="257"/>
        <item x="550"/>
        <item x="162"/>
        <item x="228"/>
        <item x="51"/>
        <item x="767"/>
        <item x="109"/>
        <item x="627"/>
        <item x="479"/>
        <item x="594"/>
        <item x="421"/>
        <item x="214"/>
        <item x="714"/>
        <item x="118"/>
        <item x="192"/>
        <item x="222"/>
        <item x="102"/>
        <item x="701"/>
        <item x="369"/>
        <item x="578"/>
        <item x="406"/>
        <item x="294"/>
        <item x="652"/>
        <item x="751"/>
        <item x="194"/>
        <item x="22"/>
        <item x="197"/>
        <item x="77"/>
        <item x="171"/>
        <item x="321"/>
        <item x="786"/>
        <item x="796"/>
        <item x="170"/>
        <item x="339"/>
        <item x="618"/>
        <item x="60"/>
        <item x="84"/>
        <item x="411"/>
        <item x="593"/>
        <item x="72"/>
        <item x="332"/>
        <item x="55"/>
        <item x="567"/>
        <item x="49"/>
        <item x="249"/>
        <item x="564"/>
        <item x="293"/>
        <item x="641"/>
        <item x="482"/>
        <item x="298"/>
        <item x="633"/>
        <item x="728"/>
        <item x="184"/>
        <item x="85"/>
        <item x="448"/>
        <item x="506"/>
        <item x="682"/>
        <item x="205"/>
        <item x="643"/>
        <item x="507"/>
        <item x="195"/>
        <item x="117"/>
        <item x="707"/>
        <item x="6"/>
        <item x="59"/>
        <item x="217"/>
        <item x="144"/>
        <item x="291"/>
        <item x="216"/>
        <item x="787"/>
        <item x="535"/>
        <item x="748"/>
        <item x="459"/>
        <item x="420"/>
        <item x="250"/>
        <item x="477"/>
        <item x="322"/>
        <item x="463"/>
        <item x="39"/>
        <item x="734"/>
        <item x="78"/>
        <item x="115"/>
        <item x="29"/>
        <item x="269"/>
        <item x="573"/>
        <item x="700"/>
        <item x="472"/>
        <item x="713"/>
        <item x="54"/>
        <item x="126"/>
        <item x="376"/>
        <item x="745"/>
        <item x="208"/>
        <item x="18"/>
        <item x="771"/>
        <item x="515"/>
        <item x="609"/>
        <item x="308"/>
        <item x="755"/>
        <item x="683"/>
        <item x="266"/>
        <item x="758"/>
        <item x="738"/>
        <item x="616"/>
        <item x="764"/>
        <item x="387"/>
        <item x="246"/>
        <item x="356"/>
        <item x="179"/>
        <item x="684"/>
        <item x="769"/>
        <item x="428"/>
        <item x="782"/>
        <item x="746"/>
        <item x="363"/>
        <item x="333"/>
        <item x="70"/>
        <item x="8"/>
        <item x="800"/>
        <item x="76"/>
        <item x="607"/>
        <item x="620"/>
        <item x="687"/>
        <item x="555"/>
        <item x="380"/>
        <item x="735"/>
        <item x="623"/>
        <item x="289"/>
        <item x="340"/>
        <item x="274"/>
        <item x="242"/>
        <item x="650"/>
        <item x="788"/>
        <item x="539"/>
        <item x="480"/>
        <item x="415"/>
        <item x="601"/>
        <item x="426"/>
        <item x="396"/>
        <item x="523"/>
        <item x="186"/>
        <item x="59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items count="5">
        <item x="3"/>
        <item x="2"/>
        <item x="1"/>
        <item x="0"/>
        <item t="default"/>
      </items>
    </pivotField>
  </pivotFields>
  <rowFields count="1">
    <field x="2"/>
  </rowFields>
  <rowItems count="802">
    <i>
      <x v="61"/>
    </i>
    <i>
      <x v="368"/>
    </i>
    <i>
      <x v="586"/>
    </i>
    <i>
      <x v="595"/>
    </i>
    <i>
      <x v="71"/>
    </i>
    <i>
      <x v="505"/>
    </i>
    <i>
      <x v="404"/>
    </i>
    <i>
      <x v="517"/>
    </i>
    <i>
      <x v="29"/>
    </i>
    <i>
      <x v="45"/>
    </i>
    <i>
      <x v="752"/>
    </i>
    <i>
      <x v="131"/>
    </i>
    <i>
      <x v="584"/>
    </i>
    <i>
      <x v="478"/>
    </i>
    <i>
      <x v="722"/>
    </i>
    <i>
      <x v="598"/>
    </i>
    <i>
      <x v="776"/>
    </i>
    <i>
      <x v="390"/>
    </i>
    <i>
      <x v="650"/>
    </i>
    <i>
      <x v="205"/>
    </i>
    <i>
      <x v="527"/>
    </i>
    <i>
      <x v="442"/>
    </i>
    <i>
      <x v="407"/>
    </i>
    <i>
      <x v="163"/>
    </i>
    <i>
      <x v="447"/>
    </i>
    <i>
      <x v="611"/>
    </i>
    <i>
      <x v="2"/>
    </i>
    <i>
      <x v="107"/>
    </i>
    <i>
      <x v="341"/>
    </i>
    <i>
      <x v="702"/>
    </i>
    <i>
      <x v="521"/>
    </i>
    <i>
      <x v="663"/>
    </i>
    <i>
      <x v="469"/>
    </i>
    <i>
      <x v="401"/>
    </i>
    <i>
      <x v="684"/>
    </i>
    <i>
      <x v="652"/>
    </i>
    <i>
      <x v="653"/>
    </i>
    <i>
      <x v="648"/>
    </i>
    <i>
      <x v="82"/>
    </i>
    <i>
      <x v="632"/>
    </i>
    <i>
      <x v="328"/>
    </i>
    <i>
      <x v="741"/>
    </i>
    <i>
      <x v="359"/>
    </i>
    <i>
      <x v="698"/>
    </i>
    <i>
      <x v="356"/>
    </i>
    <i>
      <x v="210"/>
    </i>
    <i>
      <x v="739"/>
    </i>
    <i>
      <x v="778"/>
    </i>
    <i>
      <x v="84"/>
    </i>
    <i>
      <x v="695"/>
    </i>
    <i>
      <x v="415"/>
    </i>
    <i>
      <x v="384"/>
    </i>
    <i>
      <x v="364"/>
    </i>
    <i>
      <x v="108"/>
    </i>
    <i>
      <x v="578"/>
    </i>
    <i>
      <x v="737"/>
    </i>
    <i>
      <x v="641"/>
    </i>
    <i>
      <x v="408"/>
    </i>
    <i>
      <x v="568"/>
    </i>
    <i>
      <x v="173"/>
    </i>
    <i>
      <x v="483"/>
    </i>
    <i>
      <x v="34"/>
    </i>
    <i>
      <x v="100"/>
    </i>
    <i>
      <x v="418"/>
    </i>
    <i>
      <x v="47"/>
    </i>
    <i>
      <x v="557"/>
    </i>
    <i>
      <x v="373"/>
    </i>
    <i>
      <x v="675"/>
    </i>
    <i>
      <x v="547"/>
    </i>
    <i>
      <x v="334"/>
    </i>
    <i>
      <x v="241"/>
    </i>
    <i>
      <x v="565"/>
    </i>
    <i>
      <x v="747"/>
    </i>
    <i>
      <x v="700"/>
    </i>
    <i>
      <x v="672"/>
    </i>
    <i>
      <x v="437"/>
    </i>
    <i>
      <x v="102"/>
    </i>
    <i>
      <x v="723"/>
    </i>
    <i>
      <x v="694"/>
    </i>
    <i>
      <x v="631"/>
    </i>
    <i>
      <x v="582"/>
    </i>
    <i>
      <x v="125"/>
    </i>
    <i>
      <x v="150"/>
    </i>
    <i>
      <x v="99"/>
    </i>
    <i>
      <x v="416"/>
    </i>
    <i>
      <x v="164"/>
    </i>
    <i>
      <x v="184"/>
    </i>
    <i>
      <x v="432"/>
    </i>
    <i>
      <x v="80"/>
    </i>
    <i>
      <x v="59"/>
    </i>
    <i>
      <x v="188"/>
    </i>
    <i>
      <x v="196"/>
    </i>
    <i>
      <x v="775"/>
    </i>
    <i>
      <x v="12"/>
    </i>
    <i>
      <x v="343"/>
    </i>
    <i>
      <x v="294"/>
    </i>
    <i>
      <x v="327"/>
    </i>
    <i>
      <x v="68"/>
    </i>
    <i>
      <x v="274"/>
    </i>
    <i>
      <x v="575"/>
    </i>
    <i>
      <x v="686"/>
    </i>
    <i>
      <x v="254"/>
    </i>
    <i>
      <x v="182"/>
    </i>
    <i>
      <x v="537"/>
    </i>
    <i>
      <x v="712"/>
    </i>
    <i>
      <x v="462"/>
    </i>
    <i>
      <x v="13"/>
    </i>
    <i>
      <x v="76"/>
    </i>
    <i>
      <x v="566"/>
    </i>
    <i>
      <x v="93"/>
    </i>
    <i>
      <x v="281"/>
    </i>
    <i>
      <x v="661"/>
    </i>
    <i>
      <x v="56"/>
    </i>
    <i>
      <x v="326"/>
    </i>
    <i>
      <x v="395"/>
    </i>
    <i>
      <x v="332"/>
    </i>
    <i>
      <x v="63"/>
    </i>
    <i>
      <x v="101"/>
    </i>
    <i>
      <x v="376"/>
    </i>
    <i>
      <x v="470"/>
    </i>
    <i>
      <x v="614"/>
    </i>
    <i>
      <x v="461"/>
    </i>
    <i>
      <x v="138"/>
    </i>
    <i>
      <x v="637"/>
    </i>
    <i>
      <x v="564"/>
    </i>
    <i>
      <x v="576"/>
    </i>
    <i>
      <x v="522"/>
    </i>
    <i>
      <x v="229"/>
    </i>
    <i>
      <x v="665"/>
    </i>
    <i>
      <x v="740"/>
    </i>
    <i>
      <x v="572"/>
    </i>
    <i>
      <x v="297"/>
    </i>
    <i>
      <x v="168"/>
    </i>
    <i>
      <x v="201"/>
    </i>
    <i>
      <x v="160"/>
    </i>
    <i>
      <x v="573"/>
    </i>
    <i>
      <x v="644"/>
    </i>
    <i>
      <x v="720"/>
    </i>
    <i>
      <x v="426"/>
    </i>
    <i>
      <x v="159"/>
    </i>
    <i>
      <x v="10"/>
    </i>
    <i>
      <x v="673"/>
    </i>
    <i>
      <x v="748"/>
    </i>
    <i>
      <x v="499"/>
    </i>
    <i>
      <x v="83"/>
    </i>
    <i>
      <x v="543"/>
    </i>
    <i>
      <x v="88"/>
    </i>
    <i>
      <x v="513"/>
    </i>
    <i>
      <x v="228"/>
    </i>
    <i>
      <x v="647"/>
    </i>
    <i>
      <x v="488"/>
    </i>
    <i>
      <x v="464"/>
    </i>
    <i>
      <x v="466"/>
    </i>
    <i>
      <x v="654"/>
    </i>
    <i>
      <x v="670"/>
    </i>
    <i>
      <x v="727"/>
    </i>
    <i>
      <x v="725"/>
    </i>
    <i>
      <x v="606"/>
    </i>
    <i>
      <x v="621"/>
    </i>
    <i>
      <x v="385"/>
    </i>
    <i>
      <x v="479"/>
    </i>
    <i>
      <x v="424"/>
    </i>
    <i>
      <x v="250"/>
    </i>
    <i>
      <x v="245"/>
    </i>
    <i>
      <x v="624"/>
    </i>
    <i>
      <x v="438"/>
    </i>
    <i>
      <x v="189"/>
    </i>
    <i>
      <x v="301"/>
    </i>
    <i>
      <x v="339"/>
    </i>
    <i>
      <x v="357"/>
    </i>
    <i>
      <x v="354"/>
    </i>
    <i>
      <x v="365"/>
    </i>
    <i>
      <x v="649"/>
    </i>
    <i>
      <x v="197"/>
    </i>
    <i>
      <x v="386"/>
    </i>
    <i>
      <x v="541"/>
    </i>
    <i>
      <x v="308"/>
    </i>
    <i>
      <x v="298"/>
    </i>
    <i>
      <x v="643"/>
    </i>
    <i>
      <x v="493"/>
    </i>
    <i>
      <x v="434"/>
    </i>
    <i>
      <x v="296"/>
    </i>
    <i>
      <x v="789"/>
    </i>
    <i>
      <x v="292"/>
    </i>
    <i>
      <x v="180"/>
    </i>
    <i>
      <x v="691"/>
    </i>
    <i>
      <x v="687"/>
    </i>
    <i>
      <x v="3"/>
    </i>
    <i>
      <x v="208"/>
    </i>
    <i>
      <x v="733"/>
    </i>
    <i>
      <x v="616"/>
    </i>
    <i>
      <x v="11"/>
    </i>
    <i>
      <x v="272"/>
    </i>
    <i>
      <x v="98"/>
    </i>
    <i>
      <x v="176"/>
    </i>
    <i>
      <x v="767"/>
    </i>
    <i>
      <x v="435"/>
    </i>
    <i>
      <x v="106"/>
    </i>
    <i>
      <x v="97"/>
    </i>
    <i>
      <x v="402"/>
    </i>
    <i>
      <x v="58"/>
    </i>
    <i>
      <x v="112"/>
    </i>
    <i>
      <x v="711"/>
    </i>
    <i>
      <x v="422"/>
    </i>
    <i>
      <x v="799"/>
    </i>
    <i>
      <x v="336"/>
    </i>
    <i>
      <x v="580"/>
    </i>
    <i>
      <x v="39"/>
    </i>
    <i>
      <x v="467"/>
    </i>
    <i>
      <x v="534"/>
    </i>
    <i>
      <x v="149"/>
    </i>
    <i>
      <x v="320"/>
    </i>
    <i>
      <x v="683"/>
    </i>
    <i>
      <x v="788"/>
    </i>
    <i>
      <x v="719"/>
    </i>
    <i>
      <x v="588"/>
    </i>
    <i>
      <x v="256"/>
    </i>
    <i>
      <x v="685"/>
    </i>
    <i>
      <x v="529"/>
    </i>
    <i>
      <x v="43"/>
    </i>
    <i>
      <x v="147"/>
    </i>
    <i>
      <x v="57"/>
    </i>
    <i>
      <x v="223"/>
    </i>
    <i>
      <x v="193"/>
    </i>
    <i>
      <x v="716"/>
    </i>
    <i>
      <x v="590"/>
    </i>
    <i>
      <x v="456"/>
    </i>
    <i>
      <x v="55"/>
    </i>
    <i>
      <x v="751"/>
    </i>
    <i>
      <x v="217"/>
    </i>
    <i>
      <x v="449"/>
    </i>
    <i>
      <x v="409"/>
    </i>
    <i>
      <x v="387"/>
    </i>
    <i>
      <x v="626"/>
    </i>
    <i>
      <x v="69"/>
    </i>
    <i>
      <x v="724"/>
    </i>
    <i>
      <x v="299"/>
    </i>
    <i>
      <x v="178"/>
    </i>
    <i>
      <x v="618"/>
    </i>
    <i>
      <x v="148"/>
    </i>
    <i>
      <x v="674"/>
    </i>
    <i>
      <x v="6"/>
    </i>
    <i>
      <x v="651"/>
    </i>
    <i>
      <x v="577"/>
    </i>
    <i>
      <x v="629"/>
    </i>
    <i>
      <x v="303"/>
    </i>
    <i>
      <x v="662"/>
    </i>
    <i>
      <x v="333"/>
    </i>
    <i>
      <x v="263"/>
    </i>
    <i>
      <x v="756"/>
    </i>
    <i>
      <x v="306"/>
    </i>
    <i>
      <x v="21"/>
    </i>
    <i>
      <x v="450"/>
    </i>
    <i>
      <x v="451"/>
    </i>
    <i>
      <x v="465"/>
    </i>
    <i>
      <x v="601"/>
    </i>
    <i>
      <x v="433"/>
    </i>
    <i>
      <x v="350"/>
    </i>
    <i>
      <x v="239"/>
    </i>
    <i>
      <x v="405"/>
    </i>
    <i>
      <x v="30"/>
    </i>
    <i>
      <x v="331"/>
    </i>
    <i>
      <x v="555"/>
    </i>
    <i>
      <x v="765"/>
    </i>
    <i>
      <x v="427"/>
    </i>
    <i>
      <x v="25"/>
    </i>
    <i>
      <x v="703"/>
    </i>
    <i>
      <x v="53"/>
    </i>
    <i>
      <x v="115"/>
    </i>
    <i>
      <x v="340"/>
    </i>
    <i>
      <x v="659"/>
    </i>
    <i>
      <x v="324"/>
    </i>
    <i>
      <x v="655"/>
    </i>
    <i>
      <x v="468"/>
    </i>
    <i>
      <x v="265"/>
    </i>
    <i>
      <x v="538"/>
    </i>
    <i>
      <x v="46"/>
    </i>
    <i>
      <x v="360"/>
    </i>
    <i>
      <x v="759"/>
    </i>
    <i>
      <x v="244"/>
    </i>
    <i>
      <x v="392"/>
    </i>
    <i>
      <x v="742"/>
    </i>
    <i>
      <x v="202"/>
    </i>
    <i>
      <x v="412"/>
    </i>
    <i>
      <x v="514"/>
    </i>
    <i>
      <x v="64"/>
    </i>
    <i>
      <x v="423"/>
    </i>
    <i>
      <x v="280"/>
    </i>
    <i>
      <x v="282"/>
    </i>
    <i>
      <x v="453"/>
    </i>
    <i>
      <x v="165"/>
    </i>
    <i>
      <x v="367"/>
    </i>
    <i>
      <x v="28"/>
    </i>
    <i>
      <x v="181"/>
    </i>
    <i>
      <x v="9"/>
    </i>
    <i>
      <x v="766"/>
    </i>
    <i>
      <x v="216"/>
    </i>
    <i>
      <x v="642"/>
    </i>
    <i>
      <x v="96"/>
    </i>
    <i>
      <x v="677"/>
    </i>
    <i>
      <x v="247"/>
    </i>
    <i>
      <x v="1"/>
    </i>
    <i>
      <x v="151"/>
    </i>
    <i>
      <x v="471"/>
    </i>
    <i>
      <x v="786"/>
    </i>
    <i>
      <x v="726"/>
    </i>
    <i>
      <x v="92"/>
    </i>
    <i>
      <x v="705"/>
    </i>
    <i>
      <x v="680"/>
    </i>
    <i>
      <x v="153"/>
    </i>
    <i>
      <x v="512"/>
    </i>
    <i>
      <x v="86"/>
    </i>
    <i>
      <x v="708"/>
    </i>
    <i>
      <x v="609"/>
    </i>
    <i>
      <x v="199"/>
    </i>
    <i>
      <x v="473"/>
    </i>
    <i>
      <x v="251"/>
    </i>
    <i>
      <x v="65"/>
    </i>
    <i>
      <x v="20"/>
    </i>
    <i>
      <x v="128"/>
    </i>
    <i>
      <x v="154"/>
    </i>
    <i>
      <x v="511"/>
    </i>
    <i>
      <x v="37"/>
    </i>
    <i>
      <x v="420"/>
    </i>
    <i>
      <x v="388"/>
    </i>
    <i>
      <x v="121"/>
    </i>
    <i>
      <x v="232"/>
    </i>
    <i>
      <x v="225"/>
    </i>
    <i>
      <x v="293"/>
    </i>
    <i>
      <x v="457"/>
    </i>
    <i>
      <x v="619"/>
    </i>
    <i>
      <x v="230"/>
    </i>
    <i>
      <x v="688"/>
    </i>
    <i>
      <x v="258"/>
    </i>
    <i>
      <x v="735"/>
    </i>
    <i>
      <x v="634"/>
    </i>
    <i>
      <x v="48"/>
    </i>
    <i>
      <x v="235"/>
    </i>
    <i>
      <x v="593"/>
    </i>
    <i>
      <x v="310"/>
    </i>
    <i>
      <x v="476"/>
    </i>
    <i>
      <x v="699"/>
    </i>
    <i>
      <x v="516"/>
    </i>
    <i>
      <x v="774"/>
    </i>
    <i>
      <x v="289"/>
    </i>
    <i>
      <x v="638"/>
    </i>
    <i>
      <x v="155"/>
    </i>
    <i>
      <x v="114"/>
    </i>
    <i>
      <x v="585"/>
    </i>
    <i>
      <x v="692"/>
    </i>
    <i>
      <x v="787"/>
    </i>
    <i>
      <x v="146"/>
    </i>
    <i>
      <x v="613"/>
    </i>
    <i>
      <x v="44"/>
    </i>
    <i>
      <x v="23"/>
    </i>
    <i>
      <x v="542"/>
    </i>
    <i>
      <x v="369"/>
    </i>
    <i>
      <x v="545"/>
    </i>
    <i>
      <x v="185"/>
    </i>
    <i>
      <x v="428"/>
    </i>
    <i>
      <x v="524"/>
    </i>
    <i>
      <x v="135"/>
    </i>
    <i>
      <x v="548"/>
    </i>
    <i>
      <x v="266"/>
    </i>
    <i>
      <x v="309"/>
    </i>
    <i>
      <x v="120"/>
    </i>
    <i>
      <x v="72"/>
    </i>
    <i>
      <x v="732"/>
    </i>
    <i>
      <x v="773"/>
    </i>
    <i>
      <x v="129"/>
    </i>
    <i>
      <x v="42"/>
    </i>
    <i>
      <x v="603"/>
    </i>
    <i>
      <x v="7"/>
    </i>
    <i>
      <x v="77"/>
    </i>
    <i>
      <x v="270"/>
    </i>
    <i>
      <x v="318"/>
    </i>
    <i>
      <x v="227"/>
    </i>
    <i>
      <x v="14"/>
    </i>
    <i>
      <x v="374"/>
    </i>
    <i>
      <x v="749"/>
    </i>
    <i>
      <x v="267"/>
    </i>
    <i>
      <x v="796"/>
    </i>
    <i>
      <x v="630"/>
    </i>
    <i>
      <x v="510"/>
    </i>
    <i>
      <x v="783"/>
    </i>
    <i>
      <x v="78"/>
    </i>
    <i>
      <x v="268"/>
    </i>
    <i>
      <x v="18"/>
    </i>
    <i>
      <x v="194"/>
    </i>
    <i>
      <x v="316"/>
    </i>
    <i>
      <x v="556"/>
    </i>
    <i>
      <x v="305"/>
    </i>
    <i>
      <x v="764"/>
    </i>
    <i>
      <x v="33"/>
    </i>
    <i>
      <x v="475"/>
    </i>
    <i>
      <x v="40"/>
    </i>
    <i>
      <x v="288"/>
    </i>
    <i>
      <x v="260"/>
    </i>
    <i>
      <x v="157"/>
    </i>
    <i>
      <x v="349"/>
    </i>
    <i>
      <x v="797"/>
    </i>
    <i>
      <x v="658"/>
    </i>
    <i>
      <x v="532"/>
    </i>
    <i>
      <x v="60"/>
    </i>
    <i>
      <x v="89"/>
    </i>
    <i>
      <x v="627"/>
    </i>
    <i>
      <x v="602"/>
    </i>
    <i>
      <x v="85"/>
    </i>
    <i>
      <x v="172"/>
    </i>
    <i>
      <x v="574"/>
    </i>
    <i>
      <x v="679"/>
    </i>
    <i>
      <x v="604"/>
    </i>
    <i>
      <x v="337"/>
    </i>
    <i>
      <x v="591"/>
    </i>
    <i>
      <x v="696"/>
    </i>
    <i>
      <x v="253"/>
    </i>
    <i>
      <x v="91"/>
    </i>
    <i>
      <x v="794"/>
    </i>
    <i>
      <x v="15"/>
    </i>
    <i>
      <x v="391"/>
    </i>
    <i>
      <x v="242"/>
    </i>
    <i>
      <x v="90"/>
    </i>
    <i>
      <x v="494"/>
    </i>
    <i>
      <x v="669"/>
    </i>
    <i>
      <x v="348"/>
    </i>
    <i>
      <x v="526"/>
    </i>
    <i>
      <x v="599"/>
    </i>
    <i>
      <x v="211"/>
    </i>
    <i>
      <x v="190"/>
    </i>
    <i>
      <x v="179"/>
    </i>
    <i>
      <x v="8"/>
    </i>
    <i>
      <x v="770"/>
    </i>
    <i>
      <x v="105"/>
    </i>
    <i>
      <x v="325"/>
    </i>
    <i>
      <x v="192"/>
    </i>
    <i>
      <x v="124"/>
    </i>
    <i>
      <x v="132"/>
    </i>
    <i>
      <x v="421"/>
    </i>
    <i>
      <x v="379"/>
    </i>
    <i>
      <x v="240"/>
    </i>
    <i>
      <x v="191"/>
    </i>
    <i>
      <x v="535"/>
    </i>
    <i>
      <x v="213"/>
    </i>
    <i>
      <x v="79"/>
    </i>
    <i>
      <x v="506"/>
    </i>
    <i>
      <x v="75"/>
    </i>
    <i>
      <x v="562"/>
    </i>
    <i>
      <x v="745"/>
    </i>
    <i>
      <x v="640"/>
    </i>
    <i>
      <x v="380"/>
    </i>
    <i>
      <x v="344"/>
    </i>
    <i>
      <x v="111"/>
    </i>
    <i>
      <x v="713"/>
    </i>
    <i>
      <x v="141"/>
    </i>
    <i>
      <x v="87"/>
    </i>
    <i>
      <x v="70"/>
    </i>
    <i>
      <x v="623"/>
    </i>
    <i>
      <x v="5"/>
    </i>
    <i>
      <x v="382"/>
    </i>
    <i>
      <x v="567"/>
    </i>
    <i>
      <x v="472"/>
    </i>
    <i>
      <x v="152"/>
    </i>
    <i>
      <x v="314"/>
    </i>
    <i>
      <x v="731"/>
    </i>
    <i>
      <x v="66"/>
    </i>
    <i>
      <x v="452"/>
    </i>
    <i>
      <x v="736"/>
    </i>
    <i>
      <x v="24"/>
    </i>
    <i>
      <x v="31"/>
    </i>
    <i>
      <x v="378"/>
    </i>
    <i>
      <x v="317"/>
    </i>
    <i>
      <x v="290"/>
    </i>
    <i>
      <x v="414"/>
    </i>
    <i>
      <x v="474"/>
    </i>
    <i>
      <x v="110"/>
    </i>
    <i>
      <x v="497"/>
    </i>
    <i>
      <x v="234"/>
    </i>
    <i>
      <x v="352"/>
    </i>
    <i>
      <x v="4"/>
    </i>
    <i>
      <x v="734"/>
    </i>
    <i>
      <x v="667"/>
    </i>
    <i>
      <x v="793"/>
    </i>
    <i>
      <x v="707"/>
    </i>
    <i>
      <x v="553"/>
    </i>
    <i>
      <x v="610"/>
    </i>
    <i>
      <x v="262"/>
    </i>
    <i>
      <x v="283"/>
    </i>
    <i>
      <x v="171"/>
    </i>
    <i>
      <x v="322"/>
    </i>
    <i>
      <x v="394"/>
    </i>
    <i>
      <x v="425"/>
    </i>
    <i>
      <x v="329"/>
    </i>
    <i>
      <x v="22"/>
    </i>
    <i>
      <x v="546"/>
    </i>
    <i>
      <x v="539"/>
    </i>
    <i>
      <x v="285"/>
    </i>
    <i>
      <x v="608"/>
    </i>
    <i>
      <x v="113"/>
    </i>
    <i>
      <x v="52"/>
    </i>
    <i>
      <x v="257"/>
    </i>
    <i>
      <x v="118"/>
    </i>
    <i>
      <x v="375"/>
    </i>
    <i>
      <x v="273"/>
    </i>
    <i>
      <x v="275"/>
    </i>
    <i>
      <x v="19"/>
    </i>
    <i>
      <x v="49"/>
    </i>
    <i>
      <x v="233"/>
    </i>
    <i>
      <x v="142"/>
    </i>
    <i>
      <x v="633"/>
    </i>
    <i>
      <x v="714"/>
    </i>
    <i>
      <x v="718"/>
    </i>
    <i>
      <x v="487"/>
    </i>
    <i>
      <x v="503"/>
    </i>
    <i>
      <x v="370"/>
    </i>
    <i>
      <x v="321"/>
    </i>
    <i>
      <x v="248"/>
    </i>
    <i>
      <x v="137"/>
    </i>
    <i>
      <x v="429"/>
    </i>
    <i>
      <x v="393"/>
    </i>
    <i>
      <x v="754"/>
    </i>
    <i>
      <x v="307"/>
    </i>
    <i>
      <x v="656"/>
    </i>
    <i>
      <x v="523"/>
    </i>
    <i>
      <x v="463"/>
    </i>
    <i>
      <x v="571"/>
    </i>
    <i>
      <x v="264"/>
    </i>
    <i>
      <x v="544"/>
    </i>
    <i>
      <x v="489"/>
    </i>
    <i>
      <x v="798"/>
    </i>
    <i>
      <x v="243"/>
    </i>
    <i>
      <x v="335"/>
    </i>
    <i>
      <x v="458"/>
    </i>
    <i>
      <x v="195"/>
    </i>
    <i>
      <x v="315"/>
    </i>
    <i>
      <x v="491"/>
    </i>
    <i>
      <x v="261"/>
    </i>
    <i>
      <x v="645"/>
    </i>
    <i>
      <x v="139"/>
    </i>
    <i>
      <x v="729"/>
    </i>
    <i>
      <x v="323"/>
    </i>
    <i>
      <x v="592"/>
    </i>
    <i>
      <x v="446"/>
    </i>
    <i>
      <x v="792"/>
    </i>
    <i>
      <x v="540"/>
    </i>
    <i>
      <x v="311"/>
    </i>
    <i>
      <x v="583"/>
    </i>
    <i>
      <x v="397"/>
    </i>
    <i>
      <x v="635"/>
    </i>
    <i>
      <x v="612"/>
    </i>
    <i>
      <x v="313"/>
    </i>
    <i>
      <x v="346"/>
    </i>
    <i>
      <x v="501"/>
    </i>
    <i>
      <x v="531"/>
    </i>
    <i>
      <x v="660"/>
    </i>
    <i>
      <x v="177"/>
    </i>
    <i>
      <x v="123"/>
    </i>
    <i>
      <x v="207"/>
    </i>
    <i>
      <x v="204"/>
    </i>
    <i>
      <x v="782"/>
    </i>
    <i>
      <x v="198"/>
    </i>
    <i>
      <x v="559"/>
    </i>
    <i>
      <x v="338"/>
    </i>
    <i>
      <x v="259"/>
    </i>
    <i>
      <x v="554"/>
    </i>
    <i>
      <x v="330"/>
    </i>
    <i>
      <x v="304"/>
    </i>
    <i>
      <x v="701"/>
    </i>
    <i>
      <x v="704"/>
    </i>
    <i>
      <x v="271"/>
    </i>
    <i>
      <x v="286"/>
    </i>
    <i>
      <x v="215"/>
    </i>
    <i>
      <x v="366"/>
    </i>
    <i>
      <x v="161"/>
    </i>
    <i>
      <x v="38"/>
    </i>
    <i>
      <x v="54"/>
    </i>
    <i>
      <x v="430"/>
    </i>
    <i>
      <x v="743"/>
    </i>
    <i>
      <x v="561"/>
    </i>
    <i>
      <x v="410"/>
    </i>
    <i>
      <x v="345"/>
    </i>
    <i>
      <x v="51"/>
    </i>
    <i>
      <x v="174"/>
    </i>
    <i>
      <x v="678"/>
    </i>
    <i>
      <x v="500"/>
    </i>
    <i>
      <x v="319"/>
    </i>
    <i>
      <x v="95"/>
    </i>
    <i>
      <x v="597"/>
    </i>
    <i>
      <x v="236"/>
    </i>
    <i>
      <x v="158"/>
    </i>
    <i>
      <x v="130"/>
    </i>
    <i>
      <x v="587"/>
    </i>
    <i>
      <x v="183"/>
    </i>
    <i>
      <x v="238"/>
    </i>
    <i>
      <x v="291"/>
    </i>
    <i>
      <x v="116"/>
    </i>
    <i>
      <x v="549"/>
    </i>
    <i>
      <x v="697"/>
    </i>
    <i>
      <x v="668"/>
    </i>
    <i>
      <x v="269"/>
    </i>
    <i>
      <x v="27"/>
    </i>
    <i>
      <x v="127"/>
    </i>
    <i>
      <x v="800"/>
    </i>
    <i>
      <x v="552"/>
    </i>
    <i>
      <x v="795"/>
    </i>
    <i>
      <x v="50"/>
    </i>
    <i>
      <x v="162"/>
    </i>
    <i>
      <x v="589"/>
    </i>
    <i>
      <x v="73"/>
    </i>
    <i>
      <x v="779"/>
    </i>
    <i>
      <x v="551"/>
    </i>
    <i>
      <x v="347"/>
    </i>
    <i>
      <x v="755"/>
    </i>
    <i>
      <x v="312"/>
    </i>
    <i>
      <x v="302"/>
    </i>
    <i>
      <x v="480"/>
    </i>
    <i>
      <x v="625"/>
    </i>
    <i>
      <x v="255"/>
    </i>
    <i>
      <x v="762"/>
    </i>
    <i>
      <x v="441"/>
    </i>
    <i>
      <x v="175"/>
    </i>
    <i>
      <x v="693"/>
    </i>
    <i>
      <x v="482"/>
    </i>
    <i>
      <x v="780"/>
    </i>
    <i>
      <x v="284"/>
    </i>
    <i>
      <x v="785"/>
    </i>
    <i>
      <x v="166"/>
    </i>
    <i>
      <x v="413"/>
    </i>
    <i>
      <x v="32"/>
    </i>
    <i>
      <x v="666"/>
    </i>
    <i>
      <x v="145"/>
    </i>
    <i>
      <x v="122"/>
    </i>
    <i>
      <x v="628"/>
    </i>
    <i>
      <x v="212"/>
    </i>
    <i>
      <x v="709"/>
    </i>
    <i>
      <x v="361"/>
    </i>
    <i>
      <x v="214"/>
    </i>
    <i>
      <x v="372"/>
    </i>
    <i>
      <x v="419"/>
    </i>
    <i>
      <x v="362"/>
    </i>
    <i>
      <x v="528"/>
    </i>
    <i>
      <x v="246"/>
    </i>
    <i>
      <x v="706"/>
    </i>
    <i>
      <x v="581"/>
    </i>
    <i>
      <x v="717"/>
    </i>
    <i>
      <x v="218"/>
    </i>
    <i>
      <x v="17"/>
    </i>
    <i>
      <x v="504"/>
    </i>
    <i>
      <x v="519"/>
    </i>
    <i>
      <x v="518"/>
    </i>
    <i>
      <x v="444"/>
    </i>
    <i>
      <x v="790"/>
    </i>
    <i>
      <x v="406"/>
    </i>
    <i>
      <x v="681"/>
    </i>
    <i>
      <x v="600"/>
    </i>
    <i>
      <x v="226"/>
    </i>
    <i>
      <x v="496"/>
    </i>
    <i>
      <x v="252"/>
    </i>
    <i>
      <x v="224"/>
    </i>
    <i>
      <x v="411"/>
    </i>
    <i>
      <x v="74"/>
    </i>
    <i>
      <x v="495"/>
    </i>
    <i>
      <x v="117"/>
    </i>
    <i>
      <x v="295"/>
    </i>
    <i>
      <x v="222"/>
    </i>
    <i>
      <x v="515"/>
    </i>
    <i>
      <x v="276"/>
    </i>
    <i>
      <x v="646"/>
    </i>
    <i>
      <x v="35"/>
    </i>
    <i>
      <x v="363"/>
    </i>
    <i>
      <x v="219"/>
    </i>
    <i>
      <x v="342"/>
    </i>
    <i>
      <x v="140"/>
    </i>
    <i>
      <x v="62"/>
    </i>
    <i>
      <x v="200"/>
    </i>
    <i>
      <x v="41"/>
    </i>
    <i>
      <x v="169"/>
    </i>
    <i>
      <x v="133"/>
    </i>
    <i>
      <x v="279"/>
    </i>
    <i>
      <x v="440"/>
    </i>
    <i>
      <x v="396"/>
    </i>
    <i>
      <x v="399"/>
    </i>
    <i>
      <x v="509"/>
    </i>
    <i>
      <x v="768"/>
    </i>
    <i>
      <x v="403"/>
    </i>
    <i>
      <x v="715"/>
    </i>
    <i>
      <x v="758"/>
    </i>
    <i>
      <x v="249"/>
    </i>
    <i>
      <x v="781"/>
    </i>
    <i>
      <x v="481"/>
    </i>
    <i>
      <x v="134"/>
    </i>
    <i>
      <x v="221"/>
    </i>
    <i>
      <x v="231"/>
    </i>
    <i>
      <x v="144"/>
    </i>
    <i>
      <x v="136"/>
    </i>
    <i>
      <x v="278"/>
    </i>
    <i>
      <x v="381"/>
    </i>
    <i>
      <x v="596"/>
    </i>
    <i>
      <x v="657"/>
    </i>
    <i>
      <x v="143"/>
    </i>
    <i>
      <x v="186"/>
    </i>
    <i>
      <x v="744"/>
    </i>
    <i>
      <x v="676"/>
    </i>
    <i>
      <x v="508"/>
    </i>
    <i>
      <x v="94"/>
    </i>
    <i>
      <x v="351"/>
    </i>
    <i>
      <x v="36"/>
    </i>
    <i>
      <x v="594"/>
    </i>
    <i>
      <x v="721"/>
    </i>
    <i>
      <x v="533"/>
    </i>
    <i>
      <x v="502"/>
    </i>
    <i>
      <x v="605"/>
    </i>
    <i>
      <x v="671"/>
    </i>
    <i>
      <x v="746"/>
    </i>
    <i>
      <x v="445"/>
    </i>
    <i>
      <x v="287"/>
    </i>
    <i>
      <x v="400"/>
    </i>
    <i>
      <x v="203"/>
    </i>
    <i>
      <x v="67"/>
    </i>
    <i>
      <x v="579"/>
    </i>
    <i>
      <x v="448"/>
    </i>
    <i>
      <x v="563"/>
    </i>
    <i>
      <x v="620"/>
    </i>
    <i>
      <x v="607"/>
    </i>
    <i>
      <x v="710"/>
    </i>
    <i>
      <x v="431"/>
    </i>
    <i>
      <x v="300"/>
    </i>
    <i>
      <x v="507"/>
    </i>
    <i>
      <x v="477"/>
    </i>
    <i>
      <x v="119"/>
    </i>
    <i>
      <x v="109"/>
    </i>
    <i>
      <x v="209"/>
    </i>
    <i>
      <x v="615"/>
    </i>
    <i>
      <x v="690"/>
    </i>
    <i>
      <x v="536"/>
    </i>
    <i>
      <x v="772"/>
    </i>
    <i>
      <x v="784"/>
    </i>
    <i>
      <x v="560"/>
    </i>
    <i>
      <x v="769"/>
    </i>
    <i>
      <x v="617"/>
    </i>
    <i>
      <x v="757"/>
    </i>
    <i>
      <x v="682"/>
    </i>
    <i>
      <x v="771"/>
    </i>
    <i>
      <x v="763"/>
    </i>
    <i>
      <x v="753"/>
    </i>
    <i>
      <x v="777"/>
    </i>
    <i>
      <x v="550"/>
    </i>
    <i>
      <x v="728"/>
    </i>
    <i>
      <x v="689"/>
    </i>
    <i>
      <x v="730"/>
    </i>
    <i>
      <x v="791"/>
    </i>
    <i>
      <x v="760"/>
    </i>
    <i>
      <x v="558"/>
    </i>
    <i>
      <x v="622"/>
    </i>
    <i>
      <x v="569"/>
    </i>
    <i>
      <x v="738"/>
    </i>
    <i>
      <x v="570"/>
    </i>
    <i>
      <x v="636"/>
    </i>
    <i>
      <x v="639"/>
    </i>
    <i>
      <x v="664"/>
    </i>
    <i>
      <x v="761"/>
    </i>
    <i>
      <x v="750"/>
    </i>
    <i>
      <x v="498"/>
    </i>
    <i>
      <x v="439"/>
    </i>
    <i>
      <x v="454"/>
    </i>
    <i>
      <x v="460"/>
    </i>
    <i>
      <x v="459"/>
    </i>
    <i>
      <x v="371"/>
    </i>
    <i>
      <x v="530"/>
    </i>
    <i>
      <x v="417"/>
    </i>
    <i>
      <x v="377"/>
    </i>
    <i>
      <x v="492"/>
    </i>
    <i>
      <x v="520"/>
    </i>
    <i>
      <x v="358"/>
    </i>
    <i>
      <x v="277"/>
    </i>
    <i>
      <x v="389"/>
    </i>
    <i>
      <x v="484"/>
    </i>
    <i>
      <x v="525"/>
    </i>
    <i>
      <x v="485"/>
    </i>
    <i>
      <x v="383"/>
    </i>
    <i>
      <x v="486"/>
    </i>
    <i>
      <x v="436"/>
    </i>
    <i>
      <x v="443"/>
    </i>
    <i>
      <x v="355"/>
    </i>
    <i>
      <x v="353"/>
    </i>
    <i>
      <x v="455"/>
    </i>
    <i>
      <x v="398"/>
    </i>
    <i>
      <x v="490"/>
    </i>
    <i>
      <x v="16"/>
    </i>
    <i>
      <x v="103"/>
    </i>
    <i>
      <x v="187"/>
    </i>
    <i>
      <x v="167"/>
    </i>
    <i>
      <x v="104"/>
    </i>
    <i>
      <x/>
    </i>
    <i>
      <x v="220"/>
    </i>
    <i>
      <x v="206"/>
    </i>
    <i>
      <x v="26"/>
    </i>
    <i>
      <x v="81"/>
    </i>
    <i>
      <x v="170"/>
    </i>
    <i>
      <x v="237"/>
    </i>
    <i>
      <x v="156"/>
    </i>
    <i>
      <x v="126"/>
    </i>
    <i t="grand">
      <x/>
    </i>
  </rowItems>
  <colItems count="1">
    <i/>
  </colItems>
  <dataFields count="1">
    <dataField name="Sum of Videos_created" fld="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97B4EA-C3F9-4ED5-A41E-40E41675F42A}" name="PivotTable4"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V20:W486" firstHeaderRow="1" firstDataRow="1" firstDataCol="1"/>
  <pivotFields count="26">
    <pivotField showAll="0">
      <items count="5">
        <item x="2"/>
        <item x="0"/>
        <item x="3"/>
        <item x="1"/>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66">
        <item x="460"/>
        <item x="335"/>
        <item x="312"/>
        <item x="287"/>
        <item x="103"/>
        <item x="453"/>
        <item x="326"/>
        <item x="20"/>
        <item x="372"/>
        <item x="101"/>
        <item x="229"/>
        <item x="369"/>
        <item x="8"/>
        <item x="104"/>
        <item x="323"/>
        <item x="340"/>
        <item x="174"/>
        <item x="35"/>
        <item x="291"/>
        <item x="431"/>
        <item x="14"/>
        <item x="187"/>
        <item x="246"/>
        <item x="318"/>
        <item x="350"/>
        <item x="161"/>
        <item x="292"/>
        <item x="141"/>
        <item x="348"/>
        <item x="455"/>
        <item x="261"/>
        <item x="262"/>
        <item x="337"/>
        <item x="73"/>
        <item x="110"/>
        <item x="286"/>
        <item x="175"/>
        <item x="216"/>
        <item x="343"/>
        <item x="301"/>
        <item x="384"/>
        <item x="320"/>
        <item x="58"/>
        <item x="402"/>
        <item x="328"/>
        <item x="133"/>
        <item x="227"/>
        <item x="289"/>
        <item x="268"/>
        <item x="194"/>
        <item x="72"/>
        <item x="315"/>
        <item x="397"/>
        <item x="193"/>
        <item x="230"/>
        <item x="199"/>
        <item x="152"/>
        <item x="317"/>
        <item x="120"/>
        <item x="426"/>
        <item x="173"/>
        <item x="237"/>
        <item x="327"/>
        <item x="148"/>
        <item x="380"/>
        <item x="450"/>
        <item x="78"/>
        <item x="100"/>
        <item x="190"/>
        <item x="361"/>
        <item x="307"/>
        <item x="407"/>
        <item x="168"/>
        <item x="4"/>
        <item x="352"/>
        <item x="181"/>
        <item x="122"/>
        <item x="440"/>
        <item x="2"/>
        <item x="85"/>
        <item x="202"/>
        <item x="358"/>
        <item x="189"/>
        <item x="381"/>
        <item x="433"/>
        <item x="446"/>
        <item x="224"/>
        <item x="49"/>
        <item x="459"/>
        <item x="138"/>
        <item x="294"/>
        <item x="7"/>
        <item x="281"/>
        <item x="330"/>
        <item x="399"/>
        <item x="108"/>
        <item x="463"/>
        <item x="45"/>
        <item x="377"/>
        <item x="37"/>
        <item x="233"/>
        <item x="382"/>
        <item x="214"/>
        <item x="213"/>
        <item x="272"/>
        <item x="139"/>
        <item x="367"/>
        <item x="342"/>
        <item x="263"/>
        <item x="319"/>
        <item x="392"/>
        <item x="38"/>
        <item x="464"/>
        <item x="378"/>
        <item x="143"/>
        <item x="188"/>
        <item x="158"/>
        <item x="147"/>
        <item x="5"/>
        <item x="197"/>
        <item x="334"/>
        <item x="344"/>
        <item x="398"/>
        <item x="389"/>
        <item x="195"/>
        <item x="150"/>
        <item x="451"/>
        <item x="90"/>
        <item x="388"/>
        <item x="417"/>
        <item x="296"/>
        <item x="201"/>
        <item x="211"/>
        <item x="220"/>
        <item x="64"/>
        <item x="418"/>
        <item x="461"/>
        <item x="59"/>
        <item x="200"/>
        <item x="235"/>
        <item x="84"/>
        <item x="285"/>
        <item x="346"/>
        <item x="81"/>
        <item x="9"/>
        <item x="88"/>
        <item x="218"/>
        <item x="63"/>
        <item x="406"/>
        <item x="416"/>
        <item x="277"/>
        <item x="345"/>
        <item x="228"/>
        <item x="94"/>
        <item x="331"/>
        <item x="324"/>
        <item x="142"/>
        <item x="91"/>
        <item x="125"/>
        <item x="403"/>
        <item x="256"/>
        <item x="52"/>
        <item x="309"/>
        <item x="24"/>
        <item x="413"/>
        <item x="86"/>
        <item x="386"/>
        <item x="255"/>
        <item x="442"/>
        <item x="154"/>
        <item x="198"/>
        <item x="310"/>
        <item x="39"/>
        <item x="123"/>
        <item x="134"/>
        <item x="172"/>
        <item x="422"/>
        <item x="341"/>
        <item x="3"/>
        <item x="209"/>
        <item x="109"/>
        <item x="57"/>
        <item x="415"/>
        <item x="363"/>
        <item x="186"/>
        <item x="432"/>
        <item x="409"/>
        <item x="136"/>
        <item x="257"/>
        <item x="336"/>
        <item x="240"/>
        <item x="300"/>
        <item x="167"/>
        <item x="15"/>
        <item x="112"/>
        <item x="36"/>
        <item x="55"/>
        <item x="283"/>
        <item x="258"/>
        <item x="56"/>
        <item x="83"/>
        <item x="77"/>
        <item x="19"/>
        <item x="51"/>
        <item x="40"/>
        <item x="69"/>
        <item x="76"/>
        <item x="18"/>
        <item x="47"/>
        <item x="79"/>
        <item x="71"/>
        <item x="1"/>
        <item x="127"/>
        <item x="412"/>
        <item x="70"/>
        <item x="293"/>
        <item x="176"/>
        <item x="23"/>
        <item x="16"/>
        <item x="179"/>
        <item x="22"/>
        <item x="27"/>
        <item x="46"/>
        <item x="130"/>
        <item x="164"/>
        <item x="42"/>
        <item x="113"/>
        <item x="17"/>
        <item x="67"/>
        <item x="30"/>
        <item x="427"/>
        <item x="82"/>
        <item x="231"/>
        <item x="260"/>
        <item x="21"/>
        <item x="121"/>
        <item x="146"/>
        <item x="74"/>
        <item x="206"/>
        <item x="99"/>
        <item x="332"/>
        <item x="435"/>
        <item x="238"/>
        <item x="266"/>
        <item x="10"/>
        <item x="29"/>
        <item x="393"/>
        <item x="314"/>
        <item x="212"/>
        <item x="61"/>
        <item x="249"/>
        <item x="373"/>
        <item x="419"/>
        <item x="31"/>
        <item x="219"/>
        <item x="43"/>
        <item x="366"/>
        <item x="34"/>
        <item x="203"/>
        <item x="207"/>
        <item x="359"/>
        <item x="89"/>
        <item x="107"/>
        <item x="351"/>
        <item x="80"/>
        <item x="159"/>
        <item x="339"/>
        <item x="171"/>
        <item x="253"/>
        <item x="321"/>
        <item x="456"/>
        <item x="166"/>
        <item x="299"/>
        <item x="353"/>
        <item x="119"/>
        <item x="145"/>
        <item x="349"/>
        <item x="243"/>
        <item x="180"/>
        <item x="12"/>
        <item x="276"/>
        <item x="273"/>
        <item x="155"/>
        <item x="329"/>
        <item x="131"/>
        <item x="98"/>
        <item x="97"/>
        <item x="124"/>
        <item x="163"/>
        <item x="210"/>
        <item x="248"/>
        <item x="137"/>
        <item x="204"/>
        <item x="325"/>
        <item x="60"/>
        <item x="184"/>
        <item x="245"/>
        <item x="48"/>
        <item x="360"/>
        <item x="28"/>
        <item x="50"/>
        <item x="338"/>
        <item x="102"/>
        <item x="355"/>
        <item x="316"/>
        <item x="365"/>
        <item x="347"/>
        <item x="191"/>
        <item x="374"/>
        <item x="126"/>
        <item x="178"/>
        <item x="457"/>
        <item x="423"/>
        <item x="405"/>
        <item x="162"/>
        <item x="170"/>
        <item x="151"/>
        <item x="160"/>
        <item x="182"/>
        <item x="251"/>
        <item x="140"/>
        <item x="354"/>
        <item x="192"/>
        <item x="250"/>
        <item x="454"/>
        <item x="333"/>
        <item x="297"/>
        <item x="414"/>
        <item x="357"/>
        <item x="401"/>
        <item x="247"/>
        <item x="303"/>
        <item x="53"/>
        <item x="236"/>
        <item x="92"/>
        <item x="264"/>
        <item x="438"/>
        <item x="385"/>
        <item x="129"/>
        <item x="177"/>
        <item x="13"/>
        <item x="117"/>
        <item x="106"/>
        <item x="132"/>
        <item x="313"/>
        <item x="322"/>
        <item x="302"/>
        <item x="383"/>
        <item x="458"/>
        <item x="278"/>
        <item x="215"/>
        <item x="26"/>
        <item x="252"/>
        <item x="306"/>
        <item x="144"/>
        <item x="436"/>
        <item x="391"/>
        <item x="165"/>
        <item x="362"/>
        <item x="157"/>
        <item x="0"/>
        <item x="304"/>
        <item x="244"/>
        <item x="169"/>
        <item x="185"/>
        <item x="54"/>
        <item x="65"/>
        <item x="33"/>
        <item x="420"/>
        <item x="221"/>
        <item x="282"/>
        <item x="288"/>
        <item x="25"/>
        <item x="93"/>
        <item x="395"/>
        <item x="114"/>
        <item x="217"/>
        <item x="404"/>
        <item x="205"/>
        <item x="298"/>
        <item x="135"/>
        <item x="128"/>
        <item x="411"/>
        <item x="75"/>
        <item x="239"/>
        <item x="153"/>
        <item x="11"/>
        <item x="96"/>
        <item x="156"/>
        <item x="87"/>
        <item x="118"/>
        <item x="225"/>
        <item x="68"/>
        <item x="274"/>
        <item x="387"/>
        <item x="41"/>
        <item x="267"/>
        <item x="410"/>
        <item x="449"/>
        <item x="222"/>
        <item x="364"/>
        <item x="295"/>
        <item x="375"/>
        <item x="368"/>
        <item x="429"/>
        <item x="226"/>
        <item x="408"/>
        <item x="149"/>
        <item x="254"/>
        <item x="305"/>
        <item x="115"/>
        <item x="290"/>
        <item x="439"/>
        <item x="271"/>
        <item x="370"/>
        <item x="279"/>
        <item x="275"/>
        <item x="6"/>
        <item x="208"/>
        <item x="437"/>
        <item x="234"/>
        <item x="452"/>
        <item x="443"/>
        <item x="428"/>
        <item x="111"/>
        <item x="196"/>
        <item x="284"/>
        <item x="259"/>
        <item x="116"/>
        <item x="265"/>
        <item x="396"/>
        <item x="445"/>
        <item x="356"/>
        <item x="269"/>
        <item x="390"/>
        <item x="95"/>
        <item x="448"/>
        <item x="430"/>
        <item x="421"/>
        <item x="400"/>
        <item x="223"/>
        <item x="66"/>
        <item x="308"/>
        <item x="434"/>
        <item x="241"/>
        <item x="444"/>
        <item x="441"/>
        <item x="44"/>
        <item x="425"/>
        <item x="183"/>
        <item x="379"/>
        <item x="371"/>
        <item x="447"/>
        <item x="424"/>
        <item x="232"/>
        <item x="376"/>
        <item x="280"/>
        <item x="62"/>
        <item x="32"/>
        <item x="394"/>
        <item x="105"/>
        <item x="270"/>
        <item x="462"/>
        <item x="242"/>
        <item x="311"/>
        <item t="default"/>
      </items>
    </pivotField>
    <pivotField showAll="0"/>
    <pivotField showAll="0"/>
    <pivotField showAll="0"/>
    <pivotField showAll="0"/>
    <pivotField showAll="0"/>
    <pivotField showAll="0"/>
    <pivotField showAll="0"/>
    <pivotField showAll="0"/>
    <pivotField showAll="0">
      <items count="3">
        <item x="1"/>
        <item x="0"/>
        <item t="default"/>
      </items>
    </pivotField>
    <pivotField showAll="0">
      <items count="5">
        <item x="3"/>
        <item x="2"/>
        <item x="1"/>
        <item x="0"/>
        <item t="default"/>
      </items>
    </pivotField>
  </pivotFields>
  <rowFields count="1">
    <field x="15"/>
  </rowFields>
  <rowItems count="46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t="grand">
      <x/>
    </i>
  </rowItems>
  <colItems count="1">
    <i/>
  </colItems>
  <dataFields count="1">
    <dataField name="Sum of Videos_created" fld="1" baseField="15" baseItem="10"/>
  </dataField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BDB86A-4B19-45DB-BD71-B9010E2FEB0D}" name="PivotTable13"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20:H471" firstHeaderRow="1" firstDataRow="1" firstDataCol="1"/>
  <pivotFields count="26">
    <pivotField showAll="0">
      <items count="5">
        <item x="2"/>
        <item x="0"/>
        <item x="3"/>
        <item x="1"/>
        <item t="default"/>
      </items>
    </pivotField>
    <pivotField dataField="1" showAll="0"/>
    <pivotField showAll="0"/>
    <pivotField showAll="0"/>
    <pivotField showAll="0"/>
    <pivotField showAll="0"/>
    <pivotField showAll="0"/>
    <pivotField showAll="0"/>
    <pivotField axis="axisRow" showAll="0">
      <items count="451">
        <item x="218"/>
        <item x="351"/>
        <item x="406"/>
        <item x="131"/>
        <item x="327"/>
        <item x="110"/>
        <item x="313"/>
        <item x="198"/>
        <item x="364"/>
        <item x="356"/>
        <item x="405"/>
        <item x="184"/>
        <item x="393"/>
        <item x="363"/>
        <item x="408"/>
        <item x="449"/>
        <item x="336"/>
        <item x="307"/>
        <item x="157"/>
        <item x="238"/>
        <item x="359"/>
        <item x="163"/>
        <item x="381"/>
        <item x="119"/>
        <item x="372"/>
        <item x="228"/>
        <item x="428"/>
        <item x="86"/>
        <item x="339"/>
        <item x="204"/>
        <item x="169"/>
        <item x="71"/>
        <item x="279"/>
        <item x="78"/>
        <item x="246"/>
        <item x="37"/>
        <item x="376"/>
        <item x="254"/>
        <item x="164"/>
        <item x="221"/>
        <item x="239"/>
        <item x="321"/>
        <item x="104"/>
        <item x="429"/>
        <item x="361"/>
        <item x="132"/>
        <item x="135"/>
        <item x="79"/>
        <item x="370"/>
        <item x="289"/>
        <item x="208"/>
        <item x="202"/>
        <item x="349"/>
        <item x="201"/>
        <item x="224"/>
        <item x="223"/>
        <item x="28"/>
        <item x="171"/>
        <item x="402"/>
        <item x="194"/>
        <item x="106"/>
        <item x="206"/>
        <item x="17"/>
        <item x="63"/>
        <item x="320"/>
        <item x="41"/>
        <item x="342"/>
        <item x="360"/>
        <item x="319"/>
        <item x="397"/>
        <item x="333"/>
        <item x="69"/>
        <item x="225"/>
        <item x="318"/>
        <item x="368"/>
        <item x="36"/>
        <item x="61"/>
        <item x="15"/>
        <item x="281"/>
        <item x="338"/>
        <item x="39"/>
        <item x="116"/>
        <item x="200"/>
        <item x="233"/>
        <item x="261"/>
        <item x="149"/>
        <item x="266"/>
        <item x="386"/>
        <item x="76"/>
        <item x="26"/>
        <item x="92"/>
        <item x="85"/>
        <item x="35"/>
        <item x="286"/>
        <item x="443"/>
        <item x="84"/>
        <item x="227"/>
        <item x="190"/>
        <item x="350"/>
        <item x="197"/>
        <item x="250"/>
        <item x="399"/>
        <item x="348"/>
        <item x="188"/>
        <item x="68"/>
        <item x="283"/>
        <item x="411"/>
        <item x="345"/>
        <item x="147"/>
        <item x="252"/>
        <item x="445"/>
        <item x="420"/>
        <item x="417"/>
        <item x="263"/>
        <item x="240"/>
        <item x="23"/>
        <item x="99"/>
        <item x="95"/>
        <item x="377"/>
        <item x="152"/>
        <item x="384"/>
        <item x="168"/>
        <item x="418"/>
        <item x="295"/>
        <item x="328"/>
        <item x="6"/>
        <item x="53"/>
        <item x="380"/>
        <item x="161"/>
        <item x="77"/>
        <item x="142"/>
        <item x="123"/>
        <item x="33"/>
        <item x="42"/>
        <item x="226"/>
        <item x="366"/>
        <item x="196"/>
        <item x="8"/>
        <item x="19"/>
        <item x="94"/>
        <item x="20"/>
        <item x="22"/>
        <item x="114"/>
        <item x="335"/>
        <item x="13"/>
        <item x="139"/>
        <item x="444"/>
        <item x="394"/>
        <item x="170"/>
        <item x="294"/>
        <item x="158"/>
        <item x="117"/>
        <item x="192"/>
        <item x="64"/>
        <item x="244"/>
        <item x="288"/>
        <item x="323"/>
        <item x="404"/>
        <item x="371"/>
        <item x="56"/>
        <item x="18"/>
        <item x="303"/>
        <item x="30"/>
        <item x="29"/>
        <item x="48"/>
        <item x="2"/>
        <item x="358"/>
        <item x="231"/>
        <item x="21"/>
        <item x="172"/>
        <item x="310"/>
        <item x="125"/>
        <item x="5"/>
        <item x="357"/>
        <item x="334"/>
        <item x="441"/>
        <item x="273"/>
        <item x="144"/>
        <item x="293"/>
        <item x="256"/>
        <item x="153"/>
        <item x="207"/>
        <item x="222"/>
        <item x="199"/>
        <item x="103"/>
        <item x="308"/>
        <item x="241"/>
        <item x="160"/>
        <item x="12"/>
        <item x="58"/>
        <item x="216"/>
        <item x="100"/>
        <item x="91"/>
        <item x="136"/>
        <item x="109"/>
        <item x="401"/>
        <item x="215"/>
        <item x="138"/>
        <item x="7"/>
        <item x="322"/>
        <item x="141"/>
        <item x="189"/>
        <item x="120"/>
        <item x="146"/>
        <item x="346"/>
        <item x="446"/>
        <item x="214"/>
        <item x="89"/>
        <item x="185"/>
        <item x="395"/>
        <item x="0"/>
        <item x="59"/>
        <item x="186"/>
        <item x="220"/>
        <item x="4"/>
        <item x="365"/>
        <item x="93"/>
        <item x="24"/>
        <item x="219"/>
        <item x="271"/>
        <item x="343"/>
        <item x="57"/>
        <item x="430"/>
        <item x="105"/>
        <item x="285"/>
        <item x="247"/>
        <item x="382"/>
        <item x="378"/>
        <item x="49"/>
        <item x="383"/>
        <item x="150"/>
        <item x="151"/>
        <item x="326"/>
        <item x="65"/>
        <item x="111"/>
        <item x="47"/>
        <item x="213"/>
        <item x="298"/>
        <item x="72"/>
        <item x="174"/>
        <item x="137"/>
        <item x="392"/>
        <item x="140"/>
        <item x="439"/>
        <item x="297"/>
        <item x="280"/>
        <item x="301"/>
        <item x="396"/>
        <item x="287"/>
        <item x="181"/>
        <item x="414"/>
        <item x="159"/>
        <item x="262"/>
        <item x="9"/>
        <item x="193"/>
        <item x="209"/>
        <item x="133"/>
        <item x="331"/>
        <item x="90"/>
        <item x="304"/>
        <item x="32"/>
        <item x="62"/>
        <item x="108"/>
        <item x="124"/>
        <item x="410"/>
        <item x="113"/>
        <item x="162"/>
        <item x="127"/>
        <item x="154"/>
        <item x="270"/>
        <item x="126"/>
        <item x="143"/>
        <item x="276"/>
        <item x="16"/>
        <item x="34"/>
        <item x="300"/>
        <item x="312"/>
        <item x="182"/>
        <item x="66"/>
        <item x="248"/>
        <item x="80"/>
        <item x="67"/>
        <item x="212"/>
        <item x="400"/>
        <item x="98"/>
        <item x="210"/>
        <item x="245"/>
        <item x="314"/>
        <item x="317"/>
        <item x="316"/>
        <item x="10"/>
        <item x="179"/>
        <item x="50"/>
        <item x="211"/>
        <item x="340"/>
        <item x="315"/>
        <item x="51"/>
        <item x="73"/>
        <item x="425"/>
        <item x="203"/>
        <item x="373"/>
        <item x="46"/>
        <item x="81"/>
        <item x="165"/>
        <item x="291"/>
        <item x="145"/>
        <item x="166"/>
        <item x="354"/>
        <item x="60"/>
        <item x="284"/>
        <item x="74"/>
        <item x="27"/>
        <item x="25"/>
        <item x="3"/>
        <item x="274"/>
        <item x="75"/>
        <item x="232"/>
        <item x="432"/>
        <item x="253"/>
        <item x="438"/>
        <item x="332"/>
        <item x="54"/>
        <item x="43"/>
        <item x="391"/>
        <item x="55"/>
        <item x="309"/>
        <item x="387"/>
        <item x="148"/>
        <item x="305"/>
        <item x="70"/>
        <item x="229"/>
        <item x="45"/>
        <item x="242"/>
        <item x="290"/>
        <item x="347"/>
        <item x="156"/>
        <item x="112"/>
        <item x="435"/>
        <item x="267"/>
        <item x="205"/>
        <item x="379"/>
        <item x="52"/>
        <item x="292"/>
        <item x="398"/>
        <item x="388"/>
        <item x="87"/>
        <item x="83"/>
        <item x="389"/>
        <item x="175"/>
        <item x="269"/>
        <item x="385"/>
        <item x="130"/>
        <item x="183"/>
        <item x="102"/>
        <item x="82"/>
        <item x="259"/>
        <item x="442"/>
        <item x="88"/>
        <item x="11"/>
        <item x="282"/>
        <item x="265"/>
        <item x="129"/>
        <item x="178"/>
        <item x="422"/>
        <item x="173"/>
        <item x="191"/>
        <item x="118"/>
        <item x="427"/>
        <item x="367"/>
        <item x="230"/>
        <item x="437"/>
        <item x="101"/>
        <item x="180"/>
        <item x="341"/>
        <item x="268"/>
        <item x="167"/>
        <item x="352"/>
        <item x="44"/>
        <item x="264"/>
        <item x="176"/>
        <item x="96"/>
        <item x="195"/>
        <item x="260"/>
        <item x="421"/>
        <item x="155"/>
        <item x="390"/>
        <item x="311"/>
        <item x="234"/>
        <item x="302"/>
        <item x="409"/>
        <item x="31"/>
        <item x="97"/>
        <item x="235"/>
        <item x="407"/>
        <item x="121"/>
        <item x="40"/>
        <item x="177"/>
        <item x="431"/>
        <item x="236"/>
        <item x="436"/>
        <item x="329"/>
        <item x="1"/>
        <item x="355"/>
        <item x="375"/>
        <item x="255"/>
        <item x="275"/>
        <item x="249"/>
        <item x="419"/>
        <item x="424"/>
        <item x="403"/>
        <item x="257"/>
        <item x="434"/>
        <item x="416"/>
        <item x="272"/>
        <item x="237"/>
        <item x="440"/>
        <item x="325"/>
        <item x="426"/>
        <item x="299"/>
        <item x="324"/>
        <item x="122"/>
        <item x="107"/>
        <item x="134"/>
        <item x="258"/>
        <item x="423"/>
        <item x="14"/>
        <item x="447"/>
        <item x="115"/>
        <item x="38"/>
        <item x="433"/>
        <item x="412"/>
        <item x="330"/>
        <item x="344"/>
        <item x="243"/>
        <item x="413"/>
        <item x="306"/>
        <item x="369"/>
        <item x="448"/>
        <item x="277"/>
        <item x="337"/>
        <item x="187"/>
        <item x="415"/>
        <item x="353"/>
        <item x="251"/>
        <item x="217"/>
        <item x="296"/>
        <item x="128"/>
        <item x="278"/>
        <item x="362"/>
        <item x="37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items count="5">
        <item x="3"/>
        <item x="2"/>
        <item x="1"/>
        <item x="0"/>
        <item t="default"/>
      </items>
    </pivotField>
  </pivotFields>
  <rowFields count="1">
    <field x="8"/>
  </rowFields>
  <rowItems count="4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t="grand">
      <x/>
    </i>
  </rowItems>
  <colItems count="1">
    <i/>
  </colItems>
  <dataFields count="1">
    <dataField name="Sum of Videos_created" fld="1"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FEF9F3-DE37-4878-9D9B-FA92E72FD25F}" name="PivotTable14"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J20:K101" firstHeaderRow="1" firstDataRow="1" firstDataCol="1"/>
  <pivotFields count="26">
    <pivotField showAll="0">
      <items count="5">
        <item x="2"/>
        <item x="0"/>
        <item x="3"/>
        <item x="1"/>
        <item t="default"/>
      </items>
    </pivotField>
    <pivotField dataField="1" showAll="0"/>
    <pivotField showAll="0"/>
    <pivotField showAll="0"/>
    <pivotField axis="axisRow" showAll="0">
      <items count="81">
        <item x="78"/>
        <item x="74"/>
        <item x="68"/>
        <item x="66"/>
        <item x="73"/>
        <item x="79"/>
        <item x="76"/>
        <item x="77"/>
        <item x="72"/>
        <item x="42"/>
        <item x="67"/>
        <item x="56"/>
        <item x="49"/>
        <item x="62"/>
        <item x="48"/>
        <item x="65"/>
        <item x="75"/>
        <item x="64"/>
        <item x="71"/>
        <item x="69"/>
        <item x="46"/>
        <item x="70"/>
        <item x="39"/>
        <item x="58"/>
        <item x="59"/>
        <item x="7"/>
        <item x="25"/>
        <item x="52"/>
        <item x="37"/>
        <item x="40"/>
        <item x="38"/>
        <item x="63"/>
        <item x="29"/>
        <item x="24"/>
        <item x="35"/>
        <item x="22"/>
        <item x="51"/>
        <item x="61"/>
        <item x="27"/>
        <item x="1"/>
        <item x="28"/>
        <item x="50"/>
        <item x="4"/>
        <item x="21"/>
        <item x="33"/>
        <item x="14"/>
        <item x="23"/>
        <item x="26"/>
        <item x="44"/>
        <item x="0"/>
        <item x="16"/>
        <item x="11"/>
        <item x="32"/>
        <item x="20"/>
        <item x="15"/>
        <item x="6"/>
        <item x="19"/>
        <item x="5"/>
        <item x="13"/>
        <item x="9"/>
        <item x="18"/>
        <item x="57"/>
        <item x="3"/>
        <item x="41"/>
        <item x="10"/>
        <item x="55"/>
        <item x="36"/>
        <item x="12"/>
        <item x="2"/>
        <item x="17"/>
        <item x="31"/>
        <item x="54"/>
        <item x="47"/>
        <item x="60"/>
        <item x="8"/>
        <item x="34"/>
        <item x="53"/>
        <item x="45"/>
        <item x="43"/>
        <item x="3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items count="5">
        <item x="3"/>
        <item x="2"/>
        <item x="1"/>
        <item x="0"/>
        <item t="default"/>
      </items>
    </pivotField>
  </pivotFields>
  <rowFields count="1">
    <field x="4"/>
  </rowFields>
  <rowItems count="8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t="grand">
      <x/>
    </i>
  </rowItems>
  <colItems count="1">
    <i/>
  </colItems>
  <dataFields count="1">
    <dataField name="Sum of Videos_created" fld="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0D3333-3E71-4FDB-B782-97A7686FCEA2}" name="PivotTable2"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C20:AD25" firstHeaderRow="1" firstDataRow="1" firstDataCol="1"/>
  <pivotFields count="26">
    <pivotField showAll="0">
      <items count="5">
        <item x="2"/>
        <item x="0"/>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axis="axisRow" showAll="0">
      <items count="5">
        <item x="3"/>
        <item x="2"/>
        <item x="1"/>
        <item x="0"/>
        <item t="default"/>
      </items>
    </pivotField>
  </pivotFields>
  <rowFields count="1">
    <field x="25"/>
  </rowFields>
  <rowItems count="5">
    <i>
      <x/>
    </i>
    <i>
      <x v="1"/>
    </i>
    <i>
      <x v="2"/>
    </i>
    <i>
      <x v="3"/>
    </i>
    <i t="grand">
      <x/>
    </i>
  </rowItems>
  <colItems count="1">
    <i/>
  </colItems>
  <dataFields count="1">
    <dataField name="Count of virality" fld="24" subtotal="count" baseField="0" baseItem="0"/>
  </dataField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3F7A88-ACAB-4AA4-A622-BF406AD57091}" name="PivotTable11"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0:B23" firstHeaderRow="1" firstDataRow="1" firstDataCol="1"/>
  <pivotFields count="26">
    <pivotField showAll="0">
      <items count="5">
        <item x="2"/>
        <item x="0"/>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items count="5">
        <item x="3"/>
        <item x="2"/>
        <item x="1"/>
        <item x="0"/>
        <item t="default"/>
      </items>
    </pivotField>
  </pivotFields>
  <rowFields count="1">
    <field x="24"/>
  </rowFields>
  <rowItems count="3">
    <i>
      <x/>
    </i>
    <i>
      <x v="1"/>
    </i>
    <i t="grand">
      <x/>
    </i>
  </rowItems>
  <colItems count="1">
    <i/>
  </colItems>
  <dataFields count="1">
    <dataField name="Count of virality" fld="24" subtotal="count" baseField="0" baseItem="0"/>
  </dataField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24" count="1" selected="0">
            <x v="0"/>
          </reference>
        </references>
      </pivotArea>
    </chartFormat>
    <chartFormat chart="2" format="6">
      <pivotArea type="data" outline="0" fieldPosition="0">
        <references count="2">
          <reference field="4294967294" count="1" selected="0">
            <x v="0"/>
          </reference>
          <reference field="24" count="1" selected="0">
            <x v="1"/>
          </reference>
        </references>
      </pivotArea>
    </chartFormat>
    <chartFormat chart="0" format="1">
      <pivotArea type="data" outline="0" fieldPosition="0">
        <references count="2">
          <reference field="4294967294" count="1" selected="0">
            <x v="0"/>
          </reference>
          <reference field="24" count="1" selected="0">
            <x v="0"/>
          </reference>
        </references>
      </pivotArea>
    </chartFormat>
    <chartFormat chart="0" format="2">
      <pivotArea type="data" outline="0" fieldPosition="0">
        <references count="2">
          <reference field="4294967294" count="1" selected="0">
            <x v="0"/>
          </reference>
          <reference field="2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4FB3B59-B396-4476-B009-9BE4A584EDB8}" name="PivotTable12"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20:E438" firstHeaderRow="1" firstDataRow="1" firstDataCol="1"/>
  <pivotFields count="26">
    <pivotField showAll="0">
      <items count="5">
        <item x="2"/>
        <item x="0"/>
        <item x="3"/>
        <item x="1"/>
        <item t="default"/>
      </items>
    </pivotField>
    <pivotField dataField="1" showAll="0"/>
    <pivotField showAll="0"/>
    <pivotField showAll="0"/>
    <pivotField showAll="0"/>
    <pivotField showAll="0"/>
    <pivotField showAll="0"/>
    <pivotField axis="axisRow" showAll="0">
      <items count="418">
        <item x="282"/>
        <item x="280"/>
        <item x="380"/>
        <item x="262"/>
        <item x="99"/>
        <item x="4"/>
        <item x="245"/>
        <item x="224"/>
        <item x="287"/>
        <item x="293"/>
        <item x="225"/>
        <item x="338"/>
        <item x="301"/>
        <item x="385"/>
        <item x="184"/>
        <item x="160"/>
        <item x="101"/>
        <item x="327"/>
        <item x="216"/>
        <item x="203"/>
        <item x="251"/>
        <item x="98"/>
        <item x="111"/>
        <item x="370"/>
        <item x="157"/>
        <item x="319"/>
        <item x="284"/>
        <item x="115"/>
        <item x="234"/>
        <item x="128"/>
        <item x="371"/>
        <item x="169"/>
        <item x="232"/>
        <item x="57"/>
        <item x="207"/>
        <item x="126"/>
        <item x="317"/>
        <item x="271"/>
        <item x="413"/>
        <item x="261"/>
        <item x="297"/>
        <item x="345"/>
        <item x="172"/>
        <item x="399"/>
        <item x="368"/>
        <item x="283"/>
        <item x="222"/>
        <item x="354"/>
        <item x="260"/>
        <item x="197"/>
        <item x="307"/>
        <item x="86"/>
        <item x="190"/>
        <item x="415"/>
        <item x="195"/>
        <item x="236"/>
        <item x="85"/>
        <item x="83"/>
        <item x="158"/>
        <item x="351"/>
        <item x="377"/>
        <item x="178"/>
        <item x="118"/>
        <item x="374"/>
        <item x="309"/>
        <item x="259"/>
        <item x="334"/>
        <item x="148"/>
        <item x="174"/>
        <item x="121"/>
        <item x="410"/>
        <item x="244"/>
        <item x="393"/>
        <item x="105"/>
        <item x="322"/>
        <item x="230"/>
        <item x="405"/>
        <item x="266"/>
        <item x="411"/>
        <item x="404"/>
        <item x="119"/>
        <item x="200"/>
        <item x="124"/>
        <item x="325"/>
        <item x="376"/>
        <item x="223"/>
        <item x="120"/>
        <item x="414"/>
        <item x="201"/>
        <item x="406"/>
        <item x="300"/>
        <item x="416"/>
        <item x="237"/>
        <item x="379"/>
        <item x="168"/>
        <item x="375"/>
        <item x="153"/>
        <item x="123"/>
        <item x="93"/>
        <item x="170"/>
        <item x="339"/>
        <item x="205"/>
        <item x="212"/>
        <item x="137"/>
        <item x="228"/>
        <item x="22"/>
        <item x="268"/>
        <item x="314"/>
        <item x="241"/>
        <item x="167"/>
        <item x="342"/>
        <item x="142"/>
        <item x="92"/>
        <item x="265"/>
        <item x="340"/>
        <item x="163"/>
        <item x="346"/>
        <item x="175"/>
        <item x="186"/>
        <item x="164"/>
        <item x="372"/>
        <item x="344"/>
        <item x="302"/>
        <item x="267"/>
        <item x="97"/>
        <item x="183"/>
        <item x="114"/>
        <item x="308"/>
        <item x="328"/>
        <item x="396"/>
        <item x="187"/>
        <item x="147"/>
        <item x="61"/>
        <item x="257"/>
        <item x="38"/>
        <item x="242"/>
        <item x="321"/>
        <item x="250"/>
        <item x="341"/>
        <item x="408"/>
        <item x="41"/>
        <item x="409"/>
        <item x="397"/>
        <item x="403"/>
        <item x="143"/>
        <item x="196"/>
        <item x="263"/>
        <item x="202"/>
        <item x="336"/>
        <item x="289"/>
        <item x="34"/>
        <item x="35"/>
        <item x="100"/>
        <item x="63"/>
        <item x="254"/>
        <item x="88"/>
        <item x="255"/>
        <item x="303"/>
        <item x="189"/>
        <item x="323"/>
        <item x="69"/>
        <item x="154"/>
        <item x="211"/>
        <item x="352"/>
        <item x="218"/>
        <item x="357"/>
        <item x="329"/>
        <item x="383"/>
        <item x="28"/>
        <item x="361"/>
        <item x="401"/>
        <item x="161"/>
        <item x="364"/>
        <item x="166"/>
        <item x="386"/>
        <item x="299"/>
        <item x="51"/>
        <item x="391"/>
        <item x="264"/>
        <item x="402"/>
        <item x="281"/>
        <item x="276"/>
        <item x="162"/>
        <item x="333"/>
        <item x="180"/>
        <item x="45"/>
        <item x="46"/>
        <item x="47"/>
        <item x="394"/>
        <item x="381"/>
        <item x="55"/>
        <item x="179"/>
        <item x="400"/>
        <item x="275"/>
        <item x="13"/>
        <item x="24"/>
        <item x="58"/>
        <item x="94"/>
        <item x="191"/>
        <item x="412"/>
        <item x="108"/>
        <item x="103"/>
        <item x="138"/>
        <item x="82"/>
        <item x="18"/>
        <item x="36"/>
        <item x="64"/>
        <item x="248"/>
        <item x="270"/>
        <item x="11"/>
        <item x="233"/>
        <item x="132"/>
        <item x="269"/>
        <item x="29"/>
        <item x="139"/>
        <item x="219"/>
        <item x="285"/>
        <item x="395"/>
        <item x="278"/>
        <item x="125"/>
        <item x="77"/>
        <item x="33"/>
        <item x="32"/>
        <item x="15"/>
        <item x="249"/>
        <item x="146"/>
        <item x="165"/>
        <item x="199"/>
        <item x="358"/>
        <item x="136"/>
        <item x="355"/>
        <item x="0"/>
        <item x="188"/>
        <item x="65"/>
        <item x="398"/>
        <item x="159"/>
        <item x="390"/>
        <item x="112"/>
        <item x="116"/>
        <item x="21"/>
        <item x="53"/>
        <item x="227"/>
        <item x="256"/>
        <item x="240"/>
        <item x="388"/>
        <item x="315"/>
        <item x="252"/>
        <item x="173"/>
        <item x="72"/>
        <item x="290"/>
        <item x="286"/>
        <item x="306"/>
        <item x="135"/>
        <item x="87"/>
        <item x="192"/>
        <item x="95"/>
        <item x="49"/>
        <item x="296"/>
        <item x="70"/>
        <item x="279"/>
        <item x="360"/>
        <item x="246"/>
        <item x="10"/>
        <item x="134"/>
        <item x="74"/>
        <item x="102"/>
        <item x="110"/>
        <item x="311"/>
        <item x="117"/>
        <item x="23"/>
        <item x="79"/>
        <item x="343"/>
        <item x="16"/>
        <item x="60"/>
        <item x="56"/>
        <item x="298"/>
        <item x="348"/>
        <item x="366"/>
        <item x="68"/>
        <item x="67"/>
        <item x="347"/>
        <item x="9"/>
        <item x="130"/>
        <item x="217"/>
        <item x="295"/>
        <item x="14"/>
        <item x="229"/>
        <item x="141"/>
        <item x="387"/>
        <item x="389"/>
        <item x="382"/>
        <item x="171"/>
        <item x="152"/>
        <item x="288"/>
        <item x="235"/>
        <item x="12"/>
        <item x="356"/>
        <item x="144"/>
        <item x="362"/>
        <item x="27"/>
        <item x="42"/>
        <item x="122"/>
        <item x="131"/>
        <item x="238"/>
        <item x="66"/>
        <item x="44"/>
        <item x="62"/>
        <item x="304"/>
        <item x="182"/>
        <item x="337"/>
        <item x="384"/>
        <item x="84"/>
        <item x="129"/>
        <item x="214"/>
        <item x="243"/>
        <item x="1"/>
        <item x="31"/>
        <item x="274"/>
        <item x="294"/>
        <item x="363"/>
        <item x="48"/>
        <item x="30"/>
        <item x="50"/>
        <item x="76"/>
        <item x="133"/>
        <item x="78"/>
        <item x="96"/>
        <item x="3"/>
        <item x="40"/>
        <item x="156"/>
        <item x="5"/>
        <item x="373"/>
        <item x="149"/>
        <item x="247"/>
        <item x="378"/>
        <item x="407"/>
        <item x="220"/>
        <item x="353"/>
        <item x="313"/>
        <item x="20"/>
        <item x="181"/>
        <item x="26"/>
        <item x="25"/>
        <item x="17"/>
        <item x="350"/>
        <item x="208"/>
        <item x="107"/>
        <item x="19"/>
        <item x="392"/>
        <item x="258"/>
        <item x="253"/>
        <item x="369"/>
        <item x="310"/>
        <item x="177"/>
        <item x="59"/>
        <item x="155"/>
        <item x="312"/>
        <item x="6"/>
        <item x="140"/>
        <item x="318"/>
        <item x="80"/>
        <item x="7"/>
        <item x="272"/>
        <item x="8"/>
        <item x="73"/>
        <item x="359"/>
        <item x="213"/>
        <item x="292"/>
        <item x="198"/>
        <item x="367"/>
        <item x="209"/>
        <item x="54"/>
        <item x="37"/>
        <item x="206"/>
        <item x="127"/>
        <item x="326"/>
        <item x="291"/>
        <item x="185"/>
        <item x="151"/>
        <item x="90"/>
        <item x="194"/>
        <item x="231"/>
        <item x="176"/>
        <item x="221"/>
        <item x="2"/>
        <item x="305"/>
        <item x="43"/>
        <item x="365"/>
        <item x="215"/>
        <item x="89"/>
        <item x="239"/>
        <item x="145"/>
        <item x="210"/>
        <item x="277"/>
        <item x="316"/>
        <item x="150"/>
        <item x="39"/>
        <item x="332"/>
        <item x="273"/>
        <item x="113"/>
        <item x="324"/>
        <item x="106"/>
        <item x="320"/>
        <item x="335"/>
        <item x="193"/>
        <item x="349"/>
        <item x="75"/>
        <item x="52"/>
        <item x="81"/>
        <item x="226"/>
        <item x="104"/>
        <item x="91"/>
        <item x="204"/>
        <item x="71"/>
        <item x="331"/>
        <item x="330"/>
        <item x="10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items count="5">
        <item x="3"/>
        <item x="2"/>
        <item x="1"/>
        <item x="0"/>
        <item t="default"/>
      </items>
    </pivotField>
  </pivotFields>
  <rowFields count="1">
    <field x="7"/>
  </rowFields>
  <rowItems count="41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t="grand">
      <x/>
    </i>
  </rowItems>
  <colItems count="1">
    <i/>
  </colItems>
  <dataFields count="1">
    <dataField name="Sum of Videos_created" fld="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6A48634-1876-4E8F-B2E2-1B42B752A276}" name="PivotTable3"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S20:T23" firstHeaderRow="1" firstDataRow="1" firstDataCol="1"/>
  <pivotFields count="26">
    <pivotField showAll="0">
      <items count="5">
        <item x="2"/>
        <item x="0"/>
        <item x="3"/>
        <item x="1"/>
        <item t="default"/>
      </items>
    </pivotField>
    <pivotField dataField="1" showAll="0"/>
    <pivotField showAll="0"/>
    <pivotField showAll="0"/>
    <pivotField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items count="5">
        <item x="3"/>
        <item x="2"/>
        <item x="1"/>
        <item x="0"/>
        <item t="default"/>
      </items>
    </pivotField>
  </pivotFields>
  <rowFields count="1">
    <field x="10"/>
  </rowFields>
  <rowItems count="3">
    <i>
      <x/>
    </i>
    <i>
      <x v="1"/>
    </i>
    <i t="grand">
      <x/>
    </i>
  </rowItems>
  <colItems count="1">
    <i/>
  </colItems>
  <dataFields count="1">
    <dataField name="Sum of Videos_created" fld="1"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FA6FEB1-6295-4DF4-947F-5003B32B8A3A}" name="PivotTable16"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P20:Q629" firstHeaderRow="1" firstDataRow="1" firstDataCol="1"/>
  <pivotFields count="26">
    <pivotField showAll="0">
      <items count="5">
        <item x="2"/>
        <item x="0"/>
        <item x="3"/>
        <item x="1"/>
        <item t="default"/>
      </items>
    </pivotField>
    <pivotField dataField="1" showAll="0"/>
    <pivotField showAll="0"/>
    <pivotField axis="axisRow" showAll="0" sortType="descending">
      <items count="609">
        <item x="55"/>
        <item x="113"/>
        <item x="474"/>
        <item x="169"/>
        <item x="340"/>
        <item x="389"/>
        <item x="451"/>
        <item x="291"/>
        <item x="214"/>
        <item x="240"/>
        <item x="441"/>
        <item x="468"/>
        <item x="524"/>
        <item x="603"/>
        <item x="502"/>
        <item x="194"/>
        <item x="19"/>
        <item x="394"/>
        <item x="560"/>
        <item x="385"/>
        <item x="488"/>
        <item x="26"/>
        <item x="565"/>
        <item x="65"/>
        <item x="189"/>
        <item x="204"/>
        <item x="174"/>
        <item x="237"/>
        <item x="118"/>
        <item x="345"/>
        <item x="496"/>
        <item x="199"/>
        <item x="333"/>
        <item x="114"/>
        <item x="535"/>
        <item x="527"/>
        <item x="469"/>
        <item x="232"/>
        <item x="607"/>
        <item x="218"/>
        <item x="228"/>
        <item x="413"/>
        <item x="94"/>
        <item x="272"/>
        <item x="538"/>
        <item x="410"/>
        <item x="386"/>
        <item x="191"/>
        <item x="346"/>
        <item x="20"/>
        <item x="359"/>
        <item x="347"/>
        <item x="289"/>
        <item x="170"/>
        <item x="166"/>
        <item x="13"/>
        <item x="260"/>
        <item x="220"/>
        <item x="24"/>
        <item x="275"/>
        <item x="512"/>
        <item x="259"/>
        <item x="467"/>
        <item x="74"/>
        <item x="400"/>
        <item x="424"/>
        <item x="242"/>
        <item x="97"/>
        <item x="238"/>
        <item x="73"/>
        <item x="181"/>
        <item x="395"/>
        <item x="45"/>
        <item x="568"/>
        <item x="297"/>
        <item x="211"/>
        <item x="523"/>
        <item x="463"/>
        <item x="221"/>
        <item x="443"/>
        <item x="129"/>
        <item x="127"/>
        <item x="96"/>
        <item x="366"/>
        <item x="90"/>
        <item x="408"/>
        <item x="491"/>
        <item x="571"/>
        <item x="349"/>
        <item x="126"/>
        <item x="158"/>
        <item x="281"/>
        <item x="38"/>
        <item x="472"/>
        <item x="602"/>
        <item x="562"/>
        <item x="579"/>
        <item x="245"/>
        <item x="490"/>
        <item x="226"/>
        <item x="409"/>
        <item x="295"/>
        <item x="206"/>
        <item x="184"/>
        <item x="273"/>
        <item x="422"/>
        <item x="115"/>
        <item x="368"/>
        <item x="108"/>
        <item x="307"/>
        <item x="153"/>
        <item x="31"/>
        <item x="377"/>
        <item x="88"/>
        <item x="477"/>
        <item x="431"/>
        <item x="137"/>
        <item x="81"/>
        <item x="164"/>
        <item x="361"/>
        <item x="233"/>
        <item x="1"/>
        <item x="134"/>
        <item x="442"/>
        <item x="595"/>
        <item x="495"/>
        <item x="381"/>
        <item x="547"/>
        <item x="283"/>
        <item x="318"/>
        <item x="319"/>
        <item x="145"/>
        <item x="157"/>
        <item x="519"/>
        <item x="372"/>
        <item x="578"/>
        <item x="284"/>
        <item x="176"/>
        <item x="397"/>
        <item x="311"/>
        <item x="276"/>
        <item x="62"/>
        <item x="58"/>
        <item x="391"/>
        <item x="494"/>
        <item x="266"/>
        <item x="56"/>
        <item x="552"/>
        <item x="147"/>
        <item x="370"/>
        <item x="401"/>
        <item x="476"/>
        <item x="9"/>
        <item x="34"/>
        <item x="280"/>
        <item x="47"/>
        <item x="93"/>
        <item x="362"/>
        <item x="139"/>
        <item x="17"/>
        <item x="599"/>
        <item x="470"/>
        <item x="124"/>
        <item x="201"/>
        <item x="460"/>
        <item x="606"/>
        <item x="475"/>
        <item x="175"/>
        <item x="215"/>
        <item x="229"/>
        <item x="514"/>
        <item x="25"/>
        <item x="539"/>
        <item x="192"/>
        <item x="122"/>
        <item x="165"/>
        <item x="585"/>
        <item x="452"/>
        <item x="42"/>
        <item x="517"/>
        <item x="321"/>
        <item x="378"/>
        <item x="48"/>
        <item x="493"/>
        <item x="511"/>
        <item x="209"/>
        <item x="286"/>
        <item x="317"/>
        <item x="63"/>
        <item x="222"/>
        <item x="505"/>
        <item x="471"/>
        <item x="332"/>
        <item x="254"/>
        <item x="70"/>
        <item x="406"/>
        <item x="498"/>
        <item x="227"/>
        <item x="504"/>
        <item x="231"/>
        <item x="536"/>
        <item x="98"/>
        <item x="360"/>
        <item x="326"/>
        <item x="41"/>
        <item x="296"/>
        <item x="605"/>
        <item x="243"/>
        <item x="553"/>
        <item x="277"/>
        <item x="559"/>
        <item x="487"/>
        <item x="109"/>
        <item x="77"/>
        <item x="407"/>
        <item x="285"/>
        <item x="518"/>
        <item x="563"/>
        <item x="593"/>
        <item x="484"/>
        <item x="105"/>
        <item x="110"/>
        <item x="67"/>
        <item x="551"/>
        <item x="313"/>
        <item x="367"/>
        <item x="146"/>
        <item x="576"/>
        <item x="37"/>
        <item x="429"/>
        <item x="178"/>
        <item x="112"/>
        <item x="12"/>
        <item x="267"/>
        <item x="530"/>
        <item x="384"/>
        <item x="186"/>
        <item x="217"/>
        <item x="0"/>
        <item x="419"/>
        <item x="458"/>
        <item x="141"/>
        <item x="27"/>
        <item x="465"/>
        <item x="363"/>
        <item x="71"/>
        <item x="507"/>
        <item x="555"/>
        <item x="128"/>
        <item x="68"/>
        <item x="7"/>
        <item x="306"/>
        <item x="570"/>
        <item x="532"/>
        <item x="405"/>
        <item x="208"/>
        <item x="268"/>
        <item x="6"/>
        <item x="2"/>
        <item x="40"/>
        <item x="161"/>
        <item x="103"/>
        <item x="325"/>
        <item x="440"/>
        <item x="60"/>
        <item x="106"/>
        <item x="203"/>
        <item x="117"/>
        <item x="72"/>
        <item x="590"/>
        <item x="365"/>
        <item x="271"/>
        <item x="314"/>
        <item x="182"/>
        <item x="35"/>
        <item x="323"/>
        <item x="577"/>
        <item x="464"/>
        <item x="180"/>
        <item x="503"/>
        <item x="509"/>
        <item x="500"/>
        <item x="582"/>
        <item x="525"/>
        <item x="249"/>
        <item x="123"/>
        <item x="101"/>
        <item x="8"/>
        <item x="450"/>
        <item x="427"/>
        <item x="51"/>
        <item x="584"/>
        <item x="454"/>
        <item x="152"/>
        <item x="102"/>
        <item x="356"/>
        <item x="351"/>
        <item x="167"/>
        <item x="572"/>
        <item x="309"/>
        <item x="256"/>
        <item x="224"/>
        <item x="432"/>
        <item x="92"/>
        <item x="120"/>
        <item x="85"/>
        <item x="207"/>
        <item x="216"/>
        <item x="219"/>
        <item x="390"/>
        <item x="581"/>
        <item x="202"/>
        <item x="264"/>
        <item x="210"/>
        <item x="588"/>
        <item x="30"/>
        <item x="548"/>
        <item x="75"/>
        <item x="52"/>
        <item x="78"/>
        <item x="543"/>
        <item x="290"/>
        <item x="151"/>
        <item x="447"/>
        <item x="411"/>
        <item x="449"/>
        <item x="526"/>
        <item x="387"/>
        <item x="375"/>
        <item x="293"/>
        <item x="225"/>
        <item x="250"/>
        <item x="594"/>
        <item x="357"/>
        <item x="11"/>
        <item x="299"/>
        <item x="459"/>
        <item x="423"/>
        <item x="337"/>
        <item x="116"/>
        <item x="144"/>
        <item x="376"/>
        <item x="508"/>
        <item x="358"/>
        <item x="4"/>
        <item x="383"/>
        <item x="344"/>
        <item x="287"/>
        <item x="574"/>
        <item x="335"/>
        <item x="16"/>
        <item x="171"/>
        <item x="556"/>
        <item x="21"/>
        <item x="3"/>
        <item x="59"/>
        <item x="49"/>
        <item x="396"/>
        <item x="302"/>
        <item x="341"/>
        <item x="418"/>
        <item x="544"/>
        <item x="550"/>
        <item x="172"/>
        <item x="262"/>
        <item x="336"/>
        <item x="600"/>
        <item x="36"/>
        <item x="557"/>
        <item x="300"/>
        <item x="516"/>
        <item x="29"/>
        <item x="257"/>
        <item x="150"/>
        <item x="198"/>
        <item x="545"/>
        <item x="541"/>
        <item x="481"/>
        <item x="564"/>
        <item x="324"/>
        <item x="537"/>
        <item x="510"/>
        <item x="304"/>
        <item x="403"/>
        <item x="327"/>
        <item x="288"/>
        <item x="430"/>
        <item x="436"/>
        <item x="298"/>
        <item x="575"/>
        <item x="188"/>
        <item x="130"/>
        <item x="591"/>
        <item x="433"/>
        <item x="10"/>
        <item x="320"/>
        <item x="142"/>
        <item x="558"/>
        <item x="515"/>
        <item x="43"/>
        <item x="23"/>
        <item x="388"/>
        <item x="125"/>
        <item x="534"/>
        <item x="322"/>
        <item x="499"/>
        <item x="522"/>
        <item x="455"/>
        <item x="183"/>
        <item x="473"/>
        <item x="328"/>
        <item x="439"/>
        <item x="492"/>
        <item x="382"/>
        <item x="159"/>
        <item x="446"/>
        <item x="415"/>
        <item x="149"/>
        <item x="546"/>
        <item x="339"/>
        <item x="44"/>
        <item x="143"/>
        <item x="549"/>
        <item x="140"/>
        <item x="315"/>
        <item x="18"/>
        <item x="398"/>
        <item x="32"/>
        <item x="95"/>
        <item x="5"/>
        <item x="486"/>
        <item x="279"/>
        <item x="567"/>
        <item x="330"/>
        <item x="434"/>
        <item x="596"/>
        <item x="160"/>
        <item x="529"/>
        <item x="540"/>
        <item x="135"/>
        <item x="54"/>
        <item x="121"/>
        <item x="119"/>
        <item x="84"/>
        <item x="404"/>
        <item x="350"/>
        <item x="355"/>
        <item x="425"/>
        <item x="187"/>
        <item x="185"/>
        <item x="426"/>
        <item x="261"/>
        <item x="104"/>
        <item x="316"/>
        <item x="478"/>
        <item x="111"/>
        <item x="329"/>
        <item x="542"/>
        <item x="80"/>
        <item x="369"/>
        <item x="177"/>
        <item x="155"/>
        <item x="580"/>
        <item x="190"/>
        <item x="520"/>
        <item x="598"/>
        <item x="76"/>
        <item x="64"/>
        <item x="79"/>
        <item x="91"/>
        <item x="246"/>
        <item x="292"/>
        <item x="50"/>
        <item x="331"/>
        <item x="453"/>
        <item x="435"/>
        <item x="354"/>
        <item x="131"/>
        <item x="480"/>
        <item x="294"/>
        <item x="501"/>
        <item x="412"/>
        <item x="521"/>
        <item x="497"/>
        <item x="247"/>
        <item x="278"/>
        <item x="28"/>
        <item x="461"/>
        <item x="444"/>
        <item x="132"/>
        <item x="513"/>
        <item x="148"/>
        <item x="414"/>
        <item x="338"/>
        <item x="234"/>
        <item x="587"/>
        <item x="14"/>
        <item x="342"/>
        <item x="213"/>
        <item x="244"/>
        <item x="392"/>
        <item x="308"/>
        <item x="601"/>
        <item x="15"/>
        <item x="168"/>
        <item x="154"/>
        <item x="420"/>
        <item x="100"/>
        <item x="57"/>
        <item x="416"/>
        <item x="269"/>
        <item x="312"/>
        <item x="310"/>
        <item x="265"/>
        <item x="448"/>
        <item x="196"/>
        <item x="379"/>
        <item x="352"/>
        <item x="241"/>
        <item x="22"/>
        <item x="39"/>
        <item x="251"/>
        <item x="156"/>
        <item x="456"/>
        <item x="303"/>
        <item x="274"/>
        <item x="230"/>
        <item x="528"/>
        <item x="399"/>
        <item x="479"/>
        <item x="393"/>
        <item x="371"/>
        <item x="428"/>
        <item x="483"/>
        <item x="248"/>
        <item x="69"/>
        <item x="200"/>
        <item x="417"/>
        <item x="586"/>
        <item x="179"/>
        <item x="235"/>
        <item x="592"/>
        <item x="255"/>
        <item x="569"/>
        <item x="437"/>
        <item x="482"/>
        <item x="87"/>
        <item x="604"/>
        <item x="597"/>
        <item x="506"/>
        <item x="270"/>
        <item x="33"/>
        <item x="82"/>
        <item x="193"/>
        <item x="561"/>
        <item x="334"/>
        <item x="421"/>
        <item x="239"/>
        <item x="252"/>
        <item x="197"/>
        <item x="163"/>
        <item x="457"/>
        <item x="66"/>
        <item x="86"/>
        <item x="353"/>
        <item x="462"/>
        <item x="212"/>
        <item x="138"/>
        <item x="402"/>
        <item x="466"/>
        <item x="162"/>
        <item x="253"/>
        <item x="305"/>
        <item x="445"/>
        <item x="223"/>
        <item x="258"/>
        <item x="489"/>
        <item x="554"/>
        <item x="301"/>
        <item x="380"/>
        <item x="195"/>
        <item x="133"/>
        <item x="364"/>
        <item x="533"/>
        <item x="348"/>
        <item x="566"/>
        <item x="89"/>
        <item x="61"/>
        <item x="343"/>
        <item x="573"/>
        <item x="438"/>
        <item x="83"/>
        <item x="589"/>
        <item x="531"/>
        <item x="46"/>
        <item x="53"/>
        <item x="373"/>
        <item x="374"/>
        <item x="136"/>
        <item x="282"/>
        <item x="236"/>
        <item x="99"/>
        <item x="583"/>
        <item x="173"/>
        <item x="263"/>
        <item x="485"/>
        <item x="107"/>
        <item x="20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items count="5">
        <item x="3"/>
        <item x="2"/>
        <item x="1"/>
        <item x="0"/>
        <item t="default"/>
      </items>
    </pivotField>
  </pivotFields>
  <rowFields count="1">
    <field x="3"/>
  </rowFields>
  <rowItems count="609">
    <i>
      <x v="121"/>
    </i>
    <i>
      <x v="152"/>
    </i>
    <i>
      <x v="238"/>
    </i>
    <i>
      <x v="354"/>
    </i>
    <i>
      <x v="334"/>
    </i>
    <i>
      <x v="232"/>
    </i>
    <i>
      <x v="258"/>
    </i>
    <i>
      <x v="503"/>
    </i>
    <i>
      <x v="344"/>
    </i>
    <i>
      <x v="425"/>
    </i>
    <i>
      <x v="350"/>
    </i>
    <i>
      <x v="429"/>
    </i>
    <i>
      <x v="153"/>
    </i>
    <i>
      <x v="16"/>
    </i>
    <i>
      <x v="257"/>
    </i>
    <i>
      <x v="250"/>
    </i>
    <i>
      <x v="58"/>
    </i>
    <i>
      <x v="400"/>
    </i>
    <i>
      <x v="287"/>
    </i>
    <i>
      <x v="394"/>
    </i>
    <i>
      <x v="356"/>
    </i>
    <i>
      <x v="315"/>
    </i>
    <i>
      <x v="562"/>
    </i>
    <i>
      <x/>
    </i>
    <i>
      <x v="472"/>
    </i>
    <i>
      <x v="427"/>
    </i>
    <i>
      <x v="111"/>
    </i>
    <i>
      <x v="49"/>
    </i>
    <i>
      <x v="55"/>
    </i>
    <i>
      <x v="496"/>
    </i>
    <i>
      <x v="519"/>
    </i>
    <i>
      <x v="159"/>
    </i>
    <i>
      <x v="546"/>
    </i>
    <i>
      <x v="468"/>
    </i>
    <i>
      <x v="155"/>
    </i>
    <i>
      <x v="353"/>
    </i>
    <i>
      <x v="158"/>
    </i>
    <i>
      <x v="551"/>
    </i>
    <i>
      <x v="171"/>
    </i>
    <i>
      <x v="21"/>
    </i>
    <i>
      <x v="92"/>
    </i>
    <i>
      <x v="242"/>
    </i>
    <i>
      <x v="305"/>
    </i>
    <i>
      <x v="486"/>
    </i>
    <i>
      <x v="371"/>
    </i>
    <i>
      <x v="552"/>
    </i>
    <i>
      <x v="28"/>
    </i>
    <i>
      <x v="245"/>
    </i>
    <i>
      <x v="317"/>
    </i>
    <i>
      <x v="508"/>
    </i>
    <i>
      <x v="274"/>
    </i>
    <i>
      <x v="591"/>
    </i>
    <i>
      <x v="367"/>
    </i>
    <i>
      <x v="458"/>
    </i>
    <i>
      <x v="228"/>
    </i>
    <i>
      <x v="507"/>
    </i>
    <i>
      <x v="520"/>
    </i>
    <i>
      <x v="259"/>
    </i>
    <i>
      <x v="82"/>
    </i>
    <i>
      <x v="563"/>
    </i>
    <i>
      <x v="443"/>
    </i>
    <i>
      <x v="399"/>
    </i>
    <i>
      <x v="204"/>
    </i>
    <i>
      <x v="178"/>
    </i>
    <i>
      <x v="402"/>
    </i>
    <i>
      <x v="420"/>
    </i>
    <i>
      <x v="428"/>
    </i>
    <i>
      <x v="84"/>
    </i>
    <i>
      <x v="72"/>
    </i>
    <i>
      <x v="594"/>
    </i>
    <i>
      <x v="182"/>
    </i>
    <i>
      <x v="67"/>
    </i>
    <i>
      <x v="108"/>
    </i>
    <i>
      <x v="290"/>
    </i>
    <i>
      <x v="452"/>
    </i>
    <i>
      <x v="455"/>
    </i>
    <i>
      <x v="318"/>
    </i>
    <i>
      <x v="595"/>
    </i>
    <i>
      <x v="355"/>
    </i>
    <i>
      <x v="162"/>
    </i>
    <i>
      <x v="440"/>
    </i>
    <i>
      <x v="231"/>
    </i>
    <i>
      <x v="146"/>
    </i>
    <i>
      <x v="142"/>
    </i>
    <i>
      <x v="587"/>
    </i>
    <i>
      <x v="174"/>
    </i>
    <i>
      <x v="264"/>
    </i>
    <i>
      <x v="267"/>
    </i>
    <i>
      <x v="535"/>
    </i>
    <i>
      <x v="467"/>
    </i>
    <i>
      <x v="141"/>
    </i>
    <i>
      <x v="188"/>
    </i>
    <i>
      <x v="222"/>
    </i>
    <i>
      <x v="249"/>
    </i>
    <i>
      <x v="23"/>
    </i>
    <i>
      <x v="319"/>
    </i>
    <i>
      <x v="248"/>
    </i>
    <i>
      <x v="212"/>
    </i>
    <i>
      <x v="194"/>
    </i>
    <i>
      <x v="391"/>
    </i>
    <i>
      <x v="69"/>
    </i>
    <i>
      <x v="268"/>
    </i>
    <i>
      <x v="116"/>
    </i>
    <i>
      <x v="466"/>
    </i>
    <i>
      <x v="63"/>
    </i>
    <i>
      <x v="213"/>
    </i>
    <i>
      <x v="117"/>
    </i>
    <i>
      <x v="201"/>
    </i>
    <i>
      <x v="340"/>
    </i>
    <i>
      <x v="113"/>
    </i>
    <i>
      <x v="586"/>
    </i>
    <i>
      <x v="469"/>
    </i>
    <i>
      <x v="303"/>
    </i>
    <i>
      <x v="132"/>
    </i>
    <i>
      <x v="226"/>
    </i>
    <i>
      <x v="156"/>
    </i>
    <i>
      <x v="42"/>
    </i>
    <i>
      <x v="80"/>
    </i>
    <i>
      <x v="33"/>
    </i>
    <i>
      <x v="601"/>
    </i>
    <i>
      <x v="294"/>
    </i>
    <i>
      <x v="286"/>
    </i>
    <i>
      <x v="265"/>
    </i>
    <i>
      <x v="522"/>
    </i>
    <i>
      <x v="606"/>
    </i>
    <i>
      <x v="221"/>
    </i>
    <i>
      <x v="261"/>
    </i>
    <i>
      <x v="220"/>
    </i>
    <i>
      <x v="461"/>
    </i>
    <i>
      <x v="339"/>
    </i>
    <i>
      <x v="106"/>
    </i>
    <i>
      <x v="1"/>
    </i>
    <i>
      <x v="27"/>
    </i>
    <i>
      <x v="304"/>
    </i>
    <i>
      <x v="442"/>
    </i>
    <i>
      <x v="441"/>
    </i>
    <i>
      <x v="89"/>
    </i>
    <i>
      <x v="491"/>
    </i>
    <i>
      <x v="351"/>
    </i>
    <i>
      <x v="285"/>
    </i>
    <i>
      <x v="81"/>
    </i>
    <i>
      <x v="539"/>
    </i>
    <i>
      <x v="273"/>
    </i>
    <i>
      <x v="118"/>
    </i>
    <i>
      <x v="477"/>
    </i>
    <i>
      <x v="581"/>
    </i>
    <i>
      <x v="598"/>
    </i>
    <i>
      <x v="439"/>
    </i>
    <i>
      <x v="489"/>
    </i>
    <i>
      <x v="122"/>
    </i>
    <i>
      <x v="230"/>
    </i>
    <i>
      <x v="567"/>
    </i>
    <i>
      <x v="553"/>
    </i>
    <i>
      <x v="15"/>
    </i>
    <i>
      <x v="148"/>
    </i>
    <i>
      <x v="423"/>
    </i>
    <i>
      <x v="241"/>
    </i>
    <i>
      <x v="515"/>
    </i>
    <i>
      <x v="396"/>
    </i>
    <i>
      <x v="374"/>
    </i>
    <i>
      <x v="421"/>
    </i>
    <i>
      <x v="131"/>
    </i>
    <i>
      <x v="256"/>
    </i>
    <i>
      <x v="66"/>
    </i>
    <i>
      <x v="25"/>
    </i>
    <i>
      <x v="417"/>
    </i>
    <i>
      <x v="373"/>
    </i>
    <i>
      <x v="566"/>
    </i>
    <i>
      <x v="322"/>
    </i>
    <i>
      <x v="307"/>
    </i>
    <i>
      <x v="8"/>
    </i>
    <i>
      <x v="293"/>
    </i>
    <i>
      <x v="110"/>
    </i>
    <i>
      <x v="168"/>
    </i>
    <i>
      <x v="57"/>
    </i>
    <i>
      <x v="189"/>
    </i>
    <i>
      <x v="505"/>
    </i>
    <i>
      <x v="90"/>
    </i>
    <i>
      <x v="414"/>
    </i>
    <i>
      <x v="436"/>
    </i>
    <i>
      <x v="260"/>
    </i>
    <i>
      <x v="570"/>
    </i>
    <i>
      <x v="560"/>
    </i>
    <i>
      <x v="175"/>
    </i>
    <i>
      <x v="526"/>
    </i>
    <i>
      <x v="54"/>
    </i>
    <i>
      <x v="297"/>
    </i>
    <i>
      <x v="37"/>
    </i>
    <i>
      <x v="504"/>
    </i>
    <i>
      <x v="3"/>
    </i>
    <i>
      <x v="53"/>
    </i>
    <i>
      <x v="363"/>
    </i>
    <i>
      <x v="603"/>
    </i>
    <i>
      <x v="43"/>
    </i>
    <i>
      <x v="26"/>
    </i>
    <i>
      <x v="521"/>
    </i>
    <i>
      <x v="99"/>
    </i>
    <i>
      <x v="167"/>
    </i>
    <i>
      <x v="137"/>
    </i>
    <i>
      <x v="460"/>
    </i>
    <i>
      <x v="278"/>
    </i>
    <i>
      <x v="120"/>
    </i>
    <i>
      <x v="70"/>
    </i>
    <i>
      <x v="97"/>
    </i>
    <i>
      <x v="604"/>
    </i>
    <i>
      <x v="408"/>
    </i>
    <i>
      <x v="103"/>
    </i>
    <i>
      <x v="449"/>
    </i>
    <i>
      <x v="236"/>
    </i>
    <i>
      <x v="448"/>
    </i>
    <i>
      <x v="390"/>
    </i>
    <i>
      <x v="24"/>
    </i>
    <i>
      <x v="463"/>
    </i>
    <i>
      <x v="47"/>
    </i>
    <i>
      <x v="173"/>
    </i>
    <i>
      <x v="580"/>
    </i>
    <i>
      <x v="308"/>
    </i>
    <i>
      <x v="559"/>
    </i>
    <i>
      <x v="31"/>
    </i>
    <i>
      <x v="56"/>
    </i>
    <i>
      <x v="185"/>
    </i>
    <i>
      <x v="536"/>
    </i>
    <i>
      <x v="163"/>
    </i>
    <i>
      <x v="311"/>
    </i>
    <i>
      <x v="266"/>
    </i>
    <i>
      <x v="607"/>
    </i>
    <i>
      <x v="102"/>
    </i>
    <i>
      <x v="306"/>
    </i>
    <i>
      <x v="255"/>
    </i>
    <i>
      <x v="313"/>
    </i>
    <i>
      <x v="75"/>
    </i>
    <i>
      <x v="498"/>
    </i>
    <i>
      <x v="525"/>
    </i>
    <i>
      <x v="39"/>
    </i>
    <i>
      <x v="237"/>
    </i>
    <i>
      <x v="78"/>
    </i>
    <i>
      <x v="574"/>
    </i>
    <i>
      <x v="301"/>
    </i>
    <i>
      <x v="330"/>
    </i>
    <i>
      <x v="197"/>
    </i>
    <i>
      <x v="40"/>
    </i>
    <i>
      <x v="186"/>
    </i>
    <i>
      <x v="347"/>
    </i>
    <i>
      <x v="169"/>
    </i>
    <i>
      <x v="321"/>
    </i>
    <i>
      <x v="199"/>
    </i>
    <i>
      <x v="494"/>
    </i>
    <i>
      <x v="540"/>
    </i>
    <i>
      <x v="600"/>
    </i>
    <i>
      <x v="479"/>
    </i>
    <i>
      <x v="335"/>
    </i>
    <i>
      <x v="68"/>
    </i>
    <i>
      <x v="557"/>
    </i>
    <i>
      <x v="207"/>
    </i>
    <i>
      <x v="9"/>
    </i>
    <i>
      <x v="518"/>
    </i>
    <i>
      <x v="104"/>
    </i>
    <i>
      <x v="572"/>
    </i>
    <i>
      <x v="499"/>
    </i>
    <i>
      <x v="470"/>
    </i>
    <i>
      <x v="484"/>
    </i>
    <i>
      <x v="534"/>
    </i>
    <i>
      <x v="284"/>
    </i>
    <i>
      <x v="331"/>
    </i>
    <i>
      <x v="558"/>
    </i>
    <i>
      <x v="571"/>
    </i>
    <i>
      <x v="193"/>
    </i>
    <i>
      <x v="542"/>
    </i>
    <i>
      <x v="300"/>
    </i>
    <i>
      <x v="312"/>
    </i>
    <i>
      <x v="372"/>
    </i>
    <i>
      <x v="575"/>
    </i>
    <i>
      <x v="61"/>
    </i>
    <i>
      <x v="451"/>
    </i>
    <i>
      <x v="364"/>
    </i>
    <i>
      <x v="513"/>
    </i>
    <i>
      <x v="145"/>
    </i>
    <i>
      <x v="233"/>
    </i>
    <i>
      <x v="209"/>
    </i>
    <i>
      <x v="510"/>
    </i>
    <i>
      <x v="550"/>
    </i>
    <i>
      <x v="271"/>
    </i>
    <i>
      <x v="410"/>
    </i>
    <i>
      <x v="140"/>
    </i>
    <i>
      <x v="59"/>
    </i>
    <i>
      <x v="485"/>
    </i>
    <i>
      <x v="431"/>
    </i>
    <i>
      <x v="154"/>
    </i>
    <i>
      <x v="91"/>
    </i>
    <i>
      <x v="599"/>
    </i>
    <i>
      <x v="128"/>
    </i>
    <i>
      <x v="136"/>
    </i>
    <i>
      <x v="215"/>
    </i>
    <i>
      <x v="385"/>
    </i>
    <i>
      <x v="52"/>
    </i>
    <i>
      <x v="7"/>
    </i>
    <i>
      <x v="262"/>
    </i>
    <i>
      <x v="471"/>
    </i>
    <i>
      <x v="329"/>
    </i>
    <i>
      <x v="101"/>
    </i>
    <i>
      <x v="205"/>
    </i>
    <i>
      <x v="74"/>
    </i>
    <i>
      <x v="388"/>
    </i>
    <i>
      <x v="555"/>
    </i>
    <i>
      <x v="369"/>
    </i>
    <i>
      <x v="578"/>
    </i>
    <i>
      <x v="358"/>
    </i>
    <i>
      <x v="524"/>
    </i>
    <i>
      <x v="382"/>
    </i>
    <i>
      <x v="251"/>
    </i>
    <i>
      <x v="109"/>
    </i>
    <i>
      <x v="501"/>
    </i>
    <i>
      <x v="299"/>
    </i>
    <i>
      <x v="512"/>
    </i>
    <i>
      <x v="139"/>
    </i>
    <i>
      <x v="404"/>
    </i>
    <i>
      <x v="511"/>
    </i>
    <i>
      <x v="338"/>
    </i>
    <i>
      <x v="588"/>
    </i>
    <i>
      <x v="224"/>
    </i>
    <i>
      <x v="272"/>
    </i>
    <i>
      <x v="424"/>
    </i>
    <i>
      <x v="453"/>
    </i>
    <i>
      <x v="187"/>
    </i>
    <i>
      <x v="129"/>
    </i>
    <i>
      <x v="130"/>
    </i>
    <i>
      <x v="395"/>
    </i>
    <i>
      <x v="180"/>
    </i>
    <i>
      <x v="275"/>
    </i>
    <i>
      <x v="379"/>
    </i>
    <i>
      <x v="203"/>
    </i>
    <i>
      <x v="384"/>
    </i>
    <i>
      <x v="349"/>
    </i>
    <i>
      <x v="456"/>
    </i>
    <i>
      <x v="433"/>
    </i>
    <i>
      <x v="346"/>
    </i>
    <i>
      <x v="473"/>
    </i>
    <i>
      <x v="192"/>
    </i>
    <i>
      <x v="32"/>
    </i>
    <i>
      <x v="365"/>
    </i>
    <i>
      <x v="493"/>
    </i>
    <i>
      <x v="50"/>
    </i>
    <i>
      <x v="419"/>
    </i>
    <i>
      <x v="4"/>
    </i>
    <i>
      <x v="359"/>
    </i>
    <i>
      <x v="497"/>
    </i>
    <i>
      <x v="29"/>
    </i>
    <i>
      <x v="445"/>
    </i>
    <i>
      <x v="476"/>
    </i>
    <i>
      <x v="48"/>
    </i>
    <i>
      <x v="51"/>
    </i>
    <i>
      <x v="584"/>
    </i>
    <i>
      <x v="88"/>
    </i>
    <i>
      <x v="296"/>
    </i>
    <i>
      <x v="459"/>
    </i>
    <i>
      <x v="517"/>
    </i>
    <i>
      <x v="564"/>
    </i>
    <i>
      <x v="446"/>
    </i>
    <i>
      <x v="596"/>
    </i>
    <i>
      <x v="295"/>
    </i>
    <i>
      <x v="333"/>
    </i>
    <i>
      <x v="343"/>
    </i>
    <i>
      <x v="202"/>
    </i>
    <i>
      <x v="119"/>
    </i>
    <i>
      <x v="157"/>
    </i>
    <i>
      <x v="582"/>
    </i>
    <i>
      <x v="244"/>
    </i>
    <i>
      <x v="270"/>
    </i>
    <i>
      <x v="83"/>
    </i>
    <i>
      <x v="225"/>
    </i>
    <i>
      <x v="107"/>
    </i>
    <i>
      <x v="149"/>
    </i>
    <i>
      <x v="531"/>
    </i>
    <i>
      <x v="134"/>
    </i>
    <i>
      <x v="597"/>
    </i>
    <i>
      <x v="328"/>
    </i>
    <i>
      <x v="341"/>
    </i>
    <i>
      <x v="112"/>
    </i>
    <i>
      <x v="516"/>
    </i>
    <i>
      <x v="181"/>
    </i>
    <i>
      <x v="579"/>
    </i>
    <i>
      <x v="126"/>
    </i>
    <i>
      <x v="413"/>
    </i>
    <i>
      <x v="345"/>
    </i>
    <i>
      <x v="235"/>
    </i>
    <i>
      <x v="45"/>
    </i>
    <i>
      <x v="19"/>
    </i>
    <i>
      <x v="46"/>
    </i>
    <i>
      <x v="327"/>
    </i>
    <i>
      <x v="401"/>
    </i>
    <i>
      <x v="309"/>
    </i>
    <i>
      <x v="5"/>
    </i>
    <i>
      <x v="143"/>
    </i>
    <i>
      <x v="500"/>
    </i>
    <i>
      <x v="530"/>
    </i>
    <i>
      <x v="17"/>
    </i>
    <i>
      <x v="71"/>
    </i>
    <i>
      <x v="537"/>
    </i>
    <i>
      <x v="357"/>
    </i>
    <i>
      <x v="138"/>
    </i>
    <i>
      <x v="426"/>
    </i>
    <i>
      <x v="528"/>
    </i>
    <i>
      <x v="64"/>
    </i>
    <i>
      <x v="150"/>
    </i>
    <i>
      <x v="568"/>
    </i>
    <i>
      <x v="383"/>
    </i>
    <i>
      <x v="444"/>
    </i>
    <i>
      <x v="254"/>
    </i>
    <i>
      <x v="195"/>
    </i>
    <i>
      <x v="214"/>
    </i>
    <i>
      <x v="337"/>
    </i>
    <i>
      <x v="85"/>
    </i>
    <i>
      <x v="100"/>
    </i>
    <i>
      <x v="324"/>
    </i>
    <i>
      <x v="481"/>
    </i>
    <i>
      <x v="532"/>
    </i>
    <i>
      <x v="41"/>
    </i>
    <i>
      <x v="492"/>
    </i>
    <i>
      <x v="416"/>
    </i>
    <i>
      <x v="450"/>
    </i>
    <i>
      <x v="509"/>
    </i>
    <i>
      <x v="360"/>
    </i>
    <i>
      <x v="239"/>
    </i>
    <i>
      <x v="123"/>
    </i>
    <i>
      <x v="506"/>
    </i>
    <i>
      <x v="556"/>
    </i>
    <i>
      <x v="105"/>
    </i>
    <i>
      <x v="10"/>
    </i>
    <i>
      <x v="65"/>
    </i>
    <i>
      <x v="447"/>
    </i>
    <i>
      <x v="289"/>
    </i>
    <i>
      <x v="415"/>
    </i>
    <i>
      <x v="393"/>
    </i>
    <i>
      <x v="229"/>
    </i>
    <i>
      <x v="386"/>
    </i>
    <i>
      <x v="115"/>
    </i>
    <i>
      <x v="302"/>
    </i>
    <i>
      <x v="434"/>
    </i>
    <i>
      <x v="475"/>
    </i>
    <i>
      <x v="411"/>
    </i>
    <i>
      <x v="387"/>
    </i>
    <i>
      <x v="544"/>
    </i>
    <i>
      <x v="590"/>
    </i>
    <i>
      <x v="263"/>
    </i>
    <i>
      <x v="292"/>
    </i>
    <i>
      <x v="79"/>
    </i>
    <i>
      <x v="488"/>
    </i>
    <i>
      <x v="573"/>
    </i>
    <i>
      <x v="77"/>
    </i>
    <i>
      <x v="323"/>
    </i>
    <i>
      <x v="514"/>
    </i>
    <i>
      <x v="325"/>
    </i>
    <i>
      <x v="288"/>
    </i>
    <i>
      <x v="6"/>
    </i>
    <i>
      <x v="177"/>
    </i>
    <i>
      <x v="191"/>
    </i>
    <i>
      <x v="474"/>
    </i>
    <i>
      <x v="407"/>
    </i>
    <i>
      <x v="523"/>
    </i>
    <i>
      <x v="561"/>
    </i>
    <i>
      <x v="240"/>
    </i>
    <i>
      <x v="336"/>
    </i>
    <i>
      <x v="164"/>
    </i>
    <i>
      <x v="487"/>
    </i>
    <i>
      <x v="565"/>
    </i>
    <i>
      <x v="277"/>
    </i>
    <i>
      <x v="243"/>
    </i>
    <i>
      <x v="569"/>
    </i>
    <i>
      <x v="11"/>
    </i>
    <i>
      <x v="454"/>
    </i>
    <i>
      <x v="62"/>
    </i>
    <i>
      <x v="36"/>
    </i>
    <i>
      <x v="161"/>
    </i>
    <i>
      <x v="93"/>
    </i>
    <i>
      <x v="409"/>
    </i>
    <i>
      <x v="2"/>
    </i>
    <i>
      <x v="166"/>
    </i>
    <i>
      <x v="151"/>
    </i>
    <i>
      <x v="114"/>
    </i>
    <i>
      <x v="529"/>
    </i>
    <i>
      <x v="478"/>
    </i>
    <i>
      <x v="377"/>
    </i>
    <i>
      <x v="545"/>
    </i>
    <i>
      <x v="533"/>
    </i>
    <i>
      <x v="219"/>
    </i>
    <i>
      <x v="605"/>
    </i>
    <i>
      <x v="430"/>
    </i>
    <i>
      <x v="211"/>
    </i>
    <i>
      <x v="20"/>
    </i>
    <i>
      <x v="576"/>
    </i>
    <i>
      <x v="98"/>
    </i>
    <i>
      <x v="86"/>
    </i>
    <i>
      <x v="412"/>
    </i>
    <i>
      <x v="183"/>
    </i>
    <i>
      <x v="144"/>
    </i>
    <i>
      <x v="125"/>
    </i>
    <i>
      <x v="30"/>
    </i>
    <i>
      <x v="405"/>
    </i>
    <i>
      <x v="184"/>
    </i>
    <i>
      <x v="483"/>
    </i>
    <i>
      <x v="196"/>
    </i>
    <i>
      <x v="281"/>
    </i>
    <i>
      <x v="480"/>
    </i>
    <i>
      <x v="14"/>
    </i>
    <i>
      <x v="279"/>
    </i>
    <i>
      <x v="198"/>
    </i>
    <i>
      <x v="549"/>
    </i>
    <i>
      <x v="190"/>
    </i>
    <i>
      <x v="246"/>
    </i>
    <i>
      <x v="342"/>
    </i>
    <i>
      <x v="179"/>
    </i>
    <i>
      <x v="381"/>
    </i>
    <i>
      <x v="280"/>
    </i>
    <i>
      <x v="398"/>
    </i>
    <i>
      <x v="60"/>
    </i>
    <i>
      <x v="490"/>
    </i>
    <i>
      <x v="133"/>
    </i>
    <i>
      <x v="12"/>
    </i>
    <i>
      <x v="170"/>
    </i>
    <i>
      <x v="370"/>
    </i>
    <i>
      <x v="35"/>
    </i>
    <i>
      <x v="216"/>
    </i>
    <i>
      <x v="464"/>
    </i>
    <i>
      <x v="482"/>
    </i>
    <i>
      <x v="406"/>
    </i>
    <i>
      <x v="76"/>
    </i>
    <i>
      <x v="326"/>
    </i>
    <i>
      <x v="283"/>
    </i>
    <i>
      <x v="437"/>
    </i>
    <i>
      <x v="527"/>
    </i>
    <i>
      <x v="593"/>
    </i>
    <i>
      <x v="234"/>
    </i>
    <i>
      <x v="253"/>
    </i>
    <i>
      <x v="403"/>
    </i>
    <i>
      <x v="583"/>
    </i>
    <i>
      <x v="380"/>
    </i>
    <i>
      <x v="438"/>
    </i>
    <i>
      <x v="172"/>
    </i>
    <i>
      <x v="44"/>
    </i>
    <i>
      <x v="200"/>
    </i>
    <i>
      <x v="34"/>
    </i>
    <i>
      <x v="376"/>
    </i>
    <i>
      <x v="457"/>
    </i>
    <i>
      <x v="316"/>
    </i>
    <i>
      <x v="362"/>
    </i>
    <i>
      <x v="361"/>
    </i>
    <i>
      <x v="422"/>
    </i>
    <i>
      <x v="320"/>
    </i>
    <i>
      <x v="375"/>
    </i>
    <i>
      <x v="418"/>
    </i>
    <i>
      <x v="223"/>
    </i>
    <i>
      <x v="208"/>
    </i>
    <i>
      <x v="147"/>
    </i>
    <i>
      <x v="127"/>
    </i>
    <i>
      <x v="332"/>
    </i>
    <i>
      <x v="366"/>
    </i>
    <i>
      <x v="589"/>
    </i>
    <i>
      <x v="495"/>
    </i>
    <i>
      <x v="543"/>
    </i>
    <i>
      <x v="389"/>
    </i>
    <i>
      <x v="392"/>
    </i>
    <i>
      <x v="368"/>
    </i>
    <i>
      <x v="548"/>
    </i>
    <i>
      <x v="541"/>
    </i>
    <i>
      <x v="592"/>
    </i>
    <i>
      <x v="432"/>
    </i>
    <i>
      <x v="352"/>
    </i>
    <i>
      <x v="465"/>
    </i>
    <i>
      <x v="397"/>
    </i>
    <i>
      <x v="435"/>
    </i>
    <i>
      <x v="378"/>
    </i>
    <i>
      <x v="310"/>
    </i>
    <i>
      <x v="602"/>
    </i>
    <i>
      <x v="462"/>
    </i>
    <i>
      <x v="348"/>
    </i>
    <i>
      <x v="554"/>
    </i>
    <i>
      <x v="538"/>
    </i>
    <i>
      <x v="314"/>
    </i>
    <i>
      <x v="585"/>
    </i>
    <i>
      <x v="547"/>
    </i>
    <i>
      <x v="502"/>
    </i>
    <i>
      <x v="577"/>
    </i>
    <i>
      <x v="206"/>
    </i>
    <i>
      <x v="94"/>
    </i>
    <i>
      <x v="269"/>
    </i>
    <i>
      <x v="247"/>
    </i>
    <i>
      <x v="291"/>
    </i>
    <i>
      <x v="13"/>
    </i>
    <i>
      <x v="38"/>
    </i>
    <i>
      <x v="73"/>
    </i>
    <i>
      <x v="22"/>
    </i>
    <i>
      <x v="282"/>
    </i>
    <i>
      <x v="18"/>
    </i>
    <i>
      <x v="160"/>
    </i>
    <i>
      <x v="165"/>
    </i>
    <i>
      <x v="217"/>
    </i>
    <i>
      <x v="252"/>
    </i>
    <i>
      <x v="218"/>
    </i>
    <i>
      <x v="276"/>
    </i>
    <i>
      <x v="96"/>
    </i>
    <i>
      <x v="298"/>
    </i>
    <i>
      <x v="176"/>
    </i>
    <i>
      <x v="210"/>
    </i>
    <i>
      <x v="135"/>
    </i>
    <i>
      <x v="227"/>
    </i>
    <i>
      <x v="124"/>
    </i>
    <i>
      <x v="87"/>
    </i>
    <i>
      <x v="95"/>
    </i>
    <i t="grand">
      <x/>
    </i>
  </rowItems>
  <colItems count="1">
    <i/>
  </colItems>
  <dataFields count="1">
    <dataField name="Sum of Videos_created" fld="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rality" xr10:uid="{062CF8DD-6997-4DBF-980A-C44927117233}" sourceName="virality">
  <pivotTables>
    <pivotTable tabId="11" name="PivotTable12"/>
    <pivotTable tabId="11" name="PivotTable11"/>
    <pivotTable tabId="11" name="PivotTable13"/>
    <pivotTable tabId="11" name="PivotTable14"/>
    <pivotTable tabId="11" name="PivotTable15"/>
    <pivotTable tabId="11" name="PivotTable16"/>
    <pivotTable tabId="11" name="PivotTable2"/>
    <pivotTable tabId="11" name="PivotTable3"/>
    <pivotTable tabId="11" name="PivotTable4"/>
  </pivotTables>
  <data>
    <tabular pivotCacheId="649819528">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of_release" xr10:uid="{BC7E9566-3CF6-4F85-BE99-12919E12759C}" sourceName="Year_of_release">
  <pivotTables>
    <pivotTable tabId="11" name="PivotTable3"/>
    <pivotTable tabId="11" name="PivotTable11"/>
    <pivotTable tabId="11" name="PivotTable12"/>
    <pivotTable tabId="11" name="PivotTable13"/>
    <pivotTable tabId="11" name="PivotTable14"/>
    <pivotTable tabId="11" name="PivotTable15"/>
    <pivotTable tabId="11" name="PivotTable16"/>
    <pivotTable tabId="11" name="PivotTable2"/>
    <pivotTable tabId="11" name="PivotTable4"/>
  </pivotTables>
  <data>
    <tabular pivotCacheId="649819528">
      <items count="4">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ng_Performance" xr10:uid="{A4C17821-C0B0-4D6B-A45A-D6C47F69266A}" sourceName="Song Performance">
  <pivotTables>
    <pivotTable tabId="11" name="PivotTable3"/>
    <pivotTable tabId="11" name="PivotTable11"/>
    <pivotTable tabId="11" name="PivotTable12"/>
    <pivotTable tabId="11" name="PivotTable13"/>
    <pivotTable tabId="11" name="PivotTable14"/>
    <pivotTable tabId="11" name="PivotTable15"/>
    <pivotTable tabId="11" name="PivotTable16"/>
    <pivotTable tabId="11" name="PivotTable2"/>
    <pivotTable tabId="11" name="PivotTable4"/>
  </pivotTables>
  <data>
    <tabular pivotCacheId="649819528">
      <items count="4">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irality" xr10:uid="{90FDEC31-FC0C-4D07-8BCB-839AE8A4FB5E}" cache="Slicer_virality" caption="virality" columnCount="2" style="SlicerStyleDark1 2" rowHeight="241300"/>
  <slicer name="Year_of_release" xr10:uid="{B59370C8-C2CF-4007-A332-33BBEA9F28F8}" cache="Slicer_Year_of_release" caption="Year_of_release" columnCount="2" style="SlicerStyleDark1 2" rowHeight="241300"/>
  <slicer name="Song Performance" xr10:uid="{1E5D69BA-EED7-4D5B-A9D3-0EAEACDDA5A7}" cache="Slicer_Song_Performance" caption="Performance" columnCount="2" style="SlicerStyleDark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3.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2D619-4A2F-4412-90E5-DEDE985C8D1A}">
  <sheetPr codeName="Sheet5">
    <pageSetUpPr autoPageBreaks="0"/>
  </sheetPr>
  <dimension ref="A1:BF47"/>
  <sheetViews>
    <sheetView showGridLines="0" showRowColHeaders="0" tabSelected="1" zoomScale="125" zoomScaleNormal="125" workbookViewId="0">
      <selection activeCell="X11" sqref="X11"/>
    </sheetView>
  </sheetViews>
  <sheetFormatPr defaultColWidth="9.140625" defaultRowHeight="14.25"/>
  <cols>
    <col min="1" max="1" width="1.42578125" style="4" customWidth="1"/>
    <col min="2" max="4" width="8.5703125" style="4" customWidth="1"/>
    <col min="5" max="5" width="1.42578125" style="4" customWidth="1"/>
    <col min="6" max="9" width="8.5703125" style="4" customWidth="1"/>
    <col min="10" max="10" width="1.42578125" style="4" customWidth="1"/>
    <col min="11" max="12" width="8.5703125" style="4" customWidth="1"/>
    <col min="13" max="13" width="1.42578125" style="4" customWidth="1"/>
    <col min="14" max="15" width="8.5703125" style="4" customWidth="1"/>
    <col min="16" max="16" width="1.42578125" style="4" customWidth="1"/>
    <col min="17" max="23" width="8.5703125" style="4" customWidth="1"/>
    <col min="24" max="24" width="1.42578125" style="4" customWidth="1"/>
    <col min="25" max="26" width="8.5703125" style="4" customWidth="1"/>
    <col min="27" max="28" width="9.140625" style="4"/>
    <col min="29" max="29" width="9.42578125" style="4" customWidth="1"/>
    <col min="30" max="30" width="9.140625" style="4"/>
    <col min="31" max="31" width="1.42578125" style="4" customWidth="1"/>
    <col min="32" max="16384" width="9.140625" style="4"/>
  </cols>
  <sheetData>
    <row r="1" spans="1:58" ht="8.1" customHeight="1">
      <c r="A1" s="3" t="s">
        <v>26</v>
      </c>
      <c r="B1" s="3"/>
      <c r="C1" s="3"/>
      <c r="D1" s="3"/>
      <c r="E1" s="3"/>
      <c r="F1" s="3"/>
      <c r="G1" s="3"/>
      <c r="H1" s="3"/>
      <c r="I1" s="3"/>
      <c r="J1" s="3"/>
      <c r="K1" s="3"/>
      <c r="L1" s="3"/>
      <c r="M1" s="3"/>
      <c r="N1" s="3"/>
      <c r="O1" s="3"/>
      <c r="P1" s="3"/>
      <c r="Q1" s="3"/>
      <c r="R1" s="3"/>
      <c r="S1" s="3"/>
      <c r="T1" s="3"/>
      <c r="U1" s="3"/>
      <c r="V1" s="3"/>
      <c r="W1" s="3"/>
      <c r="X1" s="3"/>
      <c r="Y1" s="3"/>
      <c r="Z1" s="3"/>
      <c r="AA1" s="3"/>
      <c r="AB1" s="3"/>
      <c r="AC1" s="3"/>
      <c r="AD1" s="3"/>
      <c r="AE1" s="3" t="s">
        <v>24</v>
      </c>
    </row>
    <row r="2" spans="1:58" ht="15" customHeight="1">
      <c r="A2" s="3"/>
      <c r="B2" s="5"/>
      <c r="C2" s="5"/>
      <c r="D2" s="5"/>
      <c r="E2" s="5"/>
      <c r="F2" s="5"/>
      <c r="G2" s="5"/>
      <c r="H2" s="30" t="s">
        <v>23</v>
      </c>
      <c r="I2" s="30"/>
      <c r="J2" s="30"/>
      <c r="K2" s="30"/>
      <c r="L2" s="30"/>
      <c r="M2" s="30"/>
      <c r="N2" s="30"/>
      <c r="O2" s="30"/>
      <c r="P2" s="30"/>
      <c r="Q2" s="30"/>
      <c r="R2" s="5"/>
      <c r="S2" s="5"/>
      <c r="T2" s="5"/>
      <c r="U2" s="5"/>
      <c r="V2" s="5"/>
      <c r="W2" s="5"/>
      <c r="X2" s="5"/>
      <c r="Y2" s="20" t="s">
        <v>1852</v>
      </c>
      <c r="Z2" s="20"/>
      <c r="AA2" s="20"/>
      <c r="AB2" s="19">
        <v>45018.914305555554</v>
      </c>
      <c r="AC2" s="19"/>
      <c r="AD2" s="19"/>
      <c r="AE2" s="3"/>
    </row>
    <row r="3" spans="1:58" ht="15" customHeight="1">
      <c r="A3" s="3"/>
      <c r="B3" s="5"/>
      <c r="C3" s="5"/>
      <c r="D3" s="5"/>
      <c r="E3" s="5"/>
      <c r="F3" s="5"/>
      <c r="G3" s="5"/>
      <c r="H3" s="30"/>
      <c r="I3" s="30"/>
      <c r="J3" s="30"/>
      <c r="K3" s="30"/>
      <c r="L3" s="30"/>
      <c r="M3" s="30"/>
      <c r="N3" s="30"/>
      <c r="O3" s="30"/>
      <c r="P3" s="30"/>
      <c r="Q3" s="30"/>
      <c r="R3" s="5"/>
      <c r="S3" s="5"/>
      <c r="T3" s="5"/>
      <c r="U3" s="5"/>
      <c r="V3" s="5"/>
      <c r="W3" s="5"/>
      <c r="X3" s="5"/>
      <c r="Y3" s="20"/>
      <c r="Z3" s="20"/>
      <c r="AA3" s="20"/>
      <c r="AB3" s="19"/>
      <c r="AC3" s="19"/>
      <c r="AD3" s="19"/>
      <c r="AE3" s="3"/>
    </row>
    <row r="4" spans="1:58" ht="15" customHeight="1">
      <c r="A4" s="3"/>
      <c r="B4" s="5"/>
      <c r="C4" s="5"/>
      <c r="D4" s="5"/>
      <c r="E4" s="5"/>
      <c r="F4" s="5"/>
      <c r="G4" s="5"/>
      <c r="H4" s="30"/>
      <c r="I4" s="30"/>
      <c r="J4" s="30"/>
      <c r="K4" s="30"/>
      <c r="L4" s="30"/>
      <c r="M4" s="30"/>
      <c r="N4" s="30"/>
      <c r="O4" s="30"/>
      <c r="P4" s="30"/>
      <c r="Q4" s="30"/>
      <c r="R4" s="5"/>
      <c r="S4" s="5"/>
      <c r="T4" s="5"/>
      <c r="U4" s="5"/>
      <c r="V4" s="5"/>
      <c r="W4" s="5"/>
      <c r="X4" s="5"/>
      <c r="Y4" s="20"/>
      <c r="Z4" s="20"/>
      <c r="AA4" s="20"/>
      <c r="AB4" s="19"/>
      <c r="AC4" s="19"/>
      <c r="AD4" s="19"/>
      <c r="AE4" s="3"/>
    </row>
    <row r="5" spans="1:58" ht="7.5" customHeight="1">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row>
    <row r="6" spans="1:58" ht="15" customHeight="1">
      <c r="A6" s="3"/>
      <c r="B6" s="6"/>
      <c r="C6" s="6"/>
      <c r="D6" s="6"/>
      <c r="E6" s="3"/>
      <c r="F6" s="21" t="s">
        <v>37</v>
      </c>
      <c r="G6" s="22"/>
      <c r="H6" s="22"/>
      <c r="I6" s="22"/>
      <c r="J6" s="9"/>
      <c r="K6" s="21" t="s">
        <v>1855</v>
      </c>
      <c r="L6" s="22"/>
      <c r="M6" s="22"/>
      <c r="N6" s="22"/>
      <c r="O6" s="5"/>
      <c r="P6" s="3"/>
      <c r="Q6" s="21" t="s">
        <v>1856</v>
      </c>
      <c r="R6" s="22"/>
      <c r="S6" s="22"/>
      <c r="T6" s="22"/>
      <c r="U6" s="5"/>
      <c r="V6" s="5"/>
      <c r="W6" s="5"/>
      <c r="X6" s="3"/>
      <c r="Y6" s="31" t="s">
        <v>32</v>
      </c>
      <c r="Z6" s="31"/>
      <c r="AA6" s="31"/>
      <c r="AB6" s="31"/>
      <c r="AC6" s="31"/>
      <c r="AD6" s="31"/>
      <c r="AE6" s="3"/>
    </row>
    <row r="7" spans="1:58" ht="15" customHeight="1">
      <c r="A7" s="3"/>
      <c r="B7" s="6"/>
      <c r="C7" s="6"/>
      <c r="D7" s="6"/>
      <c r="E7" s="3"/>
      <c r="F7" s="21"/>
      <c r="G7" s="22"/>
      <c r="H7" s="22"/>
      <c r="I7" s="22"/>
      <c r="J7" s="9"/>
      <c r="K7" s="21"/>
      <c r="L7" s="22"/>
      <c r="M7" s="22"/>
      <c r="N7" s="22"/>
      <c r="O7" s="5"/>
      <c r="P7" s="3"/>
      <c r="Q7" s="21"/>
      <c r="R7" s="22"/>
      <c r="S7" s="22"/>
      <c r="T7" s="22"/>
      <c r="U7" s="5"/>
      <c r="V7" s="5"/>
      <c r="W7" s="5"/>
      <c r="X7" s="3"/>
      <c r="Y7" s="31"/>
      <c r="Z7" s="31"/>
      <c r="AA7" s="31"/>
      <c r="AB7" s="31"/>
      <c r="AC7" s="31"/>
      <c r="AD7" s="31"/>
      <c r="AE7" s="3"/>
    </row>
    <row r="8" spans="1:58" ht="15" customHeight="1">
      <c r="A8" s="3"/>
      <c r="B8" s="6"/>
      <c r="C8" s="6"/>
      <c r="D8" s="6"/>
      <c r="E8" s="3"/>
      <c r="J8" s="3"/>
      <c r="K8" s="24" t="s">
        <v>39</v>
      </c>
      <c r="L8" s="18" t="str">
        <f ca="1">OFFSET(Graphs!$P$20,1,0)</f>
        <v>Conkarah</v>
      </c>
      <c r="M8" s="18"/>
      <c r="N8" s="18"/>
      <c r="O8" s="18"/>
      <c r="P8" s="3"/>
      <c r="Q8" s="17" t="s">
        <v>39</v>
      </c>
      <c r="R8" s="35" t="str">
        <f ca="1">OFFSET(Graphs!$M$20,1,0)</f>
        <v>Banana (feat. Shaggy) - DJ FLe - Minisiren Remix</v>
      </c>
      <c r="S8" s="35"/>
      <c r="T8" s="35"/>
      <c r="U8" s="35"/>
      <c r="V8" s="35"/>
      <c r="W8" s="35"/>
      <c r="X8" s="3"/>
      <c r="Y8" s="33" t="s">
        <v>1868</v>
      </c>
      <c r="Z8" s="34"/>
      <c r="AA8" s="34"/>
      <c r="AB8" s="12" t="s">
        <v>1869</v>
      </c>
      <c r="AC8" s="13"/>
      <c r="AD8" s="13"/>
      <c r="AE8" s="3"/>
    </row>
    <row r="9" spans="1:58" ht="15" customHeight="1">
      <c r="A9" s="3"/>
      <c r="B9" s="6"/>
      <c r="C9" s="6"/>
      <c r="D9" s="6"/>
      <c r="E9" s="3"/>
      <c r="J9" s="3"/>
      <c r="K9" s="24"/>
      <c r="L9" s="18"/>
      <c r="M9" s="18"/>
      <c r="N9" s="18"/>
      <c r="O9" s="18"/>
      <c r="P9" s="3"/>
      <c r="Q9" s="17"/>
      <c r="R9" s="35"/>
      <c r="S9" s="35"/>
      <c r="T9" s="35"/>
      <c r="U9" s="35"/>
      <c r="V9" s="35"/>
      <c r="W9" s="35"/>
      <c r="X9" s="3"/>
      <c r="Y9" s="34"/>
      <c r="Z9" s="34"/>
      <c r="AA9" s="34"/>
      <c r="AB9" s="13"/>
      <c r="AC9" s="13"/>
      <c r="AD9" s="13"/>
      <c r="AE9" s="3"/>
    </row>
    <row r="10" spans="1:58" ht="15" customHeight="1">
      <c r="A10" s="3"/>
      <c r="B10" s="6"/>
      <c r="C10" s="6"/>
      <c r="D10" s="6"/>
      <c r="E10" s="3"/>
      <c r="J10" s="3"/>
      <c r="K10" s="24" t="s">
        <v>40</v>
      </c>
      <c r="L10" s="18" t="str">
        <f ca="1">OFFSET(Graphs!$P$20,2,0)</f>
        <v>Doja Cat</v>
      </c>
      <c r="M10" s="18"/>
      <c r="N10" s="18"/>
      <c r="O10" s="18"/>
      <c r="P10" s="3"/>
      <c r="Q10" s="17" t="s">
        <v>40</v>
      </c>
      <c r="R10" s="35" t="str">
        <f ca="1">OFFSET(Graphs!$M$20,2,0)</f>
        <v>Laxed â€“ Siren Beat</v>
      </c>
      <c r="S10" s="35"/>
      <c r="T10" s="35"/>
      <c r="U10" s="35"/>
      <c r="V10" s="35"/>
      <c r="W10" s="35"/>
      <c r="X10" s="3"/>
      <c r="Y10" s="25" t="s">
        <v>45</v>
      </c>
      <c r="Z10" s="26"/>
      <c r="AA10" s="26"/>
      <c r="AB10" s="27" t="s">
        <v>44</v>
      </c>
      <c r="AC10" s="27"/>
      <c r="AD10" s="27"/>
      <c r="AE10" s="3"/>
    </row>
    <row r="11" spans="1:58" ht="15" customHeight="1">
      <c r="A11" s="3"/>
      <c r="B11" s="6"/>
      <c r="C11" s="6"/>
      <c r="D11" s="6"/>
      <c r="E11" s="3"/>
      <c r="J11" s="3"/>
      <c r="K11" s="24"/>
      <c r="L11" s="18"/>
      <c r="M11" s="18"/>
      <c r="N11" s="18"/>
      <c r="O11" s="18"/>
      <c r="P11" s="3"/>
      <c r="Q11" s="17"/>
      <c r="R11" s="35"/>
      <c r="S11" s="35"/>
      <c r="T11" s="35"/>
      <c r="U11" s="35"/>
      <c r="V11" s="35"/>
      <c r="W11" s="35"/>
      <c r="X11" s="3"/>
      <c r="Y11" s="5"/>
      <c r="Z11" s="5"/>
      <c r="AA11" s="5"/>
      <c r="AE11" s="3"/>
    </row>
    <row r="12" spans="1:58" ht="15" customHeight="1">
      <c r="A12" s="3"/>
      <c r="B12" s="6"/>
      <c r="C12" s="6"/>
      <c r="D12" s="6"/>
      <c r="E12" s="3"/>
      <c r="J12" s="3"/>
      <c r="K12" s="24" t="s">
        <v>41</v>
      </c>
      <c r="L12" s="18" t="str">
        <f ca="1">OFFSET(Graphs!$P$20,3,0)</f>
        <v>Jawsh 685</v>
      </c>
      <c r="M12" s="18"/>
      <c r="N12" s="18"/>
      <c r="O12" s="18"/>
      <c r="P12" s="3"/>
      <c r="Q12" s="17" t="s">
        <v>41</v>
      </c>
      <c r="R12" s="35" t="str">
        <f ca="1">OFFSET(Graphs!$M$20,3,0)</f>
        <v>Savage</v>
      </c>
      <c r="S12" s="35"/>
      <c r="T12" s="35"/>
      <c r="U12" s="35"/>
      <c r="V12" s="35"/>
      <c r="W12" s="35"/>
      <c r="X12" s="3"/>
      <c r="Y12" s="5"/>
      <c r="Z12" s="28" t="s">
        <v>18</v>
      </c>
      <c r="AA12" s="28"/>
      <c r="AB12" s="29" t="s">
        <v>17</v>
      </c>
      <c r="AC12" s="29"/>
      <c r="AD12" s="29"/>
      <c r="AE12" s="3"/>
    </row>
    <row r="13" spans="1:58" ht="15" customHeight="1">
      <c r="A13" s="3"/>
      <c r="B13" s="6"/>
      <c r="C13" s="6"/>
      <c r="D13" s="6"/>
      <c r="E13" s="3"/>
      <c r="J13" s="3"/>
      <c r="K13" s="24"/>
      <c r="L13" s="18"/>
      <c r="M13" s="18"/>
      <c r="N13" s="18"/>
      <c r="O13" s="18"/>
      <c r="P13" s="3"/>
      <c r="Q13" s="17"/>
      <c r="R13" s="35"/>
      <c r="S13" s="35"/>
      <c r="T13" s="35"/>
      <c r="U13" s="35"/>
      <c r="V13" s="35"/>
      <c r="W13" s="35"/>
      <c r="X13" s="3"/>
      <c r="Y13" s="5"/>
      <c r="Z13" s="28"/>
      <c r="AA13" s="28"/>
      <c r="AB13" s="29"/>
      <c r="AC13" s="29"/>
      <c r="AD13" s="29"/>
      <c r="AE13" s="3"/>
    </row>
    <row r="14" spans="1:58" ht="15" customHeight="1">
      <c r="A14" s="3"/>
      <c r="B14" s="6"/>
      <c r="C14" s="6"/>
      <c r="D14" s="6"/>
      <c r="E14" s="3"/>
      <c r="J14" s="3"/>
      <c r="K14" s="24" t="s">
        <v>42</v>
      </c>
      <c r="L14" s="18" t="str">
        <f ca="1">OFFSET(Graphs!$P$20,4,0)</f>
        <v>Megan Thee Stallion</v>
      </c>
      <c r="M14" s="18"/>
      <c r="N14" s="18"/>
      <c r="O14" s="18"/>
      <c r="P14" s="3"/>
      <c r="Q14" s="17" t="s">
        <v>42</v>
      </c>
      <c r="R14" s="35" t="str">
        <f ca="1">OFFSET(Graphs!$M$20,4,0)</f>
        <v>Say So</v>
      </c>
      <c r="S14" s="35"/>
      <c r="T14" s="35"/>
      <c r="U14" s="35"/>
      <c r="V14" s="35"/>
      <c r="W14" s="35"/>
      <c r="X14" s="3"/>
      <c r="Y14" s="5"/>
      <c r="Z14" s="28"/>
      <c r="AA14" s="28"/>
      <c r="AB14" s="29"/>
      <c r="AC14" s="29"/>
      <c r="AD14" s="29"/>
      <c r="AE14" s="3"/>
      <c r="AY14" s="7"/>
      <c r="AZ14" s="7"/>
      <c r="BA14" s="7"/>
    </row>
    <row r="15" spans="1:58" ht="15" customHeight="1">
      <c r="A15" s="3"/>
      <c r="B15" s="6"/>
      <c r="C15" s="6"/>
      <c r="D15" s="6"/>
      <c r="E15" s="3"/>
      <c r="J15" s="3"/>
      <c r="K15" s="24"/>
      <c r="L15" s="18"/>
      <c r="M15" s="18"/>
      <c r="N15" s="18"/>
      <c r="O15" s="18"/>
      <c r="P15" s="3"/>
      <c r="Q15" s="17"/>
      <c r="R15" s="35"/>
      <c r="S15" s="35"/>
      <c r="T15" s="35"/>
      <c r="U15" s="35"/>
      <c r="V15" s="35"/>
      <c r="W15" s="35"/>
      <c r="X15" s="3"/>
      <c r="Y15" s="5"/>
      <c r="AD15" s="5"/>
      <c r="AE15" s="3"/>
      <c r="AY15" s="7"/>
      <c r="AZ15" s="7"/>
      <c r="BA15" s="7"/>
      <c r="BD15" s="7"/>
      <c r="BE15" s="7"/>
      <c r="BF15" s="7"/>
    </row>
    <row r="16" spans="1:58" ht="15" customHeight="1">
      <c r="A16" s="3"/>
      <c r="B16" s="6"/>
      <c r="C16" s="6"/>
      <c r="D16" s="6"/>
      <c r="E16" s="3"/>
      <c r="J16" s="3"/>
      <c r="K16" s="24" t="s">
        <v>43</v>
      </c>
      <c r="L16" s="18" t="str">
        <f ca="1">OFFSET(Graphs!$P$20,5,0)</f>
        <v>MÃ¥neskin</v>
      </c>
      <c r="M16" s="18"/>
      <c r="N16" s="18"/>
      <c r="O16" s="18"/>
      <c r="P16" s="3"/>
      <c r="Q16" s="17" t="s">
        <v>43</v>
      </c>
      <c r="R16" s="35" t="str">
        <f ca="1">OFFSET(Graphs!$M$20,5,0)</f>
        <v>Beggin'</v>
      </c>
      <c r="S16" s="35"/>
      <c r="T16" s="35"/>
      <c r="U16" s="35"/>
      <c r="V16" s="35"/>
      <c r="W16" s="35"/>
      <c r="X16" s="3"/>
      <c r="Y16" s="5"/>
      <c r="AD16" s="5"/>
      <c r="AE16" s="3"/>
      <c r="AY16" s="7"/>
      <c r="AZ16" s="7"/>
      <c r="BA16" s="7"/>
      <c r="BD16" s="7"/>
      <c r="BE16" s="7"/>
      <c r="BF16" s="7"/>
    </row>
    <row r="17" spans="1:58" ht="15" customHeight="1">
      <c r="A17" s="3"/>
      <c r="B17" s="6"/>
      <c r="C17" s="6"/>
      <c r="D17" s="6"/>
      <c r="E17" s="3"/>
      <c r="J17" s="3"/>
      <c r="K17" s="24"/>
      <c r="L17" s="18"/>
      <c r="M17" s="18"/>
      <c r="N17" s="18"/>
      <c r="O17" s="18"/>
      <c r="P17" s="3"/>
      <c r="Q17" s="17"/>
      <c r="R17" s="35"/>
      <c r="S17" s="35"/>
      <c r="T17" s="35"/>
      <c r="U17" s="35"/>
      <c r="V17" s="35"/>
      <c r="W17" s="35"/>
      <c r="X17" s="3"/>
      <c r="Y17" s="5"/>
      <c r="AD17" s="5"/>
      <c r="AE17" s="3"/>
      <c r="BD17" s="7"/>
      <c r="BE17" s="7"/>
      <c r="BF17" s="7"/>
    </row>
    <row r="18" spans="1:58" ht="15" customHeight="1">
      <c r="A18" s="3"/>
      <c r="B18" s="6"/>
      <c r="C18" s="6"/>
      <c r="D18" s="6"/>
      <c r="E18" s="3"/>
      <c r="J18" s="3"/>
      <c r="K18" s="24" t="s">
        <v>43</v>
      </c>
      <c r="L18" s="18" t="str">
        <f ca="1">OFFSET(Graphs!$P$20,6,0)</f>
        <v>JACKBOYS</v>
      </c>
      <c r="M18" s="18"/>
      <c r="N18" s="18"/>
      <c r="O18" s="18"/>
      <c r="P18" s="3"/>
      <c r="Q18" s="17" t="s">
        <v>43</v>
      </c>
      <c r="R18" s="35" t="str">
        <f ca="1">OFFSET(Graphs!$M$20,6,0)</f>
        <v>OUT WEST (feat. Young Thug)</v>
      </c>
      <c r="S18" s="35"/>
      <c r="T18" s="35"/>
      <c r="U18" s="35"/>
      <c r="V18" s="35"/>
      <c r="W18" s="35"/>
      <c r="X18" s="3"/>
      <c r="Y18" s="5"/>
      <c r="Z18" s="5" t="s">
        <v>33</v>
      </c>
      <c r="AA18" s="5"/>
      <c r="AB18" s="5"/>
      <c r="AC18" s="5"/>
      <c r="AD18" s="5"/>
      <c r="AE18" s="3"/>
    </row>
    <row r="19" spans="1:58" ht="15" customHeight="1">
      <c r="A19" s="3"/>
      <c r="B19" s="6"/>
      <c r="C19" s="6"/>
      <c r="D19" s="6"/>
      <c r="E19" s="3"/>
      <c r="J19" s="3"/>
      <c r="K19" s="24"/>
      <c r="L19" s="18"/>
      <c r="M19" s="18"/>
      <c r="N19" s="18"/>
      <c r="O19" s="18"/>
      <c r="P19" s="3"/>
      <c r="Q19" s="17"/>
      <c r="R19" s="35"/>
      <c r="S19" s="35"/>
      <c r="T19" s="35"/>
      <c r="U19" s="35"/>
      <c r="V19" s="35"/>
      <c r="W19" s="35"/>
      <c r="X19" s="3"/>
      <c r="Y19" s="5"/>
      <c r="Z19" s="16">
        <v>0.44713289624310498</v>
      </c>
      <c r="AA19" s="16"/>
      <c r="AB19" s="16"/>
      <c r="AC19" s="16"/>
      <c r="AD19" s="5"/>
      <c r="AE19" s="3"/>
    </row>
    <row r="20" spans="1:58" ht="8.1" customHeight="1">
      <c r="A20" s="3"/>
      <c r="B20" s="3"/>
      <c r="C20" s="3"/>
      <c r="D20" s="3"/>
      <c r="E20" s="3"/>
      <c r="F20" s="3"/>
      <c r="G20" s="3"/>
      <c r="H20" s="3"/>
      <c r="I20" s="3"/>
      <c r="J20" s="3"/>
      <c r="K20" s="3"/>
      <c r="L20" s="3"/>
      <c r="M20" s="3"/>
      <c r="N20" s="3"/>
      <c r="O20" s="3"/>
      <c r="P20" s="3"/>
      <c r="Q20" s="3"/>
      <c r="R20" s="3"/>
      <c r="S20" s="3"/>
      <c r="T20" s="3"/>
      <c r="U20" s="3"/>
      <c r="V20" s="3"/>
      <c r="W20" s="3"/>
      <c r="X20" s="3"/>
      <c r="Y20" s="5"/>
      <c r="Z20" s="23" t="s">
        <v>28</v>
      </c>
      <c r="AA20" s="23"/>
      <c r="AB20" s="23"/>
      <c r="AC20" s="23"/>
      <c r="AD20" s="5"/>
      <c r="AE20" s="3"/>
    </row>
    <row r="21" spans="1:58" ht="8.1" customHeight="1">
      <c r="A21" s="3"/>
      <c r="B21" s="21" t="s">
        <v>1853</v>
      </c>
      <c r="C21" s="22"/>
      <c r="D21" s="22"/>
      <c r="E21" s="22"/>
      <c r="F21" s="22"/>
      <c r="G21" s="22"/>
      <c r="H21" s="22"/>
      <c r="I21" s="22"/>
      <c r="J21" s="5"/>
      <c r="K21" s="5"/>
      <c r="L21" s="5"/>
      <c r="M21" s="3"/>
      <c r="N21" s="14" t="s">
        <v>1864</v>
      </c>
      <c r="O21" s="15"/>
      <c r="P21" s="15"/>
      <c r="Q21" s="15"/>
      <c r="R21" s="15"/>
      <c r="S21" s="15" t="s">
        <v>1865</v>
      </c>
      <c r="T21" s="15"/>
      <c r="U21" s="15"/>
      <c r="V21" s="15"/>
      <c r="W21" s="15"/>
      <c r="X21" s="3"/>
      <c r="Y21" s="5"/>
      <c r="Z21" s="23"/>
      <c r="AA21" s="23"/>
      <c r="AB21" s="23"/>
      <c r="AC21" s="23"/>
      <c r="AD21" s="5"/>
      <c r="AE21" s="3"/>
    </row>
    <row r="22" spans="1:58" ht="14.25" customHeight="1">
      <c r="A22" s="3"/>
      <c r="B22" s="21"/>
      <c r="C22" s="22"/>
      <c r="D22" s="22"/>
      <c r="E22" s="22"/>
      <c r="F22" s="22"/>
      <c r="G22" s="22"/>
      <c r="H22" s="22"/>
      <c r="I22" s="22"/>
      <c r="J22" s="5"/>
      <c r="K22" s="5"/>
      <c r="L22" s="5"/>
      <c r="M22" s="3"/>
      <c r="N22" s="14"/>
      <c r="O22" s="15"/>
      <c r="P22" s="15"/>
      <c r="Q22" s="15"/>
      <c r="R22" s="15"/>
      <c r="S22" s="15"/>
      <c r="T22" s="15"/>
      <c r="U22" s="15"/>
      <c r="V22" s="15"/>
      <c r="W22" s="15"/>
      <c r="X22" s="3"/>
      <c r="Y22" s="5"/>
      <c r="Z22" s="16">
        <v>0.72828784119106704</v>
      </c>
      <c r="AA22" s="16"/>
      <c r="AB22" s="16"/>
      <c r="AC22" s="16"/>
      <c r="AD22" s="5"/>
      <c r="AE22" s="3"/>
    </row>
    <row r="23" spans="1:58" ht="14.25" customHeight="1">
      <c r="A23" s="3"/>
      <c r="B23" s="5"/>
      <c r="C23" s="5"/>
      <c r="D23" s="5"/>
      <c r="E23" s="5"/>
      <c r="F23" s="5"/>
      <c r="G23" s="5"/>
      <c r="H23" s="5"/>
      <c r="I23" s="5"/>
      <c r="J23" s="5"/>
      <c r="K23" s="5"/>
      <c r="L23" s="5"/>
      <c r="M23" s="3"/>
      <c r="N23" s="5"/>
      <c r="O23" s="5"/>
      <c r="P23" s="5"/>
      <c r="R23" s="5"/>
      <c r="S23" s="5"/>
      <c r="T23" s="5"/>
      <c r="U23" s="5"/>
      <c r="V23" s="5"/>
      <c r="W23" s="5"/>
      <c r="X23" s="3"/>
      <c r="Y23" s="5"/>
      <c r="Z23" s="5" t="s">
        <v>29</v>
      </c>
      <c r="AA23" s="5"/>
      <c r="AB23" s="5"/>
      <c r="AC23" s="5"/>
      <c r="AD23" s="5"/>
      <c r="AE23" s="3"/>
    </row>
    <row r="24" spans="1:58" ht="15" customHeight="1">
      <c r="A24" s="3"/>
      <c r="B24" s="5"/>
      <c r="C24" s="5"/>
      <c r="D24" s="5"/>
      <c r="E24" s="5"/>
      <c r="F24" s="5"/>
      <c r="G24" s="5"/>
      <c r="H24" s="5"/>
      <c r="I24" s="5"/>
      <c r="J24" s="5"/>
      <c r="K24" s="5"/>
      <c r="L24" s="5"/>
      <c r="M24" s="3"/>
      <c r="N24" s="5"/>
      <c r="O24" s="5"/>
      <c r="P24" s="5"/>
      <c r="Q24" s="5"/>
      <c r="R24" s="5"/>
      <c r="S24" s="5"/>
      <c r="T24" s="5"/>
      <c r="U24" s="5"/>
      <c r="V24" s="5"/>
      <c r="W24" s="5"/>
      <c r="X24" s="3"/>
      <c r="Y24" s="5"/>
      <c r="Z24" s="16">
        <v>0.76293740758994599</v>
      </c>
      <c r="AA24" s="16"/>
      <c r="AB24" s="16"/>
      <c r="AC24" s="16"/>
      <c r="AD24" s="5"/>
      <c r="AE24" s="3"/>
    </row>
    <row r="25" spans="1:58" ht="15" customHeight="1">
      <c r="A25" s="3"/>
      <c r="B25" s="5"/>
      <c r="C25" s="5"/>
      <c r="D25" s="5"/>
      <c r="E25" s="5"/>
      <c r="F25" s="5"/>
      <c r="G25" s="5"/>
      <c r="H25" s="5"/>
      <c r="I25" s="5"/>
      <c r="J25" s="5"/>
      <c r="K25" s="5"/>
      <c r="L25" s="5"/>
      <c r="M25" s="3"/>
      <c r="N25" s="5"/>
      <c r="O25" s="5"/>
      <c r="P25" s="5"/>
      <c r="Q25" s="5"/>
      <c r="R25" s="5"/>
      <c r="S25" s="5"/>
      <c r="T25" s="5"/>
      <c r="U25" s="5"/>
      <c r="V25" s="5"/>
      <c r="W25" s="5"/>
      <c r="X25" s="3"/>
      <c r="Y25" s="5"/>
      <c r="Z25" s="5" t="s">
        <v>1866</v>
      </c>
      <c r="AA25" s="5"/>
      <c r="AB25" s="5"/>
      <c r="AC25" s="5"/>
      <c r="AD25" s="5"/>
      <c r="AE25" s="3"/>
    </row>
    <row r="26" spans="1:58">
      <c r="A26" s="3"/>
      <c r="B26" s="5"/>
      <c r="C26" s="5"/>
      <c r="D26" s="5"/>
      <c r="E26" s="5"/>
      <c r="F26" s="5"/>
      <c r="G26" s="5"/>
      <c r="H26" s="5"/>
      <c r="I26" s="5"/>
      <c r="J26" s="5"/>
      <c r="K26" s="5"/>
      <c r="L26" s="5"/>
      <c r="M26" s="3"/>
      <c r="N26" s="5"/>
      <c r="O26" s="5"/>
      <c r="P26" s="5"/>
      <c r="Q26" s="5"/>
      <c r="R26" s="5"/>
      <c r="S26" s="5"/>
      <c r="T26" s="5"/>
      <c r="U26" s="5"/>
      <c r="V26" s="5"/>
      <c r="W26" s="5"/>
      <c r="X26" s="3"/>
      <c r="Y26" s="5"/>
      <c r="Z26" s="16">
        <v>0.467893151608889</v>
      </c>
      <c r="AA26" s="16"/>
      <c r="AB26" s="16"/>
      <c r="AC26" s="16"/>
      <c r="AD26" s="5"/>
      <c r="AE26" s="3"/>
    </row>
    <row r="27" spans="1:58" ht="15" customHeight="1">
      <c r="A27" s="3"/>
      <c r="B27" s="5"/>
      <c r="C27" s="5"/>
      <c r="D27" s="5"/>
      <c r="E27" s="5"/>
      <c r="F27" s="5"/>
      <c r="G27" s="5"/>
      <c r="H27" s="5"/>
      <c r="I27" s="5"/>
      <c r="J27" s="5"/>
      <c r="K27" s="5"/>
      <c r="L27" s="5"/>
      <c r="M27" s="3"/>
      <c r="N27" s="5"/>
      <c r="O27" s="5"/>
      <c r="P27" s="5"/>
      <c r="Q27" s="5"/>
      <c r="R27" s="5"/>
      <c r="S27" s="5"/>
      <c r="T27" s="5"/>
      <c r="U27" s="5"/>
      <c r="V27" s="5"/>
      <c r="W27" s="5"/>
      <c r="X27" s="3"/>
      <c r="Y27" s="5"/>
      <c r="Z27" s="5" t="s">
        <v>34</v>
      </c>
      <c r="AA27" s="5"/>
      <c r="AB27" s="5"/>
      <c r="AC27" s="5"/>
      <c r="AD27" s="5"/>
      <c r="AE27" s="3"/>
    </row>
    <row r="28" spans="1:58" ht="15" customHeight="1">
      <c r="A28" s="3"/>
      <c r="B28" s="5"/>
      <c r="C28" s="5"/>
      <c r="D28" s="5"/>
      <c r="E28" s="5"/>
      <c r="F28" s="5"/>
      <c r="G28" s="5"/>
      <c r="H28" s="5"/>
      <c r="I28" s="5"/>
      <c r="J28" s="5"/>
      <c r="K28" s="5"/>
      <c r="L28" s="5"/>
      <c r="M28" s="3"/>
      <c r="N28" s="5"/>
      <c r="O28" s="5"/>
      <c r="P28" s="5"/>
      <c r="Q28" s="5"/>
      <c r="R28" s="5"/>
      <c r="S28" s="5"/>
      <c r="T28" s="5"/>
      <c r="U28" s="5"/>
      <c r="V28" s="5"/>
      <c r="W28" s="5"/>
      <c r="X28" s="3"/>
      <c r="Y28" s="5"/>
      <c r="Z28" s="16">
        <v>7.1352502662406801E-6</v>
      </c>
      <c r="AA28" s="16"/>
      <c r="AB28" s="16"/>
      <c r="AC28" s="16"/>
      <c r="AE28" s="3"/>
    </row>
    <row r="29" spans="1:58" ht="15" customHeight="1">
      <c r="A29" s="3"/>
      <c r="B29" s="5"/>
      <c r="C29" s="5"/>
      <c r="D29" s="5"/>
      <c r="E29" s="5"/>
      <c r="F29" s="5"/>
      <c r="G29" s="5"/>
      <c r="H29" s="5"/>
      <c r="I29" s="5"/>
      <c r="J29" s="5"/>
      <c r="K29" s="5"/>
      <c r="L29" s="5"/>
      <c r="M29" s="3"/>
      <c r="N29" s="5"/>
      <c r="O29" s="5"/>
      <c r="P29" s="5"/>
      <c r="Q29" s="5"/>
      <c r="R29" s="5"/>
      <c r="S29" s="5"/>
      <c r="T29" s="5"/>
      <c r="U29" s="5"/>
      <c r="V29" s="5"/>
      <c r="W29" s="5"/>
      <c r="X29" s="3"/>
      <c r="Y29" s="5"/>
      <c r="Z29" s="5" t="s">
        <v>22</v>
      </c>
      <c r="AA29" s="5"/>
      <c r="AB29" s="5"/>
      <c r="AC29" s="5"/>
      <c r="AD29" s="5"/>
      <c r="AE29" s="3"/>
    </row>
    <row r="30" spans="1:58" ht="15" customHeight="1">
      <c r="A30" s="3"/>
      <c r="B30" s="5"/>
      <c r="C30" s="5"/>
      <c r="D30" s="5"/>
      <c r="E30" s="5"/>
      <c r="F30" s="5"/>
      <c r="G30" s="5"/>
      <c r="H30" s="5"/>
      <c r="I30" s="5"/>
      <c r="J30" s="5"/>
      <c r="K30" s="5"/>
      <c r="L30" s="5"/>
      <c r="M30" s="3"/>
      <c r="N30" s="5"/>
      <c r="O30" s="5"/>
      <c r="P30" s="5"/>
      <c r="Q30" s="5"/>
      <c r="R30" s="5"/>
      <c r="S30" s="5"/>
      <c r="T30" s="5"/>
      <c r="U30" s="5"/>
      <c r="V30" s="5"/>
      <c r="W30" s="5"/>
      <c r="X30" s="3"/>
      <c r="Y30" s="5"/>
      <c r="Z30" s="16">
        <v>1</v>
      </c>
      <c r="AA30" s="16"/>
      <c r="AB30" s="16"/>
      <c r="AC30" s="16"/>
      <c r="AE30" s="3"/>
    </row>
    <row r="31" spans="1:58">
      <c r="A31" s="3"/>
      <c r="B31" s="5"/>
      <c r="C31" s="5"/>
      <c r="D31" s="5"/>
      <c r="E31" s="5"/>
      <c r="F31" s="5"/>
      <c r="G31" s="5"/>
      <c r="H31" s="5"/>
      <c r="I31" s="5"/>
      <c r="J31" s="5"/>
      <c r="K31" s="5"/>
      <c r="L31" s="5"/>
      <c r="M31" s="3"/>
      <c r="N31" s="5"/>
      <c r="O31" s="5"/>
      <c r="P31" s="5"/>
      <c r="Q31" s="5"/>
      <c r="R31" s="5"/>
      <c r="S31" s="5"/>
      <c r="T31" s="5"/>
      <c r="U31" s="5"/>
      <c r="V31" s="5"/>
      <c r="W31" s="5"/>
      <c r="X31" s="3"/>
      <c r="Y31" s="5"/>
      <c r="Z31" s="5" t="s">
        <v>31</v>
      </c>
      <c r="AA31" s="5"/>
      <c r="AB31" s="5"/>
      <c r="AC31" s="5"/>
      <c r="AE31" s="3"/>
    </row>
    <row r="32" spans="1:58">
      <c r="A32" s="3"/>
      <c r="B32" s="5"/>
      <c r="C32" s="5"/>
      <c r="D32" s="5"/>
      <c r="E32" s="5"/>
      <c r="F32" s="5"/>
      <c r="G32" s="5"/>
      <c r="H32" s="5"/>
      <c r="I32" s="5"/>
      <c r="J32" s="5"/>
      <c r="K32" s="5"/>
      <c r="L32" s="5"/>
      <c r="M32" s="3"/>
      <c r="N32" s="5"/>
      <c r="O32" s="5"/>
      <c r="P32" s="5"/>
      <c r="Q32" s="5"/>
      <c r="R32" s="5"/>
      <c r="S32" s="5"/>
      <c r="T32" s="5"/>
      <c r="U32" s="5"/>
      <c r="V32" s="5"/>
      <c r="W32" s="5"/>
      <c r="X32" s="3"/>
      <c r="Y32" s="5"/>
      <c r="Z32" s="16">
        <v>7.8475844862780697E-2</v>
      </c>
      <c r="AA32" s="16"/>
      <c r="AB32" s="16"/>
      <c r="AC32" s="16"/>
      <c r="AE32" s="3"/>
    </row>
    <row r="33" spans="1:31" ht="8.1" customHeight="1">
      <c r="A33" s="3"/>
      <c r="B33" s="3"/>
      <c r="C33" s="3"/>
      <c r="D33" s="3"/>
      <c r="E33" s="3"/>
      <c r="F33" s="3"/>
      <c r="G33" s="3"/>
      <c r="H33" s="3"/>
      <c r="I33" s="3"/>
      <c r="J33" s="3"/>
      <c r="K33" s="3"/>
      <c r="L33" s="3"/>
      <c r="M33" s="3"/>
      <c r="N33" s="5"/>
      <c r="O33" s="5"/>
      <c r="P33" s="5"/>
      <c r="Q33" s="5"/>
      <c r="R33" s="5"/>
      <c r="S33" s="5"/>
      <c r="T33" s="5"/>
      <c r="U33" s="5"/>
      <c r="V33" s="5"/>
      <c r="W33" s="5"/>
      <c r="X33" s="3"/>
      <c r="Y33" s="5"/>
      <c r="Z33" s="23" t="s">
        <v>30</v>
      </c>
      <c r="AA33" s="23"/>
      <c r="AB33" s="5"/>
      <c r="AC33" s="5"/>
      <c r="AD33" s="5"/>
      <c r="AE33" s="3"/>
    </row>
    <row r="34" spans="1:31" ht="8.1" customHeight="1">
      <c r="A34" s="3"/>
      <c r="B34" s="32" t="s">
        <v>1854</v>
      </c>
      <c r="C34" s="32"/>
      <c r="D34" s="32"/>
      <c r="E34" s="32"/>
      <c r="F34" s="32"/>
      <c r="G34" s="32"/>
      <c r="H34" s="32"/>
      <c r="I34" s="32"/>
      <c r="J34" s="5"/>
      <c r="K34" s="5"/>
      <c r="L34" s="5"/>
      <c r="M34" s="3"/>
      <c r="N34" s="5"/>
      <c r="O34" s="5"/>
      <c r="P34" s="5"/>
      <c r="Q34" s="5"/>
      <c r="R34" s="5"/>
      <c r="S34" s="5"/>
      <c r="T34" s="5"/>
      <c r="U34" s="5"/>
      <c r="V34" s="5"/>
      <c r="W34" s="5"/>
      <c r="X34" s="3"/>
      <c r="Y34" s="5"/>
      <c r="Z34" s="23"/>
      <c r="AA34" s="23"/>
      <c r="AB34" s="5"/>
      <c r="AC34" s="5"/>
      <c r="AD34" s="5"/>
      <c r="AE34" s="3"/>
    </row>
    <row r="35" spans="1:31" ht="14.25" customHeight="1">
      <c r="A35" s="3"/>
      <c r="B35" s="32"/>
      <c r="C35" s="32"/>
      <c r="D35" s="32"/>
      <c r="E35" s="32"/>
      <c r="F35" s="32"/>
      <c r="G35" s="32"/>
      <c r="H35" s="32"/>
      <c r="I35" s="32"/>
      <c r="J35" s="5"/>
      <c r="K35" s="5"/>
      <c r="L35" s="5"/>
      <c r="M35" s="3"/>
      <c r="N35" s="5"/>
      <c r="O35" s="5"/>
      <c r="P35" s="5"/>
      <c r="Q35" s="5"/>
      <c r="R35" s="5"/>
      <c r="S35" s="5"/>
      <c r="T35" s="5"/>
      <c r="U35" s="5"/>
      <c r="V35" s="5"/>
      <c r="W35" s="5"/>
      <c r="X35" s="3"/>
      <c r="Y35" s="5"/>
      <c r="Z35" s="8">
        <v>1</v>
      </c>
      <c r="AA35" s="8"/>
      <c r="AB35" s="8"/>
      <c r="AC35" s="8"/>
      <c r="AE35" s="3"/>
    </row>
    <row r="36" spans="1:31" ht="14.25" customHeight="1">
      <c r="A36" s="3"/>
      <c r="B36" s="10"/>
      <c r="C36" s="10"/>
      <c r="D36" s="10"/>
      <c r="E36" s="10"/>
      <c r="F36" s="10"/>
      <c r="G36" s="10"/>
      <c r="H36" s="10"/>
      <c r="I36" s="10"/>
      <c r="J36" s="5"/>
      <c r="K36" s="5"/>
      <c r="L36" s="5"/>
      <c r="M36" s="3"/>
      <c r="N36" s="5"/>
      <c r="O36" s="5"/>
      <c r="P36" s="5"/>
      <c r="Q36" s="5"/>
      <c r="R36" s="5"/>
      <c r="S36" s="5"/>
      <c r="T36" s="5"/>
      <c r="U36" s="5"/>
      <c r="V36" s="5"/>
      <c r="W36" s="5"/>
      <c r="X36" s="3"/>
      <c r="Y36" s="5"/>
      <c r="Z36" s="5" t="s">
        <v>1867</v>
      </c>
      <c r="AA36" s="5"/>
      <c r="AB36" s="5"/>
      <c r="AC36" s="5"/>
      <c r="AE36" s="3"/>
    </row>
    <row r="37" spans="1:31">
      <c r="A37" s="3"/>
      <c r="B37" s="5"/>
      <c r="C37" s="5"/>
      <c r="D37" s="5"/>
      <c r="E37" s="5"/>
      <c r="F37" s="5"/>
      <c r="G37" s="5"/>
      <c r="H37" s="5"/>
      <c r="I37" s="5"/>
      <c r="J37" s="5"/>
      <c r="K37" s="5"/>
      <c r="L37" s="5"/>
      <c r="M37" s="3"/>
      <c r="N37" s="5"/>
      <c r="O37" s="5"/>
      <c r="P37" s="5"/>
      <c r="Q37" s="5"/>
      <c r="R37" s="5"/>
      <c r="S37" s="5"/>
      <c r="T37" s="5"/>
      <c r="U37" s="5"/>
      <c r="V37" s="5"/>
      <c r="W37" s="5"/>
      <c r="X37" s="3"/>
      <c r="Y37" s="5"/>
      <c r="Z37" s="8">
        <v>4</v>
      </c>
      <c r="AA37" s="8"/>
      <c r="AB37" s="8"/>
      <c r="AC37" s="8"/>
      <c r="AE37" s="3"/>
    </row>
    <row r="38" spans="1:31" ht="15" customHeight="1">
      <c r="A38" s="3"/>
      <c r="B38" s="5"/>
      <c r="C38" s="5"/>
      <c r="D38" s="5"/>
      <c r="E38" s="5"/>
      <c r="F38" s="5"/>
      <c r="G38" s="5"/>
      <c r="H38" s="5"/>
      <c r="I38" s="5"/>
      <c r="J38" s="5"/>
      <c r="K38" s="5"/>
      <c r="L38" s="5"/>
      <c r="M38" s="3"/>
      <c r="N38" s="5"/>
      <c r="O38" s="5"/>
      <c r="P38" s="5"/>
      <c r="Q38" s="5"/>
      <c r="R38" s="5"/>
      <c r="S38" s="5"/>
      <c r="T38" s="5"/>
      <c r="U38" s="5"/>
      <c r="V38" s="5"/>
      <c r="W38" s="5"/>
      <c r="X38" s="3"/>
      <c r="Y38" s="5"/>
      <c r="Z38" s="5" t="s">
        <v>36</v>
      </c>
      <c r="AA38" s="5"/>
      <c r="AB38" s="5"/>
      <c r="AC38" s="5"/>
      <c r="AE38" s="3"/>
    </row>
    <row r="39" spans="1:31" ht="15" customHeight="1">
      <c r="A39" s="3"/>
      <c r="B39" s="5"/>
      <c r="C39" s="5"/>
      <c r="D39" s="5"/>
      <c r="E39" s="5"/>
      <c r="F39" s="5"/>
      <c r="G39" s="5"/>
      <c r="H39" s="5"/>
      <c r="I39" s="5"/>
      <c r="J39" s="5"/>
      <c r="K39" s="5"/>
      <c r="L39" s="5"/>
      <c r="M39" s="3"/>
      <c r="N39" s="5"/>
      <c r="O39" s="5"/>
      <c r="P39" s="5"/>
      <c r="Q39" s="5"/>
      <c r="R39" s="5"/>
      <c r="S39" s="5"/>
      <c r="T39" s="5"/>
      <c r="U39" s="5"/>
      <c r="V39" s="5"/>
      <c r="W39" s="5"/>
      <c r="X39" s="3"/>
      <c r="Y39" s="5"/>
      <c r="Z39" s="8">
        <v>15</v>
      </c>
      <c r="AA39" s="8"/>
      <c r="AB39" s="8"/>
      <c r="AC39" s="8"/>
      <c r="AE39" s="3"/>
    </row>
    <row r="40" spans="1:31" ht="15" customHeight="1">
      <c r="A40" s="3"/>
      <c r="B40" s="5"/>
      <c r="C40" s="5"/>
      <c r="D40" s="5"/>
      <c r="E40" s="5"/>
      <c r="F40" s="5"/>
      <c r="G40" s="5"/>
      <c r="H40" s="5"/>
      <c r="I40" s="5"/>
      <c r="J40" s="5"/>
      <c r="K40" s="5"/>
      <c r="L40" s="5"/>
      <c r="M40" s="3"/>
      <c r="N40" s="5"/>
      <c r="O40" s="5"/>
      <c r="P40" s="5"/>
      <c r="Q40" s="5"/>
      <c r="R40" s="5"/>
      <c r="S40" s="5"/>
      <c r="T40" s="5"/>
      <c r="U40" s="5"/>
      <c r="V40" s="5"/>
      <c r="W40" s="5"/>
      <c r="X40" s="3"/>
      <c r="Y40" s="5"/>
      <c r="Z40" s="5" t="s">
        <v>35</v>
      </c>
      <c r="AA40" s="5"/>
      <c r="AB40" s="5"/>
      <c r="AC40" s="5"/>
      <c r="AE40" s="3"/>
    </row>
    <row r="41" spans="1:31">
      <c r="A41" s="3"/>
      <c r="B41" s="5"/>
      <c r="C41" s="5"/>
      <c r="D41" s="5"/>
      <c r="E41" s="5"/>
      <c r="F41" s="5"/>
      <c r="G41" s="5"/>
      <c r="H41" s="5"/>
      <c r="I41" s="5"/>
      <c r="J41" s="5"/>
      <c r="K41" s="5"/>
      <c r="L41" s="5"/>
      <c r="M41" s="3"/>
      <c r="N41" s="5"/>
      <c r="O41" s="5"/>
      <c r="P41" s="5"/>
      <c r="Q41" s="5"/>
      <c r="R41" s="5"/>
      <c r="S41" s="5"/>
      <c r="T41" s="5"/>
      <c r="U41" s="5"/>
      <c r="V41" s="5"/>
      <c r="W41" s="5"/>
      <c r="X41" s="3"/>
      <c r="Y41" s="5"/>
      <c r="Z41" s="16">
        <v>3.14E-3</v>
      </c>
      <c r="AA41" s="16"/>
      <c r="AB41" s="16"/>
      <c r="AC41" s="16"/>
      <c r="AE41" s="3"/>
    </row>
    <row r="42" spans="1:31">
      <c r="A42" s="3"/>
      <c r="B42" s="5"/>
      <c r="C42" s="5"/>
      <c r="D42" s="5"/>
      <c r="E42" s="5"/>
      <c r="F42" s="5"/>
      <c r="G42" s="5"/>
      <c r="H42" s="5"/>
      <c r="I42" s="5"/>
      <c r="J42" s="5"/>
      <c r="K42" s="5"/>
      <c r="L42" s="5"/>
      <c r="M42" s="3"/>
      <c r="N42" s="5"/>
      <c r="O42" s="5"/>
      <c r="P42" s="5"/>
      <c r="Q42" s="5"/>
      <c r="R42" s="5"/>
      <c r="S42" s="5"/>
      <c r="T42" s="5"/>
      <c r="U42" s="5"/>
      <c r="V42" s="5"/>
      <c r="W42" s="5"/>
      <c r="X42" s="3"/>
      <c r="Y42" s="5"/>
      <c r="AE42" s="3"/>
    </row>
    <row r="43" spans="1:31">
      <c r="A43" s="3"/>
      <c r="B43" s="5"/>
      <c r="C43" s="5"/>
      <c r="D43" s="5"/>
      <c r="E43" s="5"/>
      <c r="F43" s="5"/>
      <c r="G43" s="5"/>
      <c r="H43" s="5"/>
      <c r="I43" s="5"/>
      <c r="J43" s="5"/>
      <c r="K43" s="5"/>
      <c r="L43" s="5"/>
      <c r="M43" s="3"/>
      <c r="N43" s="5"/>
      <c r="O43" s="5"/>
      <c r="P43" s="5"/>
      <c r="Q43" s="5"/>
      <c r="R43" s="5"/>
      <c r="S43" s="5"/>
      <c r="T43" s="5"/>
      <c r="U43" s="5"/>
      <c r="V43" s="5"/>
      <c r="W43" s="5"/>
      <c r="X43" s="3"/>
      <c r="Y43" s="5"/>
      <c r="AE43" s="3"/>
    </row>
    <row r="44" spans="1:31">
      <c r="A44" s="3"/>
      <c r="B44" s="5"/>
      <c r="C44" s="5"/>
      <c r="D44" s="5"/>
      <c r="E44" s="5"/>
      <c r="F44" s="5"/>
      <c r="G44" s="5"/>
      <c r="H44" s="5"/>
      <c r="I44" s="5"/>
      <c r="J44" s="5"/>
      <c r="K44" s="5"/>
      <c r="L44" s="5"/>
      <c r="M44" s="3"/>
      <c r="N44" s="5"/>
      <c r="O44" s="5"/>
      <c r="P44" s="5"/>
      <c r="Q44" s="5"/>
      <c r="R44" s="5"/>
      <c r="S44" s="5"/>
      <c r="T44" s="5"/>
      <c r="U44" s="5"/>
      <c r="V44" s="5"/>
      <c r="W44" s="5"/>
      <c r="X44" s="3"/>
      <c r="Y44" s="5"/>
      <c r="AE44" s="3"/>
    </row>
    <row r="45" spans="1:31">
      <c r="A45" s="3"/>
      <c r="B45" s="5"/>
      <c r="C45" s="5"/>
      <c r="D45" s="5"/>
      <c r="E45" s="5"/>
      <c r="F45" s="5"/>
      <c r="G45" s="5"/>
      <c r="H45" s="5"/>
      <c r="I45" s="5"/>
      <c r="J45" s="5"/>
      <c r="K45" s="5"/>
      <c r="L45" s="5"/>
      <c r="M45" s="3"/>
      <c r="N45" s="5"/>
      <c r="O45" s="5"/>
      <c r="P45" s="5"/>
      <c r="Q45" s="5"/>
      <c r="R45" s="5"/>
      <c r="S45" s="5"/>
      <c r="T45" s="5"/>
      <c r="U45" s="5"/>
      <c r="V45" s="5"/>
      <c r="W45" s="5"/>
      <c r="X45" s="3"/>
      <c r="Y45" s="5"/>
      <c r="AD45" s="5"/>
      <c r="AE45" s="3"/>
    </row>
    <row r="46" spans="1:31">
      <c r="A46" s="3"/>
      <c r="B46" s="5"/>
      <c r="C46" s="5"/>
      <c r="D46" s="5"/>
      <c r="E46" s="5"/>
      <c r="F46" s="5"/>
      <c r="G46" s="5"/>
      <c r="H46" s="5"/>
      <c r="I46" s="5"/>
      <c r="J46" s="5"/>
      <c r="K46" s="5"/>
      <c r="L46" s="5"/>
      <c r="M46" s="3"/>
      <c r="N46" s="5"/>
      <c r="O46" s="5"/>
      <c r="P46" s="5"/>
      <c r="Q46" s="5"/>
      <c r="R46" s="5"/>
      <c r="S46" s="5"/>
      <c r="T46" s="5"/>
      <c r="U46" s="5"/>
      <c r="V46" s="5"/>
      <c r="W46" s="5"/>
      <c r="X46" s="3"/>
      <c r="Y46" s="5"/>
      <c r="AD46" s="5"/>
      <c r="AE46" s="3"/>
    </row>
    <row r="47" spans="1:31" ht="8.1" customHeight="1">
      <c r="A47" s="3" t="s">
        <v>27</v>
      </c>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t="s">
        <v>25</v>
      </c>
    </row>
  </sheetData>
  <mergeCells count="51">
    <mergeCell ref="K8:K9"/>
    <mergeCell ref="K10:K11"/>
    <mergeCell ref="K12:K13"/>
    <mergeCell ref="K18:K19"/>
    <mergeCell ref="L18:O19"/>
    <mergeCell ref="L16:O17"/>
    <mergeCell ref="L14:O15"/>
    <mergeCell ref="L12:O13"/>
    <mergeCell ref="L10:O11"/>
    <mergeCell ref="B34:I35"/>
    <mergeCell ref="Z33:AA34"/>
    <mergeCell ref="F6:I7"/>
    <mergeCell ref="B21:I22"/>
    <mergeCell ref="Y8:AA9"/>
    <mergeCell ref="R16:W17"/>
    <mergeCell ref="Q16:Q17"/>
    <mergeCell ref="Q18:Q19"/>
    <mergeCell ref="R18:W19"/>
    <mergeCell ref="Q8:Q9"/>
    <mergeCell ref="R8:W9"/>
    <mergeCell ref="R10:W11"/>
    <mergeCell ref="Q10:Q11"/>
    <mergeCell ref="R12:W13"/>
    <mergeCell ref="Q12:Q13"/>
    <mergeCell ref="R14:W15"/>
    <mergeCell ref="AB2:AD4"/>
    <mergeCell ref="Y2:AA4"/>
    <mergeCell ref="K6:N7"/>
    <mergeCell ref="Z30:AC30"/>
    <mergeCell ref="Z32:AC32"/>
    <mergeCell ref="Z19:AC19"/>
    <mergeCell ref="Z20:AC21"/>
    <mergeCell ref="K14:K15"/>
    <mergeCell ref="K16:K17"/>
    <mergeCell ref="Y10:AA10"/>
    <mergeCell ref="AB10:AD10"/>
    <mergeCell ref="Z12:AA14"/>
    <mergeCell ref="AB12:AD14"/>
    <mergeCell ref="H2:Q4"/>
    <mergeCell ref="Q6:T7"/>
    <mergeCell ref="Y6:AD7"/>
    <mergeCell ref="AB8:AD9"/>
    <mergeCell ref="N21:R22"/>
    <mergeCell ref="S21:W22"/>
    <mergeCell ref="Z41:AC41"/>
    <mergeCell ref="Z22:AC22"/>
    <mergeCell ref="Z24:AC24"/>
    <mergeCell ref="Z26:AC26"/>
    <mergeCell ref="Z28:AC28"/>
    <mergeCell ref="Q14:Q15"/>
    <mergeCell ref="L8:O9"/>
  </mergeCells>
  <conditionalFormatting sqref="AB12:AD14">
    <cfRule type="containsText" dxfId="1" priority="1" operator="containsText" text="No">
      <formula>NOT(ISERROR(SEARCH("No",AB12)))</formula>
    </cfRule>
    <cfRule type="cellIs" dxfId="0" priority="2" operator="equal">
      <formula>"Yes"</formula>
    </cfRule>
  </conditionalFormatting>
  <pageMargins left="0.23622047244094491" right="0.23622047244094491" top="0.23622047244094491" bottom="0.23622047244094491" header="0" footer="0"/>
  <pageSetup paperSize="9"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C88FE-4859-429F-BD03-4A6F99357BCA}">
  <sheetPr codeName="Sheet6">
    <pageSetUpPr autoPageBreaks="0"/>
  </sheetPr>
  <dimension ref="A1:BF46"/>
  <sheetViews>
    <sheetView workbookViewId="0"/>
  </sheetViews>
  <sheetFormatPr defaultColWidth="9.140625" defaultRowHeight="14.25"/>
  <cols>
    <col min="1" max="1" width="1.42578125" style="4" customWidth="1"/>
    <col min="2" max="4" width="8.5703125" style="4" customWidth="1"/>
    <col min="5" max="5" width="1.42578125" style="4" customWidth="1"/>
    <col min="6" max="9" width="8.5703125" style="4" customWidth="1"/>
    <col min="10" max="10" width="1.42578125" style="4" customWidth="1"/>
    <col min="11" max="12" width="8.5703125" style="4" customWidth="1"/>
    <col min="13" max="13" width="1.42578125" style="4" customWidth="1"/>
    <col min="14" max="15" width="8.5703125" style="4" customWidth="1"/>
    <col min="16" max="16" width="1.42578125" style="4" customWidth="1"/>
    <col min="17" max="23" width="8.5703125" style="4" customWidth="1"/>
    <col min="24" max="24" width="1.42578125" style="4" customWidth="1"/>
    <col min="25" max="26" width="8.5703125" style="4" customWidth="1"/>
    <col min="27" max="28" width="9.140625" style="4"/>
    <col min="29" max="29" width="9.42578125" style="4" customWidth="1"/>
    <col min="30" max="30" width="9.140625" style="4"/>
    <col min="31" max="31" width="1.42578125" style="4" customWidth="1"/>
    <col min="32" max="16384" width="9.140625" style="4"/>
  </cols>
  <sheetData>
    <row r="1" spans="1:58" ht="8.1" customHeight="1">
      <c r="A1" s="3" t="s">
        <v>26</v>
      </c>
      <c r="B1" s="3"/>
      <c r="C1" s="3"/>
      <c r="D1" s="3"/>
      <c r="E1" s="3"/>
      <c r="F1" s="3"/>
      <c r="G1" s="3"/>
      <c r="H1" s="3"/>
      <c r="I1" s="3"/>
      <c r="J1" s="3"/>
      <c r="K1" s="3"/>
      <c r="L1" s="3"/>
      <c r="M1" s="3"/>
      <c r="N1" s="3"/>
      <c r="O1" s="3"/>
      <c r="P1" s="3"/>
      <c r="Q1" s="3"/>
      <c r="R1" s="3"/>
      <c r="S1" s="3"/>
      <c r="T1" s="3"/>
      <c r="U1" s="3"/>
      <c r="V1" s="3"/>
      <c r="W1" s="3"/>
      <c r="X1" s="3"/>
      <c r="Y1" s="3"/>
      <c r="Z1" s="3"/>
      <c r="AA1" s="3"/>
      <c r="AB1" s="3"/>
      <c r="AC1" s="3"/>
      <c r="AD1" s="3"/>
      <c r="AE1" s="3" t="s">
        <v>24</v>
      </c>
    </row>
    <row r="2" spans="1:58" ht="15" customHeight="1">
      <c r="A2" s="3"/>
      <c r="B2" s="5"/>
      <c r="C2" s="5"/>
      <c r="D2" s="5"/>
      <c r="E2" s="5"/>
      <c r="F2" s="5"/>
      <c r="G2" s="5"/>
      <c r="H2" s="30" t="s">
        <v>23</v>
      </c>
      <c r="I2" s="30"/>
      <c r="J2" s="30"/>
      <c r="K2" s="30"/>
      <c r="L2" s="30"/>
      <c r="M2" s="30"/>
      <c r="N2" s="30"/>
      <c r="O2" s="30"/>
      <c r="P2" s="30"/>
      <c r="Q2" s="30"/>
      <c r="R2" s="11">
        <v>0</v>
      </c>
      <c r="S2" s="11" t="s">
        <v>1857</v>
      </c>
      <c r="T2" s="5"/>
      <c r="U2" s="5"/>
      <c r="V2" s="5"/>
      <c r="W2" s="5"/>
      <c r="X2" s="5"/>
      <c r="Y2" s="20" t="s">
        <v>1852</v>
      </c>
      <c r="Z2" s="20"/>
      <c r="AA2" s="20"/>
      <c r="AB2" s="19">
        <v>45017.671053240738</v>
      </c>
      <c r="AC2" s="19"/>
      <c r="AD2" s="19"/>
      <c r="AE2" s="3"/>
    </row>
    <row r="3" spans="1:58" ht="15" customHeight="1">
      <c r="A3" s="3"/>
      <c r="B3" s="5"/>
      <c r="C3" s="5"/>
      <c r="D3" s="5"/>
      <c r="E3" s="5"/>
      <c r="F3" s="5"/>
      <c r="G3" s="5"/>
      <c r="H3" s="30"/>
      <c r="I3" s="30"/>
      <c r="J3" s="30"/>
      <c r="K3" s="30"/>
      <c r="L3" s="30"/>
      <c r="M3" s="30"/>
      <c r="N3" s="30"/>
      <c r="O3" s="30"/>
      <c r="P3" s="30"/>
      <c r="Q3" s="30"/>
      <c r="R3" s="11">
        <v>0</v>
      </c>
      <c r="S3" s="11" t="s">
        <v>1858</v>
      </c>
      <c r="T3" s="5"/>
      <c r="U3" s="5"/>
      <c r="V3" s="5"/>
      <c r="W3" s="5"/>
      <c r="X3" s="5"/>
      <c r="Y3" s="20"/>
      <c r="Z3" s="20"/>
      <c r="AA3" s="20"/>
      <c r="AB3" s="19"/>
      <c r="AC3" s="19"/>
      <c r="AD3" s="19"/>
      <c r="AE3" s="3"/>
    </row>
    <row r="4" spans="1:58" ht="15" customHeight="1">
      <c r="A4" s="3"/>
      <c r="B4" s="5"/>
      <c r="C4" s="5"/>
      <c r="D4" s="5"/>
      <c r="E4" s="5"/>
      <c r="F4" s="5"/>
      <c r="G4" s="5"/>
      <c r="H4" s="30"/>
      <c r="I4" s="30"/>
      <c r="J4" s="30"/>
      <c r="K4" s="30"/>
      <c r="L4" s="30"/>
      <c r="M4" s="30"/>
      <c r="N4" s="30"/>
      <c r="O4" s="30"/>
      <c r="P4" s="30"/>
      <c r="Q4" s="30"/>
      <c r="R4" s="11"/>
      <c r="S4" s="11"/>
      <c r="T4" s="5"/>
      <c r="U4" s="5"/>
      <c r="V4" s="5"/>
      <c r="W4" s="5"/>
      <c r="X4" s="5"/>
      <c r="Y4" s="20"/>
      <c r="Z4" s="20"/>
      <c r="AA4" s="20"/>
      <c r="AB4" s="19"/>
      <c r="AC4" s="19"/>
      <c r="AD4" s="19"/>
      <c r="AE4" s="3"/>
    </row>
    <row r="5" spans="1:58" ht="7.5" customHeight="1">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row>
    <row r="6" spans="1:58" ht="15" customHeight="1">
      <c r="A6" s="3"/>
      <c r="B6" s="36" t="str">
        <f ca="1">OFFSET('Tiktok Dashboard Data'!A1,0,$R$3)</f>
        <v>Year_of_release</v>
      </c>
      <c r="C6" s="36"/>
      <c r="D6" s="36" t="str">
        <f ca="1">OFFSET('Tiktok Dashboard Data'!A1,0,$R$3+1)</f>
        <v>Videos_created</v>
      </c>
      <c r="E6" s="36"/>
      <c r="F6" s="36"/>
      <c r="G6" s="36" t="str">
        <f ca="1">OFFSET('Tiktok Dashboard Data'!A1,0,$R$3+2)</f>
        <v>track_name</v>
      </c>
      <c r="H6" s="36"/>
      <c r="I6" s="36" t="str">
        <f ca="1">OFFSET('Tiktok Dashboard Data'!A1,0,$R$3+3)</f>
        <v>artist_name</v>
      </c>
      <c r="J6" s="36"/>
      <c r="K6" s="36"/>
      <c r="L6" s="36" t="str">
        <f ca="1">OFFSET('Tiktok Dashboard Data'!A1,0,$R$3+4)</f>
        <v>artist_pop</v>
      </c>
      <c r="M6" s="36"/>
      <c r="N6" s="36"/>
      <c r="O6" s="36" t="str">
        <f ca="1">OFFSET('Tiktok Dashboard Data'!A1,0,$R$3+5)</f>
        <v>album</v>
      </c>
      <c r="P6" s="36"/>
      <c r="Q6" s="36"/>
      <c r="R6" s="36" t="str">
        <f ca="1">OFFSET('Tiktok Dashboard Data'!A1,0,$R$3+6)</f>
        <v>track_pop</v>
      </c>
      <c r="S6" s="36"/>
      <c r="T6" s="36" t="str">
        <f ca="1">OFFSET('Tiktok Dashboard Data'!A1,0,$R$3+7)</f>
        <v>danceability</v>
      </c>
      <c r="U6" s="36"/>
      <c r="V6" s="36" t="str">
        <f ca="1">OFFSET('Tiktok Dashboard Data'!A1,0,$R$3+8)</f>
        <v>energy</v>
      </c>
      <c r="W6" s="36"/>
      <c r="X6" s="36" t="str">
        <f ca="1">OFFSET('Tiktok Dashboard Data'!A1,0,$R$3+9)</f>
        <v>loudness</v>
      </c>
      <c r="Y6" s="36"/>
      <c r="Z6" s="36"/>
      <c r="AA6" s="36" t="str">
        <f ca="1">OFFSET('Tiktok Dashboard Data'!A1,0,$R$3+10)</f>
        <v>mode</v>
      </c>
      <c r="AB6" s="36"/>
      <c r="AC6" s="36" t="str">
        <f ca="1">OFFSET('Tiktok Dashboard Data'!A1,0,$R$3+11)</f>
        <v>key</v>
      </c>
      <c r="AD6" s="36"/>
      <c r="AE6" s="3"/>
    </row>
    <row r="7" spans="1:58" ht="15">
      <c r="A7" s="3"/>
      <c r="B7" s="37">
        <f ca="1">OFFSET('Tiktok Dashboard Data'!$A$1,$R$2+1,$R$3+0)</f>
        <v>2020</v>
      </c>
      <c r="C7" s="37"/>
      <c r="D7" s="37">
        <f ca="1">OFFSET('Tiktok Dashboard Data'!$A$1,$R$2+1,$R$3+1)</f>
        <v>36700000</v>
      </c>
      <c r="E7" s="37"/>
      <c r="F7" s="37"/>
      <c r="G7" s="37" t="str">
        <f ca="1">OFFSET('Tiktok Dashboard Data'!$A$1,$R$2+1,$R$3+2)</f>
        <v>Laxed â€“ Siren Beat</v>
      </c>
      <c r="H7" s="37"/>
      <c r="I7" s="37" t="str">
        <f ca="1">OFFSET('Tiktok Dashboard Data'!$A$1,$R$2+1,$R$3+3)</f>
        <v>Jawsh 685</v>
      </c>
      <c r="J7" s="37"/>
      <c r="K7" s="37"/>
      <c r="L7" s="37">
        <f ca="1">OFFSET('Tiktok Dashboard Data'!$A$1,$R$2+1,$R$3+4)</f>
        <v>63</v>
      </c>
      <c r="M7" s="37"/>
      <c r="N7" s="37"/>
      <c r="O7" s="37" t="str">
        <f ca="1">OFFSET('Tiktok Dashboard Data'!$A$1,$R$2+1,$R$3+5)</f>
        <v>Laxed (Siren Beat)</v>
      </c>
      <c r="P7" s="37"/>
      <c r="Q7" s="37"/>
      <c r="R7" s="37">
        <f ca="1">OFFSET('Tiktok Dashboard Data'!$A$1,$R$2+1,$R$3+6)</f>
        <v>54</v>
      </c>
      <c r="S7" s="37"/>
      <c r="T7" s="37">
        <f ca="1">OFFSET('Tiktok Dashboard Data'!$A$1,$R$2+1,$R$3+7)</f>
        <v>0.73599999999999999</v>
      </c>
      <c r="U7" s="37"/>
      <c r="V7" s="37">
        <f ca="1">OFFSET('Tiktok Dashboard Data'!$A$1,$R$2+1,$R$3+8)</f>
        <v>0.62</v>
      </c>
      <c r="W7" s="37"/>
      <c r="X7" s="37">
        <f ca="1">OFFSET('Tiktok Dashboard Data'!$A$1,$R$2+1,$R$3+9)</f>
        <v>-8.4809999999999999</v>
      </c>
      <c r="Y7" s="37"/>
      <c r="Z7" s="37"/>
      <c r="AA7" s="37">
        <f ca="1">OFFSET('Tiktok Dashboard Data'!$A$1,$R$2+1,$R$3+10)</f>
        <v>0</v>
      </c>
      <c r="AB7" s="37"/>
      <c r="AC7" s="37">
        <f ca="1">OFFSET('Tiktok Dashboard Data'!$A$1,$R$2+1,$R$3+11)</f>
        <v>0</v>
      </c>
      <c r="AD7" s="37"/>
      <c r="AE7" s="3"/>
    </row>
    <row r="8" spans="1:58" ht="15">
      <c r="A8" s="3"/>
      <c r="B8" s="37">
        <f ca="1">OFFSET('Tiktok Dashboard Data'!$A$1,$R$2+2,$R$3+0)</f>
        <v>2022</v>
      </c>
      <c r="C8" s="37"/>
      <c r="D8" s="37">
        <f ca="1">OFFSET('Tiktok Dashboard Data'!$A$1,$R$2+2,$R$3+1)</f>
        <v>23500000</v>
      </c>
      <c r="E8" s="37" t="e">
        <f t="shared" ref="E8" si="0">"="&amp;_xlfn.CONCAT(#REF!)</f>
        <v>#REF!</v>
      </c>
      <c r="F8" s="37"/>
      <c r="G8" s="37" t="str">
        <f ca="1">OFFSET('Tiktok Dashboard Data'!$A$1,$R$2+2,$R$3+2)</f>
        <v>Banana (feat. Shaggy) - DJ FLe - Minisiren Remix</v>
      </c>
      <c r="H8" s="37"/>
      <c r="I8" s="37" t="str">
        <f ca="1">OFFSET('Tiktok Dashboard Data'!$A$1,$R$2+2,$R$3+3)</f>
        <v>Conkarah</v>
      </c>
      <c r="J8" s="37"/>
      <c r="K8" s="37"/>
      <c r="L8" s="37">
        <f ca="1">OFFSET('Tiktok Dashboard Data'!$A$1,$R$2+2,$R$3+4)</f>
        <v>53</v>
      </c>
      <c r="M8" s="37"/>
      <c r="N8" s="37"/>
      <c r="O8" s="37" t="str">
        <f ca="1">OFFSET('Tiktok Dashboard Data'!$A$1,$R$2+2,$R$3+5)</f>
        <v>Banana (feat. Shaggy) [DJ FLe - Minisiren Remix]</v>
      </c>
      <c r="P8" s="37"/>
      <c r="Q8" s="37"/>
      <c r="R8" s="37">
        <f ca="1">OFFSET('Tiktok Dashboard Data'!$A$1,$R$2+2,$R$3+6)</f>
        <v>65</v>
      </c>
      <c r="S8" s="37"/>
      <c r="T8" s="37">
        <f ca="1">OFFSET('Tiktok Dashboard Data'!$A$1,$R$2+2,$R$3+7)</f>
        <v>0.82399999999999995</v>
      </c>
      <c r="U8" s="37"/>
      <c r="V8" s="37">
        <f ca="1">OFFSET('Tiktok Dashboard Data'!$A$1,$R$2+2,$R$3+8)</f>
        <v>0.85399999999999998</v>
      </c>
      <c r="W8" s="37"/>
      <c r="X8" s="37">
        <f ca="1">OFFSET('Tiktok Dashboard Data'!$A$1,$R$2+2,$R$3+9)</f>
        <v>-5.3120000000000003</v>
      </c>
      <c r="Y8" s="37"/>
      <c r="Z8" s="37"/>
      <c r="AA8" s="37">
        <f ca="1">OFFSET('Tiktok Dashboard Data'!$A$1,$R$2+2,$R$3+10)</f>
        <v>1</v>
      </c>
      <c r="AB8" s="37"/>
      <c r="AC8" s="37">
        <f ca="1">OFFSET('Tiktok Dashboard Data'!$A$1,$R$2+2,$R$3+11)</f>
        <v>8</v>
      </c>
      <c r="AD8" s="37"/>
      <c r="AE8" s="3"/>
    </row>
    <row r="9" spans="1:58" ht="15">
      <c r="A9" s="3"/>
      <c r="B9" s="37">
        <f ca="1">OFFSET('Tiktok Dashboard Data'!$A$1,$R$2+3,$R$3+0)</f>
        <v>2020</v>
      </c>
      <c r="C9" s="37"/>
      <c r="D9" s="37">
        <f ca="1">OFFSET('Tiktok Dashboard Data'!$A$1,$R$2+3,$R$3+1)</f>
        <v>23400000</v>
      </c>
      <c r="E9" s="37" t="e">
        <f t="shared" ref="E9" si="1">"="&amp;_xlfn.CONCAT(#REF!)</f>
        <v>#REF!</v>
      </c>
      <c r="F9" s="37"/>
      <c r="G9" s="37" t="str">
        <f ca="1">OFFSET('Tiktok Dashboard Data'!$A$1,$R$2+3,$R$3+2)</f>
        <v>Banana (feat. Shaggy) - DJ FLe - Minisiren Remix</v>
      </c>
      <c r="H9" s="37"/>
      <c r="I9" s="37" t="str">
        <f ca="1">OFFSET('Tiktok Dashboard Data'!$A$1,$R$2+3,$R$3+3)</f>
        <v>Conkarah</v>
      </c>
      <c r="J9" s="37"/>
      <c r="K9" s="37"/>
      <c r="L9" s="37">
        <f ca="1">OFFSET('Tiktok Dashboard Data'!$A$1,$R$2+3,$R$3+4)</f>
        <v>53</v>
      </c>
      <c r="M9" s="37"/>
      <c r="N9" s="37"/>
      <c r="O9" s="37" t="str">
        <f ca="1">OFFSET('Tiktok Dashboard Data'!$A$1,$R$2+3,$R$3+5)</f>
        <v>Banana (feat. Shaggy) [DJ FLe - Minisiren Remix]</v>
      </c>
      <c r="P9" s="37"/>
      <c r="Q9" s="37"/>
      <c r="R9" s="37">
        <f ca="1">OFFSET('Tiktok Dashboard Data'!$A$1,$R$2+3,$R$3+6)</f>
        <v>65</v>
      </c>
      <c r="S9" s="37"/>
      <c r="T9" s="37">
        <f ca="1">OFFSET('Tiktok Dashboard Data'!$A$1,$R$2+3,$R$3+7)</f>
        <v>0.82399999999999995</v>
      </c>
      <c r="U9" s="37"/>
      <c r="V9" s="37">
        <f ca="1">OFFSET('Tiktok Dashboard Data'!$A$1,$R$2+3,$R$3+8)</f>
        <v>0.85399999999999998</v>
      </c>
      <c r="W9" s="37"/>
      <c r="X9" s="37">
        <f ca="1">OFFSET('Tiktok Dashboard Data'!$A$1,$R$2+3,$R$3+9)</f>
        <v>-5.3120000000000003</v>
      </c>
      <c r="Y9" s="37"/>
      <c r="Z9" s="37"/>
      <c r="AA9" s="37">
        <f ca="1">OFFSET('Tiktok Dashboard Data'!$A$1,$R$2+3,$R$3+10)</f>
        <v>1</v>
      </c>
      <c r="AB9" s="37"/>
      <c r="AC9" s="37">
        <f ca="1">OFFSET('Tiktok Dashboard Data'!$A$1,$R$2+3,$R$3+11)</f>
        <v>8</v>
      </c>
      <c r="AD9" s="37"/>
      <c r="AE9" s="3"/>
    </row>
    <row r="10" spans="1:58" ht="15">
      <c r="A10" s="3"/>
      <c r="B10" s="37">
        <f ca="1">OFFSET('Tiktok Dashboard Data'!$A$1,$R$2+4,$R$3+0)</f>
        <v>2019</v>
      </c>
      <c r="C10" s="37"/>
      <c r="D10" s="37">
        <f ca="1">OFFSET('Tiktok Dashboard Data'!$A$1,$R$2+4,$R$3+1)</f>
        <v>16400000</v>
      </c>
      <c r="E10" s="37" t="e">
        <f t="shared" ref="E10" si="2">"="&amp;_xlfn.CONCAT(#REF!)</f>
        <v>#REF!</v>
      </c>
      <c r="F10" s="37"/>
      <c r="G10" s="37" t="str">
        <f ca="1">OFFSET('Tiktok Dashboard Data'!$A$1,$R$2+4,$R$3+2)</f>
        <v>Lottery (Renegade)</v>
      </c>
      <c r="H10" s="37"/>
      <c r="I10" s="37" t="str">
        <f ca="1">OFFSET('Tiktok Dashboard Data'!$A$1,$R$2+4,$R$3+3)</f>
        <v>K CAMP</v>
      </c>
      <c r="J10" s="37"/>
      <c r="K10" s="37"/>
      <c r="L10" s="37">
        <f ca="1">OFFSET('Tiktok Dashboard Data'!$A$1,$R$2+4,$R$3+4)</f>
        <v>63</v>
      </c>
      <c r="M10" s="37"/>
      <c r="N10" s="37"/>
      <c r="O10" s="37" t="str">
        <f ca="1">OFFSET('Tiktok Dashboard Data'!$A$1,$R$2+4,$R$3+5)</f>
        <v>Wayy 2 Kritical</v>
      </c>
      <c r="P10" s="37"/>
      <c r="Q10" s="37"/>
      <c r="R10" s="37">
        <f ca="1">OFFSET('Tiktok Dashboard Data'!$A$1,$R$2+4,$R$3+6)</f>
        <v>56</v>
      </c>
      <c r="S10" s="37"/>
      <c r="T10" s="37">
        <f ca="1">OFFSET('Tiktok Dashboard Data'!$A$1,$R$2+4,$R$3+7)</f>
        <v>0.91500000000000004</v>
      </c>
      <c r="U10" s="37"/>
      <c r="V10" s="37">
        <f ca="1">OFFSET('Tiktok Dashboard Data'!$A$1,$R$2+4,$R$3+8)</f>
        <v>0.55600000000000005</v>
      </c>
      <c r="W10" s="37"/>
      <c r="X10" s="37">
        <f ca="1">OFFSET('Tiktok Dashboard Data'!$A$1,$R$2+4,$R$3+9)</f>
        <v>-8.6010000000000009</v>
      </c>
      <c r="Y10" s="37"/>
      <c r="Z10" s="37"/>
      <c r="AA10" s="37">
        <f ca="1">OFFSET('Tiktok Dashboard Data'!$A$1,$R$2+4,$R$3+10)</f>
        <v>1</v>
      </c>
      <c r="AB10" s="37"/>
      <c r="AC10" s="37">
        <f ca="1">OFFSET('Tiktok Dashboard Data'!$A$1,$R$2+4,$R$3+11)</f>
        <v>1</v>
      </c>
      <c r="AD10" s="37"/>
      <c r="AE10" s="3"/>
    </row>
    <row r="11" spans="1:58" ht="15">
      <c r="A11" s="3"/>
      <c r="B11" s="37">
        <f ca="1">OFFSET('Tiktok Dashboard Data'!$A$1,$R$2+5,$R$3+0)</f>
        <v>2022</v>
      </c>
      <c r="C11" s="37"/>
      <c r="D11" s="37">
        <f ca="1">OFFSET('Tiktok Dashboard Data'!$A$1,$R$2+5,$R$3+1)</f>
        <v>14100000</v>
      </c>
      <c r="E11" s="37" t="e">
        <f t="shared" ref="E11" si="3">"="&amp;_xlfn.CONCAT(#REF!)</f>
        <v>#REF!</v>
      </c>
      <c r="F11" s="37"/>
      <c r="G11" s="37" t="str">
        <f ca="1">OFFSET('Tiktok Dashboard Data'!$A$1,$R$2+5,$R$3+2)</f>
        <v>Savage</v>
      </c>
      <c r="H11" s="37"/>
      <c r="I11" s="37" t="str">
        <f ca="1">OFFSET('Tiktok Dashboard Data'!$A$1,$R$2+5,$R$3+3)</f>
        <v>Megan Thee Stallion</v>
      </c>
      <c r="J11" s="37"/>
      <c r="K11" s="37"/>
      <c r="L11" s="37">
        <f ca="1">OFFSET('Tiktok Dashboard Data'!$A$1,$R$2+5,$R$3+4)</f>
        <v>82</v>
      </c>
      <c r="M11" s="37"/>
      <c r="N11" s="37"/>
      <c r="O11" s="37" t="str">
        <f ca="1">OFFSET('Tiktok Dashboard Data'!$A$1,$R$2+5,$R$3+5)</f>
        <v>Suga</v>
      </c>
      <c r="P11" s="37"/>
      <c r="Q11" s="37"/>
      <c r="R11" s="37">
        <f ca="1">OFFSET('Tiktok Dashboard Data'!$A$1,$R$2+5,$R$3+6)</f>
        <v>70</v>
      </c>
      <c r="S11" s="37"/>
      <c r="T11" s="37">
        <f ca="1">OFFSET('Tiktok Dashboard Data'!$A$1,$R$2+5,$R$3+7)</f>
        <v>0.84299999999999997</v>
      </c>
      <c r="U11" s="37"/>
      <c r="V11" s="37">
        <f ca="1">OFFSET('Tiktok Dashboard Data'!$A$1,$R$2+5,$R$3+8)</f>
        <v>0.74099999999999999</v>
      </c>
      <c r="W11" s="37"/>
      <c r="X11" s="37">
        <f ca="1">OFFSET('Tiktok Dashboard Data'!$A$1,$R$2+5,$R$3+9)</f>
        <v>-5.609</v>
      </c>
      <c r="Y11" s="37"/>
      <c r="Z11" s="37"/>
      <c r="AA11" s="37">
        <f ca="1">OFFSET('Tiktok Dashboard Data'!$A$1,$R$2+5,$R$3+10)</f>
        <v>1</v>
      </c>
      <c r="AB11" s="37"/>
      <c r="AC11" s="37">
        <f ca="1">OFFSET('Tiktok Dashboard Data'!$A$1,$R$2+5,$R$3+11)</f>
        <v>11</v>
      </c>
      <c r="AD11" s="37"/>
      <c r="AE11" s="3"/>
    </row>
    <row r="12" spans="1:58" ht="15">
      <c r="A12" s="3"/>
      <c r="B12" s="37">
        <f ca="1">OFFSET('Tiktok Dashboard Data'!$A$1,$R$2+6,$R$3+0)</f>
        <v>2020</v>
      </c>
      <c r="C12" s="37"/>
      <c r="D12" s="37">
        <f ca="1">OFFSET('Tiktok Dashboard Data'!$A$1,$R$2+6,$R$3+1)</f>
        <v>14100000</v>
      </c>
      <c r="E12" s="37" t="e">
        <f t="shared" ref="E12" si="4">"="&amp;_xlfn.CONCAT(#REF!)</f>
        <v>#REF!</v>
      </c>
      <c r="F12" s="37"/>
      <c r="G12" s="37" t="str">
        <f ca="1">OFFSET('Tiktok Dashboard Data'!$A$1,$R$2+6,$R$3+2)</f>
        <v>Savage</v>
      </c>
      <c r="H12" s="37"/>
      <c r="I12" s="37" t="str">
        <f ca="1">OFFSET('Tiktok Dashboard Data'!$A$1,$R$2+6,$R$3+3)</f>
        <v>Megan Thee Stallion</v>
      </c>
      <c r="J12" s="37"/>
      <c r="K12" s="37"/>
      <c r="L12" s="37">
        <f ca="1">OFFSET('Tiktok Dashboard Data'!$A$1,$R$2+6,$R$3+4)</f>
        <v>82</v>
      </c>
      <c r="M12" s="37"/>
      <c r="N12" s="37"/>
      <c r="O12" s="37" t="str">
        <f ca="1">OFFSET('Tiktok Dashboard Data'!$A$1,$R$2+6,$R$3+5)</f>
        <v>Suga</v>
      </c>
      <c r="P12" s="37"/>
      <c r="Q12" s="37"/>
      <c r="R12" s="37">
        <f ca="1">OFFSET('Tiktok Dashboard Data'!$A$1,$R$2+6,$R$3+6)</f>
        <v>70</v>
      </c>
      <c r="S12" s="37"/>
      <c r="T12" s="37">
        <f ca="1">OFFSET('Tiktok Dashboard Data'!$A$1,$R$2+6,$R$3+7)</f>
        <v>0.84299999999999997</v>
      </c>
      <c r="U12" s="37"/>
      <c r="V12" s="37">
        <f ca="1">OFFSET('Tiktok Dashboard Data'!$A$1,$R$2+6,$R$3+8)</f>
        <v>0.74099999999999999</v>
      </c>
      <c r="W12" s="37"/>
      <c r="X12" s="37">
        <f ca="1">OFFSET('Tiktok Dashboard Data'!$A$1,$R$2+6,$R$3+9)</f>
        <v>-5.609</v>
      </c>
      <c r="Y12" s="37"/>
      <c r="Z12" s="37"/>
      <c r="AA12" s="37">
        <f ca="1">OFFSET('Tiktok Dashboard Data'!$A$1,$R$2+6,$R$3+10)</f>
        <v>1</v>
      </c>
      <c r="AB12" s="37"/>
      <c r="AC12" s="37">
        <f ca="1">OFFSET('Tiktok Dashboard Data'!$A$1,$R$2+6,$R$3+11)</f>
        <v>11</v>
      </c>
      <c r="AD12" s="37"/>
      <c r="AE12" s="3"/>
    </row>
    <row r="13" spans="1:58" ht="15">
      <c r="A13" s="3"/>
      <c r="B13" s="37">
        <f ca="1">OFFSET('Tiktok Dashboard Data'!$A$1,$R$2+7,$R$3+0)</f>
        <v>2019</v>
      </c>
      <c r="C13" s="37"/>
      <c r="D13" s="37">
        <f ca="1">OFFSET('Tiktok Dashboard Data'!$A$1,$R$2+7,$R$3+1)</f>
        <v>13300000</v>
      </c>
      <c r="E13" s="37" t="e">
        <f t="shared" ref="E13" si="5">"="&amp;_xlfn.CONCAT(#REF!)</f>
        <v>#REF!</v>
      </c>
      <c r="F13" s="37"/>
      <c r="G13" s="37" t="str">
        <f ca="1">OFFSET('Tiktok Dashboard Data'!$A$1,$R$2+7,$R$3+2)</f>
        <v>All I Want for Christmas Is You</v>
      </c>
      <c r="H13" s="37"/>
      <c r="I13" s="37" t="str">
        <f ca="1">OFFSET('Tiktok Dashboard Data'!$A$1,$R$2+7,$R$3+3)</f>
        <v>Mariah Carey</v>
      </c>
      <c r="J13" s="37"/>
      <c r="K13" s="37"/>
      <c r="L13" s="37">
        <f ca="1">OFFSET('Tiktok Dashboard Data'!$A$1,$R$2+7,$R$3+4)</f>
        <v>76</v>
      </c>
      <c r="M13" s="37"/>
      <c r="N13" s="37"/>
      <c r="O13" s="37" t="str">
        <f ca="1">OFFSET('Tiktok Dashboard Data'!$A$1,$R$2+7,$R$3+5)</f>
        <v>Merry Christmas</v>
      </c>
      <c r="P13" s="37"/>
      <c r="Q13" s="37"/>
      <c r="R13" s="37">
        <f ca="1">OFFSET('Tiktok Dashboard Data'!$A$1,$R$2+7,$R$3+6)</f>
        <v>67</v>
      </c>
      <c r="S13" s="37"/>
      <c r="T13" s="37">
        <f ca="1">OFFSET('Tiktok Dashboard Data'!$A$1,$R$2+7,$R$3+7)</f>
        <v>0.33600000000000002</v>
      </c>
      <c r="U13" s="37"/>
      <c r="V13" s="37">
        <f ca="1">OFFSET('Tiktok Dashboard Data'!$A$1,$R$2+7,$R$3+8)</f>
        <v>0.627</v>
      </c>
      <c r="W13" s="37"/>
      <c r="X13" s="37">
        <f ca="1">OFFSET('Tiktok Dashboard Data'!$A$1,$R$2+7,$R$3+9)</f>
        <v>-7.4630000000000001</v>
      </c>
      <c r="Y13" s="37"/>
      <c r="Z13" s="37"/>
      <c r="AA13" s="37">
        <f ca="1">OFFSET('Tiktok Dashboard Data'!$A$1,$R$2+7,$R$3+10)</f>
        <v>1</v>
      </c>
      <c r="AB13" s="37"/>
      <c r="AC13" s="37">
        <f ca="1">OFFSET('Tiktok Dashboard Data'!$A$1,$R$2+7,$R$3+11)</f>
        <v>7</v>
      </c>
      <c r="AD13" s="37"/>
      <c r="AE13" s="3"/>
    </row>
    <row r="14" spans="1:58" ht="15">
      <c r="A14" s="3"/>
      <c r="B14" s="37">
        <f ca="1">OFFSET('Tiktok Dashboard Data'!$A$1,$R$2+8,$R$3+0)</f>
        <v>2020</v>
      </c>
      <c r="C14" s="37"/>
      <c r="D14" s="37">
        <f ca="1">OFFSET('Tiktok Dashboard Data'!$A$1,$R$2+8,$R$3+1)</f>
        <v>12200000</v>
      </c>
      <c r="E14" s="37" t="e">
        <f t="shared" ref="E14" si="6">"="&amp;_xlfn.CONCAT(#REF!)</f>
        <v>#REF!</v>
      </c>
      <c r="F14" s="37"/>
      <c r="G14" s="37" t="str">
        <f ca="1">OFFSET('Tiktok Dashboard Data'!$A$1,$R$2+8,$R$3+2)</f>
        <v>CoÃ±o</v>
      </c>
      <c r="H14" s="37"/>
      <c r="I14" s="37" t="str">
        <f ca="1">OFFSET('Tiktok Dashboard Data'!$A$1,$R$2+8,$R$3+3)</f>
        <v>Puri</v>
      </c>
      <c r="J14" s="37"/>
      <c r="K14" s="37"/>
      <c r="L14" s="37">
        <f ca="1">OFFSET('Tiktok Dashboard Data'!$A$1,$R$2+8,$R$3+4)</f>
        <v>56</v>
      </c>
      <c r="M14" s="37"/>
      <c r="N14" s="37"/>
      <c r="O14" s="37" t="str">
        <f ca="1">OFFSET('Tiktok Dashboard Data'!$A$1,$R$2+8,$R$3+5)</f>
        <v>CoÃ±o</v>
      </c>
      <c r="P14" s="37"/>
      <c r="Q14" s="37"/>
      <c r="R14" s="37">
        <f ca="1">OFFSET('Tiktok Dashboard Data'!$A$1,$R$2+8,$R$3+6)</f>
        <v>60</v>
      </c>
      <c r="S14" s="37"/>
      <c r="T14" s="37">
        <f ca="1">OFFSET('Tiktok Dashboard Data'!$A$1,$R$2+8,$R$3+7)</f>
        <v>0.84699999999999998</v>
      </c>
      <c r="U14" s="37"/>
      <c r="V14" s="37">
        <f ca="1">OFFSET('Tiktok Dashboard Data'!$A$1,$R$2+8,$R$3+8)</f>
        <v>0.57299999999999995</v>
      </c>
      <c r="W14" s="37"/>
      <c r="X14" s="37">
        <f ca="1">OFFSET('Tiktok Dashboard Data'!$A$1,$R$2+8,$R$3+9)</f>
        <v>-6.032</v>
      </c>
      <c r="Y14" s="37"/>
      <c r="Z14" s="37"/>
      <c r="AA14" s="37">
        <f ca="1">OFFSET('Tiktok Dashboard Data'!$A$1,$R$2+8,$R$3+10)</f>
        <v>1</v>
      </c>
      <c r="AB14" s="37"/>
      <c r="AC14" s="37">
        <f ca="1">OFFSET('Tiktok Dashboard Data'!$A$1,$R$2+8,$R$3+11)</f>
        <v>0</v>
      </c>
      <c r="AD14" s="37"/>
      <c r="AE14" s="3"/>
      <c r="AY14" s="7"/>
      <c r="AZ14" s="7"/>
      <c r="BA14" s="7"/>
    </row>
    <row r="15" spans="1:58" ht="15">
      <c r="A15" s="3"/>
      <c r="B15" s="37">
        <f ca="1">OFFSET('Tiktok Dashboard Data'!$A$1,$R$2+9,$R$3+0)</f>
        <v>2021</v>
      </c>
      <c r="C15" s="37"/>
      <c r="D15" s="37">
        <f ca="1">OFFSET('Tiktok Dashboard Data'!$A$1,$R$2+9,$R$3+1)</f>
        <v>11300000</v>
      </c>
      <c r="E15" s="37" t="e">
        <f t="shared" ref="E15" si="7">"="&amp;_xlfn.CONCAT(#REF!)</f>
        <v>#REF!</v>
      </c>
      <c r="F15" s="37"/>
      <c r="G15" s="37" t="str">
        <f ca="1">OFFSET('Tiktok Dashboard Data'!$A$1,$R$2+9,$R$3+2)</f>
        <v>Upside Down</v>
      </c>
      <c r="H15" s="37"/>
      <c r="I15" s="37" t="str">
        <f ca="1">OFFSET('Tiktok Dashboard Data'!$A$1,$R$2+9,$R$3+3)</f>
        <v>JVKE</v>
      </c>
      <c r="J15" s="37"/>
      <c r="K15" s="37"/>
      <c r="L15" s="37">
        <f ca="1">OFFSET('Tiktok Dashboard Data'!$A$1,$R$2+9,$R$3+4)</f>
        <v>71</v>
      </c>
      <c r="M15" s="37"/>
      <c r="N15" s="37"/>
      <c r="O15" s="37" t="str">
        <f ca="1">OFFSET('Tiktok Dashboard Data'!$A$1,$R$2+9,$R$3+5)</f>
        <v>Upside Down</v>
      </c>
      <c r="P15" s="37"/>
      <c r="Q15" s="37"/>
      <c r="R15" s="37">
        <f ca="1">OFFSET('Tiktok Dashboard Data'!$A$1,$R$2+9,$R$3+6)</f>
        <v>65</v>
      </c>
      <c r="S15" s="37"/>
      <c r="T15" s="37">
        <f ca="1">OFFSET('Tiktok Dashboard Data'!$A$1,$R$2+9,$R$3+7)</f>
        <v>0.88</v>
      </c>
      <c r="U15" s="37"/>
      <c r="V15" s="37">
        <f ca="1">OFFSET('Tiktok Dashboard Data'!$A$1,$R$2+9,$R$3+8)</f>
        <v>0.501</v>
      </c>
      <c r="W15" s="37"/>
      <c r="X15" s="37">
        <f ca="1">OFFSET('Tiktok Dashboard Data'!$A$1,$R$2+9,$R$3+9)</f>
        <v>-6.774</v>
      </c>
      <c r="Y15" s="37"/>
      <c r="Z15" s="37"/>
      <c r="AA15" s="37">
        <f ca="1">OFFSET('Tiktok Dashboard Data'!$A$1,$R$2+9,$R$3+10)</f>
        <v>1</v>
      </c>
      <c r="AB15" s="37"/>
      <c r="AC15" s="37">
        <f ca="1">OFFSET('Tiktok Dashboard Data'!$A$1,$R$2+9,$R$3+11)</f>
        <v>2</v>
      </c>
      <c r="AD15" s="37"/>
      <c r="AE15" s="3"/>
      <c r="AY15" s="7"/>
      <c r="AZ15" s="7"/>
      <c r="BA15" s="7"/>
      <c r="BD15" s="7"/>
      <c r="BE15" s="7"/>
      <c r="BF15" s="7"/>
    </row>
    <row r="16" spans="1:58" ht="15">
      <c r="A16" s="3"/>
      <c r="B16" s="37">
        <f ca="1">OFFSET('Tiktok Dashboard Data'!$A$1,$R$2+10,$R$3+0)</f>
        <v>2021</v>
      </c>
      <c r="C16" s="37"/>
      <c r="D16" s="37">
        <f ca="1">OFFSET('Tiktok Dashboard Data'!$A$1,$R$2+10,$R$3+1)</f>
        <v>11000000</v>
      </c>
      <c r="E16" s="37" t="e">
        <f t="shared" ref="E16" si="8">"="&amp;_xlfn.CONCAT(#REF!)</f>
        <v>#REF!</v>
      </c>
      <c r="F16" s="37"/>
      <c r="G16" s="37" t="str">
        <f ca="1">OFFSET('Tiktok Dashboard Data'!$A$1,$R$2+10,$R$3+2)</f>
        <v>Se AcabÃ³ la Cuarentena</v>
      </c>
      <c r="H16" s="37"/>
      <c r="I16" s="37" t="str">
        <f ca="1">OFFSET('Tiktok Dashboard Data'!$A$1,$R$2+10,$R$3+3)</f>
        <v>Jowell &amp; Randy</v>
      </c>
      <c r="J16" s="37"/>
      <c r="K16" s="37"/>
      <c r="L16" s="37">
        <f ca="1">OFFSET('Tiktok Dashboard Data'!$A$1,$R$2+10,$R$3+4)</f>
        <v>69</v>
      </c>
      <c r="M16" s="37"/>
      <c r="N16" s="37"/>
      <c r="O16" s="37" t="str">
        <f ca="1">OFFSET('Tiktok Dashboard Data'!$A$1,$R$2+10,$R$3+5)</f>
        <v>Viva el Perreo</v>
      </c>
      <c r="P16" s="37"/>
      <c r="Q16" s="37"/>
      <c r="R16" s="37">
        <f ca="1">OFFSET('Tiktok Dashboard Data'!$A$1,$R$2+10,$R$3+6)</f>
        <v>62</v>
      </c>
      <c r="S16" s="37"/>
      <c r="T16" s="37">
        <f ca="1">OFFSET('Tiktok Dashboard Data'!$A$1,$R$2+10,$R$3+7)</f>
        <v>0.88600000000000001</v>
      </c>
      <c r="U16" s="37"/>
      <c r="V16" s="37">
        <f ca="1">OFFSET('Tiktok Dashboard Data'!$A$1,$R$2+10,$R$3+8)</f>
        <v>0.60499999999999998</v>
      </c>
      <c r="W16" s="37"/>
      <c r="X16" s="37">
        <f ca="1">OFFSET('Tiktok Dashboard Data'!$A$1,$R$2+10,$R$3+9)</f>
        <v>-4.3109999999999999</v>
      </c>
      <c r="Y16" s="37"/>
      <c r="Z16" s="37"/>
      <c r="AA16" s="37">
        <f ca="1">OFFSET('Tiktok Dashboard Data'!$A$1,$R$2+10,$R$3+10)</f>
        <v>1</v>
      </c>
      <c r="AB16" s="37"/>
      <c r="AC16" s="37">
        <f ca="1">OFFSET('Tiktok Dashboard Data'!$A$1,$R$2+10,$R$3+11)</f>
        <v>6</v>
      </c>
      <c r="AD16" s="37"/>
      <c r="AE16" s="3"/>
      <c r="AY16" s="7"/>
      <c r="AZ16" s="7"/>
      <c r="BA16" s="7"/>
      <c r="BD16" s="7"/>
      <c r="BE16" s="7"/>
      <c r="BF16" s="7"/>
    </row>
    <row r="17" spans="1:58" ht="15">
      <c r="A17" s="3"/>
      <c r="B17" s="37">
        <f ca="1">OFFSET('Tiktok Dashboard Data'!$A$1,$R$2+11,$R$3+0)</f>
        <v>2019</v>
      </c>
      <c r="C17" s="37"/>
      <c r="D17" s="37">
        <f ca="1">OFFSET('Tiktok Dashboard Data'!$A$1,$R$2+11,$R$3+1)</f>
        <v>10600000</v>
      </c>
      <c r="E17" s="37" t="e">
        <f t="shared" ref="E17" si="9">"="&amp;_xlfn.CONCAT(#REF!)</f>
        <v>#REF!</v>
      </c>
      <c r="F17" s="37"/>
      <c r="G17" s="37" t="str">
        <f ca="1">OFFSET('Tiktok Dashboard Data'!$A$1,$R$2+11,$R$3+2)</f>
        <v>Woah (feat. D3Mstreet)</v>
      </c>
      <c r="H17" s="37"/>
      <c r="I17" s="37" t="str">
        <f ca="1">OFFSET('Tiktok Dashboard Data'!$A$1,$R$2+11,$R$3+3)</f>
        <v>KRYPTO9095</v>
      </c>
      <c r="J17" s="37"/>
      <c r="K17" s="37"/>
      <c r="L17" s="37">
        <f ca="1">OFFSET('Tiktok Dashboard Data'!$A$1,$R$2+11,$R$3+4)</f>
        <v>39</v>
      </c>
      <c r="M17" s="37"/>
      <c r="N17" s="37"/>
      <c r="O17" s="37" t="str">
        <f ca="1">OFFSET('Tiktok Dashboard Data'!$A$1,$R$2+11,$R$3+5)</f>
        <v>Woah (feat. D3Mstreet)</v>
      </c>
      <c r="P17" s="37"/>
      <c r="Q17" s="37"/>
      <c r="R17" s="37">
        <f ca="1">OFFSET('Tiktok Dashboard Data'!$A$1,$R$2+11,$R$3+6)</f>
        <v>56</v>
      </c>
      <c r="S17" s="37"/>
      <c r="T17" s="37">
        <f ca="1">OFFSET('Tiktok Dashboard Data'!$A$1,$R$2+11,$R$3+7)</f>
        <v>0.88800000000000001</v>
      </c>
      <c r="U17" s="37"/>
      <c r="V17" s="37">
        <f ca="1">OFFSET('Tiktok Dashboard Data'!$A$1,$R$2+11,$R$3+8)</f>
        <v>0.52200000000000002</v>
      </c>
      <c r="W17" s="37"/>
      <c r="X17" s="37">
        <f ca="1">OFFSET('Tiktok Dashboard Data'!$A$1,$R$2+11,$R$3+9)</f>
        <v>-8.9359999999999999</v>
      </c>
      <c r="Y17" s="37"/>
      <c r="Z17" s="37"/>
      <c r="AA17" s="37">
        <f ca="1">OFFSET('Tiktok Dashboard Data'!$A$1,$R$2+11,$R$3+10)</f>
        <v>1</v>
      </c>
      <c r="AB17" s="37"/>
      <c r="AC17" s="37">
        <f ca="1">OFFSET('Tiktok Dashboard Data'!$A$1,$R$2+11,$R$3+11)</f>
        <v>1</v>
      </c>
      <c r="AD17" s="37"/>
      <c r="AE17" s="3"/>
      <c r="BD17" s="7"/>
      <c r="BE17" s="7"/>
      <c r="BF17" s="7"/>
    </row>
    <row r="18" spans="1:58" ht="15">
      <c r="A18" s="3"/>
      <c r="B18" s="37">
        <f ca="1">OFFSET('Tiktok Dashboard Data'!$A$1,$R$2+12,$R$3+0)</f>
        <v>2022</v>
      </c>
      <c r="C18" s="37"/>
      <c r="D18" s="37">
        <f ca="1">OFFSET('Tiktok Dashboard Data'!$A$1,$R$2+12,$R$3+1)</f>
        <v>9800000</v>
      </c>
      <c r="E18" s="37" t="e">
        <f t="shared" ref="E18" si="10">"="&amp;_xlfn.CONCAT(#REF!)</f>
        <v>#REF!</v>
      </c>
      <c r="F18" s="37"/>
      <c r="G18" s="37" t="str">
        <f ca="1">OFFSET('Tiktok Dashboard Data'!$A$1,$R$2+12,$R$3+2)</f>
        <v>Say So</v>
      </c>
      <c r="H18" s="37"/>
      <c r="I18" s="37" t="str">
        <f ca="1">OFFSET('Tiktok Dashboard Data'!$A$1,$R$2+12,$R$3+3)</f>
        <v>Doja Cat</v>
      </c>
      <c r="J18" s="37"/>
      <c r="K18" s="37"/>
      <c r="L18" s="37">
        <f ca="1">OFFSET('Tiktok Dashboard Data'!$A$1,$R$2+12,$R$3+4)</f>
        <v>88</v>
      </c>
      <c r="M18" s="37"/>
      <c r="N18" s="37"/>
      <c r="O18" s="37" t="str">
        <f ca="1">OFFSET('Tiktok Dashboard Data'!$A$1,$R$2+12,$R$3+5)</f>
        <v>Hot Pink</v>
      </c>
      <c r="P18" s="37"/>
      <c r="Q18" s="37"/>
      <c r="R18" s="37">
        <f ca="1">OFFSET('Tiktok Dashboard Data'!$A$1,$R$2+12,$R$3+6)</f>
        <v>80</v>
      </c>
      <c r="S18" s="37"/>
      <c r="T18" s="37">
        <f ca="1">OFFSET('Tiktok Dashboard Data'!$A$1,$R$2+12,$R$3+7)</f>
        <v>0.78700000000000003</v>
      </c>
      <c r="U18" s="37"/>
      <c r="V18" s="37">
        <f ca="1">OFFSET('Tiktok Dashboard Data'!$A$1,$R$2+12,$R$3+8)</f>
        <v>0.67300000000000004</v>
      </c>
      <c r="W18" s="37"/>
      <c r="X18" s="37">
        <f ca="1">OFFSET('Tiktok Dashboard Data'!$A$1,$R$2+12,$R$3+9)</f>
        <v>-4.5830000000000002</v>
      </c>
      <c r="Y18" s="37"/>
      <c r="Z18" s="37"/>
      <c r="AA18" s="37">
        <f ca="1">OFFSET('Tiktok Dashboard Data'!$A$1,$R$2+12,$R$3+10)</f>
        <v>0</v>
      </c>
      <c r="AB18" s="37"/>
      <c r="AC18" s="37">
        <f ca="1">OFFSET('Tiktok Dashboard Data'!$A$1,$R$2+12,$R$3+11)</f>
        <v>11</v>
      </c>
      <c r="AD18" s="37"/>
      <c r="AE18" s="3"/>
    </row>
    <row r="19" spans="1:58" ht="15">
      <c r="A19" s="3"/>
      <c r="B19" s="37">
        <f ca="1">OFFSET('Tiktok Dashboard Data'!$A$1,$R$2+13,$R$3+0)</f>
        <v>2019</v>
      </c>
      <c r="C19" s="37"/>
      <c r="D19" s="37">
        <f ca="1">OFFSET('Tiktok Dashboard Data'!$A$1,$R$2+13,$R$3+1)</f>
        <v>9800000</v>
      </c>
      <c r="E19" s="37" t="e">
        <f t="shared" ref="E19" si="11">"="&amp;_xlfn.CONCAT(#REF!)</f>
        <v>#REF!</v>
      </c>
      <c r="F19" s="37"/>
      <c r="G19" s="37" t="str">
        <f ca="1">OFFSET('Tiktok Dashboard Data'!$A$1,$R$2+13,$R$3+2)</f>
        <v>Say So</v>
      </c>
      <c r="H19" s="37"/>
      <c r="I19" s="37" t="str">
        <f ca="1">OFFSET('Tiktok Dashboard Data'!$A$1,$R$2+13,$R$3+3)</f>
        <v>Doja Cat</v>
      </c>
      <c r="J19" s="37"/>
      <c r="K19" s="37"/>
      <c r="L19" s="37">
        <f ca="1">OFFSET('Tiktok Dashboard Data'!$A$1,$R$2+13,$R$3+4)</f>
        <v>88</v>
      </c>
      <c r="M19" s="37"/>
      <c r="N19" s="37"/>
      <c r="O19" s="37" t="str">
        <f ca="1">OFFSET('Tiktok Dashboard Data'!$A$1,$R$2+13,$R$3+5)</f>
        <v>Hot Pink</v>
      </c>
      <c r="P19" s="37"/>
      <c r="Q19" s="37"/>
      <c r="R19" s="37">
        <f ca="1">OFFSET('Tiktok Dashboard Data'!$A$1,$R$2+13,$R$3+6)</f>
        <v>80</v>
      </c>
      <c r="S19" s="37"/>
      <c r="T19" s="37">
        <f ca="1">OFFSET('Tiktok Dashboard Data'!$A$1,$R$2+13,$R$3+7)</f>
        <v>0.78700000000000003</v>
      </c>
      <c r="U19" s="37"/>
      <c r="V19" s="37">
        <f ca="1">OFFSET('Tiktok Dashboard Data'!$A$1,$R$2+13,$R$3+8)</f>
        <v>0.67300000000000004</v>
      </c>
      <c r="W19" s="37"/>
      <c r="X19" s="37">
        <f ca="1">OFFSET('Tiktok Dashboard Data'!$A$1,$R$2+13,$R$3+9)</f>
        <v>-4.5830000000000002</v>
      </c>
      <c r="Y19" s="37"/>
      <c r="Z19" s="37"/>
      <c r="AA19" s="37">
        <f ca="1">OFFSET('Tiktok Dashboard Data'!$A$1,$R$2+13,$R$3+10)</f>
        <v>0</v>
      </c>
      <c r="AB19" s="37"/>
      <c r="AC19" s="37">
        <f ca="1">OFFSET('Tiktok Dashboard Data'!$A$1,$R$2+13,$R$3+11)</f>
        <v>11</v>
      </c>
      <c r="AD19" s="37"/>
      <c r="AE19" s="3"/>
    </row>
    <row r="20" spans="1:58" ht="8.1" customHeight="1">
      <c r="A20" s="3"/>
      <c r="B20" s="36">
        <f ca="1">OFFSET('Tiktok Dashboard Data'!$A$1,$R$2+14,$R$3+0)</f>
        <v>2022</v>
      </c>
      <c r="C20" s="36"/>
      <c r="D20" s="36">
        <f ca="1">OFFSET('Tiktok Dashboard Data'!$A$1,$R$2+14,$R$3+1)</f>
        <v>9500000</v>
      </c>
      <c r="E20" s="36"/>
      <c r="F20" s="36"/>
      <c r="G20" s="36" t="str">
        <f ca="1">OFFSET('Tiktok Dashboard Data'!$A$1,$R$2+14,$R$3+2)</f>
        <v>Sunroof</v>
      </c>
      <c r="H20" s="36"/>
      <c r="I20" s="36" t="str">
        <f ca="1">OFFSET('Tiktok Dashboard Data'!$A$1,$R$2+14,$R$3+3)</f>
        <v>Nicky Youre</v>
      </c>
      <c r="J20" s="36"/>
      <c r="K20" s="36"/>
      <c r="L20" s="36">
        <f ca="1">OFFSET('Tiktok Dashboard Data'!$A$1,$R$2+14,$R$3+4)</f>
        <v>73</v>
      </c>
      <c r="M20" s="36"/>
      <c r="N20" s="36"/>
      <c r="O20" s="36" t="str">
        <f ca="1">OFFSET('Tiktok Dashboard Data'!$A$1,$R$2+14,$R$3+5)</f>
        <v>Sunroof</v>
      </c>
      <c r="P20" s="36"/>
      <c r="Q20" s="36"/>
      <c r="R20" s="36">
        <f ca="1">OFFSET('Tiktok Dashboard Data'!$A$1,$R$2+14,$R$3+6)</f>
        <v>44</v>
      </c>
      <c r="S20" s="36"/>
      <c r="T20" s="36">
        <f ca="1">OFFSET('Tiktok Dashboard Data'!$A$1,$R$2+14,$R$3+7)</f>
        <v>0.76800000000000002</v>
      </c>
      <c r="U20" s="36"/>
      <c r="V20" s="36">
        <f ca="1">OFFSET('Tiktok Dashboard Data'!$A$1,$R$2+14,$R$3+8)</f>
        <v>0.71599999999999997</v>
      </c>
      <c r="W20" s="36"/>
      <c r="X20" s="36">
        <f ca="1">OFFSET('Tiktok Dashboard Data'!$A$1,$R$2+14,$R$3+9)</f>
        <v>-5.1100000000000003</v>
      </c>
      <c r="Y20" s="36"/>
      <c r="Z20" s="36"/>
      <c r="AA20" s="36">
        <f ca="1">OFFSET('Tiktok Dashboard Data'!$A$1,$R$2+14,$R$3+10)</f>
        <v>1</v>
      </c>
      <c r="AB20" s="36"/>
      <c r="AC20" s="36">
        <f ca="1">OFFSET('Tiktok Dashboard Data'!$A$1,$R$2+14,$R$3+11)</f>
        <v>10</v>
      </c>
      <c r="AD20" s="36"/>
      <c r="AE20" s="3"/>
    </row>
    <row r="21" spans="1:58" ht="8.1" customHeight="1">
      <c r="A21" s="3"/>
      <c r="B21" s="36"/>
      <c r="C21" s="36"/>
      <c r="D21" s="36"/>
      <c r="E21" s="36"/>
      <c r="F21" s="36"/>
      <c r="G21" s="36"/>
      <c r="H21" s="36"/>
      <c r="I21" s="36"/>
      <c r="J21" s="36"/>
      <c r="K21" s="36"/>
      <c r="L21" s="36"/>
      <c r="M21" s="36"/>
      <c r="N21" s="36"/>
      <c r="O21" s="36"/>
      <c r="P21" s="36"/>
      <c r="Q21" s="36"/>
      <c r="R21" s="36"/>
      <c r="S21" s="36"/>
      <c r="T21" s="36"/>
      <c r="U21" s="36"/>
      <c r="V21" s="36"/>
      <c r="W21" s="36"/>
      <c r="X21" s="36"/>
      <c r="Y21" s="36"/>
      <c r="Z21" s="36"/>
      <c r="AA21" s="36"/>
      <c r="AB21" s="36"/>
      <c r="AC21" s="36"/>
      <c r="AD21" s="36"/>
      <c r="AE21" s="3"/>
    </row>
    <row r="22" spans="1:58" ht="14.25" customHeight="1">
      <c r="A22" s="3"/>
      <c r="B22" s="37">
        <f ca="1">OFFSET('Tiktok Dashboard Data'!$A$1,$R$2+15,$R$3+0)</f>
        <v>2022</v>
      </c>
      <c r="C22" s="37"/>
      <c r="D22" s="37">
        <f ca="1">OFFSET('Tiktok Dashboard Data'!$A$1,$R$2+15,$R$3+1)</f>
        <v>8400000</v>
      </c>
      <c r="E22" s="37" t="e">
        <f t="shared" ref="E22" si="12">"="&amp;_xlfn.CONCAT(#REF!)</f>
        <v>#REF!</v>
      </c>
      <c r="F22" s="37"/>
      <c r="G22" s="37" t="str">
        <f ca="1">OFFSET('Tiktok Dashboard Data'!$A$1,$R$2+15,$R$3+2)</f>
        <v>Beggin'</v>
      </c>
      <c r="H22" s="37"/>
      <c r="I22" s="37" t="str">
        <f ca="1">OFFSET('Tiktok Dashboard Data'!$A$1,$R$2+15,$R$3+3)</f>
        <v>MÃ¥neskin</v>
      </c>
      <c r="J22" s="37"/>
      <c r="K22" s="37"/>
      <c r="L22" s="37">
        <f ca="1">OFFSET('Tiktok Dashboard Data'!$A$1,$R$2+15,$R$3+4)</f>
        <v>78</v>
      </c>
      <c r="M22" s="37"/>
      <c r="N22" s="37"/>
      <c r="O22" s="37" t="str">
        <f ca="1">OFFSET('Tiktok Dashboard Data'!$A$1,$R$2+15,$R$3+5)</f>
        <v>Chosen</v>
      </c>
      <c r="P22" s="37"/>
      <c r="Q22" s="37"/>
      <c r="R22" s="37">
        <f ca="1">OFFSET('Tiktok Dashboard Data'!$A$1,$R$2+15,$R$3+6)</f>
        <v>86</v>
      </c>
      <c r="S22" s="37"/>
      <c r="T22" s="37">
        <f ca="1">OFFSET('Tiktok Dashboard Data'!$A$1,$R$2+15,$R$3+7)</f>
        <v>0.71399999999999997</v>
      </c>
      <c r="U22" s="37"/>
      <c r="V22" s="37">
        <f ca="1">OFFSET('Tiktok Dashboard Data'!$A$1,$R$2+15,$R$3+8)</f>
        <v>0.8</v>
      </c>
      <c r="W22" s="37"/>
      <c r="X22" s="37">
        <f ca="1">OFFSET('Tiktok Dashboard Data'!$A$1,$R$2+15,$R$3+9)</f>
        <v>-4.8079999999999998</v>
      </c>
      <c r="Y22" s="37"/>
      <c r="Z22" s="37"/>
      <c r="AA22" s="37">
        <f ca="1">OFFSET('Tiktok Dashboard Data'!$A$1,$R$2+15,$R$3+10)</f>
        <v>0</v>
      </c>
      <c r="AB22" s="37"/>
      <c r="AC22" s="37">
        <f ca="1">OFFSET('Tiktok Dashboard Data'!$A$1,$R$2+15,$R$3+11)</f>
        <v>11</v>
      </c>
      <c r="AD22" s="37"/>
      <c r="AE22" s="3"/>
    </row>
    <row r="23" spans="1:58" ht="14.25" customHeight="1">
      <c r="A23" s="3"/>
      <c r="B23" s="37">
        <f ca="1">OFFSET('Tiktok Dashboard Data'!$A$1,$R$2+16,$R$3+0)</f>
        <v>2021</v>
      </c>
      <c r="C23" s="37"/>
      <c r="D23" s="37">
        <f ca="1">OFFSET('Tiktok Dashboard Data'!$A$1,$R$2+16,$R$3+1)</f>
        <v>8400000</v>
      </c>
      <c r="E23" s="37" t="e">
        <f t="shared" ref="E23" si="13">"="&amp;_xlfn.CONCAT(#REF!)</f>
        <v>#REF!</v>
      </c>
      <c r="F23" s="37"/>
      <c r="G23" s="37" t="str">
        <f ca="1">OFFSET('Tiktok Dashboard Data'!$A$1,$R$2+16,$R$3+2)</f>
        <v>Beggin'</v>
      </c>
      <c r="H23" s="37"/>
      <c r="I23" s="37" t="str">
        <f ca="1">OFFSET('Tiktok Dashboard Data'!$A$1,$R$2+16,$R$3+3)</f>
        <v>MÃ¥neskin</v>
      </c>
      <c r="J23" s="37"/>
      <c r="K23" s="37"/>
      <c r="L23" s="37">
        <f ca="1">OFFSET('Tiktok Dashboard Data'!$A$1,$R$2+16,$R$3+4)</f>
        <v>78</v>
      </c>
      <c r="M23" s="37"/>
      <c r="N23" s="37"/>
      <c r="O23" s="37" t="str">
        <f ca="1">OFFSET('Tiktok Dashboard Data'!$A$1,$R$2+16,$R$3+5)</f>
        <v>Chosen</v>
      </c>
      <c r="P23" s="37"/>
      <c r="Q23" s="37"/>
      <c r="R23" s="37">
        <f ca="1">OFFSET('Tiktok Dashboard Data'!$A$1,$R$2+16,$R$3+6)</f>
        <v>86</v>
      </c>
      <c r="S23" s="37"/>
      <c r="T23" s="37">
        <f ca="1">OFFSET('Tiktok Dashboard Data'!$A$1,$R$2+16,$R$3+7)</f>
        <v>0.71399999999999997</v>
      </c>
      <c r="U23" s="37"/>
      <c r="V23" s="37">
        <f ca="1">OFFSET('Tiktok Dashboard Data'!$A$1,$R$2+16,$R$3+8)</f>
        <v>0.8</v>
      </c>
      <c r="W23" s="37"/>
      <c r="X23" s="37">
        <f ca="1">OFFSET('Tiktok Dashboard Data'!$A$1,$R$2+16,$R$3+9)</f>
        <v>-4.8079999999999998</v>
      </c>
      <c r="Y23" s="37"/>
      <c r="Z23" s="37"/>
      <c r="AA23" s="37">
        <f ca="1">OFFSET('Tiktok Dashboard Data'!$A$1,$R$2+16,$R$3+10)</f>
        <v>0</v>
      </c>
      <c r="AB23" s="37"/>
      <c r="AC23" s="37">
        <f ca="1">OFFSET('Tiktok Dashboard Data'!$A$1,$R$2+16,$R$3+11)</f>
        <v>11</v>
      </c>
      <c r="AD23" s="37"/>
      <c r="AE23" s="3"/>
    </row>
    <row r="24" spans="1:58" ht="15">
      <c r="A24" s="3"/>
      <c r="B24" s="37">
        <f ca="1">OFFSET('Tiktok Dashboard Data'!$A$1,$R$2+17,$R$3+0)</f>
        <v>2022</v>
      </c>
      <c r="C24" s="37"/>
      <c r="D24" s="37">
        <f ca="1">OFFSET('Tiktok Dashboard Data'!$A$1,$R$2+17,$R$3+1)</f>
        <v>8300000</v>
      </c>
      <c r="E24" s="37" t="e">
        <f t="shared" ref="E24" si="14">"="&amp;_xlfn.CONCAT(#REF!)</f>
        <v>#REF!</v>
      </c>
      <c r="F24" s="37"/>
      <c r="G24" s="37" t="str">
        <f ca="1">OFFSET('Tiktok Dashboard Data'!$A$1,$R$2+17,$R$3+2)</f>
        <v>OUT WEST (feat. Young Thug)</v>
      </c>
      <c r="H24" s="37"/>
      <c r="I24" s="37" t="str">
        <f ca="1">OFFSET('Tiktok Dashboard Data'!$A$1,$R$2+17,$R$3+3)</f>
        <v>JACKBOYS</v>
      </c>
      <c r="J24" s="37"/>
      <c r="K24" s="37"/>
      <c r="L24" s="37">
        <f ca="1">OFFSET('Tiktok Dashboard Data'!$A$1,$R$2+17,$R$3+4)</f>
        <v>65</v>
      </c>
      <c r="M24" s="37"/>
      <c r="N24" s="37"/>
      <c r="O24" s="37" t="str">
        <f ca="1">OFFSET('Tiktok Dashboard Data'!$A$1,$R$2+17,$R$3+5)</f>
        <v>JACKBOYS</v>
      </c>
      <c r="P24" s="37"/>
      <c r="Q24" s="37"/>
      <c r="R24" s="37">
        <f ca="1">OFFSET('Tiktok Dashboard Data'!$A$1,$R$2+17,$R$3+6)</f>
        <v>77</v>
      </c>
      <c r="S24" s="37"/>
      <c r="T24" s="37">
        <f ca="1">OFFSET('Tiktok Dashboard Data'!$A$1,$R$2+17,$R$3+7)</f>
        <v>0.80200000000000005</v>
      </c>
      <c r="U24" s="37"/>
      <c r="V24" s="37">
        <f ca="1">OFFSET('Tiktok Dashboard Data'!$A$1,$R$2+17,$R$3+8)</f>
        <v>0.59099999999999997</v>
      </c>
      <c r="W24" s="37"/>
      <c r="X24" s="37">
        <f ca="1">OFFSET('Tiktok Dashboard Data'!$A$1,$R$2+17,$R$3+9)</f>
        <v>-4.8949999999999996</v>
      </c>
      <c r="Y24" s="37"/>
      <c r="Z24" s="37"/>
      <c r="AA24" s="37">
        <f ca="1">OFFSET('Tiktok Dashboard Data'!$A$1,$R$2+17,$R$3+10)</f>
        <v>1</v>
      </c>
      <c r="AB24" s="37"/>
      <c r="AC24" s="37">
        <f ca="1">OFFSET('Tiktok Dashboard Data'!$A$1,$R$2+17,$R$3+11)</f>
        <v>8</v>
      </c>
      <c r="AD24" s="37"/>
      <c r="AE24" s="3"/>
    </row>
    <row r="25" spans="1:58" ht="15">
      <c r="A25" s="3"/>
      <c r="B25" s="37">
        <f ca="1">OFFSET('Tiktok Dashboard Data'!$A$1,$R$2+18,$R$3+0)</f>
        <v>2020</v>
      </c>
      <c r="C25" s="37"/>
      <c r="D25" s="37">
        <f ca="1">OFFSET('Tiktok Dashboard Data'!$A$1,$R$2+18,$R$3+1)</f>
        <v>8300000</v>
      </c>
      <c r="E25" s="37" t="e">
        <f t="shared" ref="E25" si="15">"="&amp;_xlfn.CONCAT(#REF!)</f>
        <v>#REF!</v>
      </c>
      <c r="F25" s="37"/>
      <c r="G25" s="37" t="str">
        <f ca="1">OFFSET('Tiktok Dashboard Data'!$A$1,$R$2+18,$R$3+2)</f>
        <v>OUT WEST (feat. Young Thug)</v>
      </c>
      <c r="H25" s="37"/>
      <c r="I25" s="37" t="str">
        <f ca="1">OFFSET('Tiktok Dashboard Data'!$A$1,$R$2+18,$R$3+3)</f>
        <v>JACKBOYS</v>
      </c>
      <c r="J25" s="37"/>
      <c r="K25" s="37"/>
      <c r="L25" s="37">
        <f ca="1">OFFSET('Tiktok Dashboard Data'!$A$1,$R$2+18,$R$3+4)</f>
        <v>65</v>
      </c>
      <c r="M25" s="37"/>
      <c r="N25" s="37"/>
      <c r="O25" s="37" t="str">
        <f ca="1">OFFSET('Tiktok Dashboard Data'!$A$1,$R$2+18,$R$3+5)</f>
        <v>JACKBOYS</v>
      </c>
      <c r="P25" s="37"/>
      <c r="Q25" s="37"/>
      <c r="R25" s="37">
        <f ca="1">OFFSET('Tiktok Dashboard Data'!$A$1,$R$2+18,$R$3+6)</f>
        <v>77</v>
      </c>
      <c r="S25" s="37"/>
      <c r="T25" s="37">
        <f ca="1">OFFSET('Tiktok Dashboard Data'!$A$1,$R$2+18,$R$3+7)</f>
        <v>0.80200000000000005</v>
      </c>
      <c r="U25" s="37"/>
      <c r="V25" s="37">
        <f ca="1">OFFSET('Tiktok Dashboard Data'!$A$1,$R$2+18,$R$3+8)</f>
        <v>0.59099999999999997</v>
      </c>
      <c r="W25" s="37"/>
      <c r="X25" s="37">
        <f ca="1">OFFSET('Tiktok Dashboard Data'!$A$1,$R$2+18,$R$3+9)</f>
        <v>-4.8949999999999996</v>
      </c>
      <c r="Y25" s="37"/>
      <c r="Z25" s="37"/>
      <c r="AA25" s="37">
        <f ca="1">OFFSET('Tiktok Dashboard Data'!$A$1,$R$2+18,$R$3+10)</f>
        <v>1</v>
      </c>
      <c r="AB25" s="37"/>
      <c r="AC25" s="37">
        <f ca="1">OFFSET('Tiktok Dashboard Data'!$A$1,$R$2+18,$R$3+11)</f>
        <v>8</v>
      </c>
      <c r="AD25" s="37"/>
      <c r="AE25" s="3"/>
    </row>
    <row r="26" spans="1:58" ht="15">
      <c r="A26" s="3"/>
      <c r="B26" s="37">
        <f ca="1">OFFSET('Tiktok Dashboard Data'!$A$1,$R$2+19,$R$3+0)</f>
        <v>2021</v>
      </c>
      <c r="C26" s="37"/>
      <c r="D26" s="37">
        <f ca="1">OFFSET('Tiktok Dashboard Data'!$A$1,$R$2+19,$R$3+1)</f>
        <v>6800000</v>
      </c>
      <c r="E26" s="37" t="e">
        <f t="shared" ref="E26" si="16">"="&amp;_xlfn.CONCAT(#REF!)</f>
        <v>#REF!</v>
      </c>
      <c r="F26" s="37"/>
      <c r="G26" s="37" t="str">
        <f ca="1">OFFSET('Tiktok Dashboard Data'!$A$1,$R$2+19,$R$3+2)</f>
        <v>Shower</v>
      </c>
      <c r="H26" s="37"/>
      <c r="I26" s="37" t="str">
        <f ca="1">OFFSET('Tiktok Dashboard Data'!$A$1,$R$2+19,$R$3+3)</f>
        <v>Becky G</v>
      </c>
      <c r="J26" s="37"/>
      <c r="K26" s="37"/>
      <c r="L26" s="37">
        <f ca="1">OFFSET('Tiktok Dashboard Data'!$A$1,$R$2+19,$R$3+4)</f>
        <v>81</v>
      </c>
      <c r="M26" s="37"/>
      <c r="N26" s="37"/>
      <c r="O26" s="37" t="str">
        <f ca="1">OFFSET('Tiktok Dashboard Data'!$A$1,$R$2+19,$R$3+5)</f>
        <v>Shower</v>
      </c>
      <c r="P26" s="37"/>
      <c r="Q26" s="37"/>
      <c r="R26" s="37">
        <f ca="1">OFFSET('Tiktok Dashboard Data'!$A$1,$R$2+19,$R$3+6)</f>
        <v>77</v>
      </c>
      <c r="S26" s="37"/>
      <c r="T26" s="37">
        <f ca="1">OFFSET('Tiktok Dashboard Data'!$A$1,$R$2+19,$R$3+7)</f>
        <v>0.69899999999999995</v>
      </c>
      <c r="U26" s="37"/>
      <c r="V26" s="37">
        <f ca="1">OFFSET('Tiktok Dashboard Data'!$A$1,$R$2+19,$R$3+8)</f>
        <v>0.52900000000000003</v>
      </c>
      <c r="W26" s="37"/>
      <c r="X26" s="37">
        <f ca="1">OFFSET('Tiktok Dashboard Data'!$A$1,$R$2+19,$R$3+9)</f>
        <v>-7.548</v>
      </c>
      <c r="Y26" s="37"/>
      <c r="Z26" s="37"/>
      <c r="AA26" s="37">
        <f ca="1">OFFSET('Tiktok Dashboard Data'!$A$1,$R$2+19,$R$3+10)</f>
        <v>1</v>
      </c>
      <c r="AB26" s="37"/>
      <c r="AC26" s="37">
        <f ca="1">OFFSET('Tiktok Dashboard Data'!$A$1,$R$2+19,$R$3+11)</f>
        <v>2</v>
      </c>
      <c r="AD26" s="37"/>
      <c r="AE26" s="3"/>
    </row>
    <row r="27" spans="1:58" ht="15">
      <c r="A27" s="3"/>
      <c r="B27" s="37">
        <f ca="1">OFFSET('Tiktok Dashboard Data'!$A$1,$R$2+20,$R$3+0)</f>
        <v>2022</v>
      </c>
      <c r="C27" s="37"/>
      <c r="D27" s="37">
        <f ca="1">OFFSET('Tiktok Dashboard Data'!$A$1,$R$2+20,$R$3+1)</f>
        <v>6700000</v>
      </c>
      <c r="E27" s="37" t="e">
        <f t="shared" ref="E27" si="17">"="&amp;_xlfn.CONCAT(#REF!)</f>
        <v>#REF!</v>
      </c>
      <c r="F27" s="37"/>
      <c r="G27" s="37" t="str">
        <f ca="1">OFFSET('Tiktok Dashboard Data'!$A$1,$R$2+20,$R$3+2)</f>
        <v>1, 2, 3 (feat. Jason Derulo &amp; De La Ghetto)</v>
      </c>
      <c r="H27" s="37"/>
      <c r="I27" s="37" t="str">
        <f ca="1">OFFSET('Tiktok Dashboard Data'!$A$1,$R$2+20,$R$3+3)</f>
        <v>SofÃ­a Reyes</v>
      </c>
      <c r="J27" s="37"/>
      <c r="K27" s="37"/>
      <c r="L27" s="37">
        <f ca="1">OFFSET('Tiktok Dashboard Data'!$A$1,$R$2+20,$R$3+4)</f>
        <v>72</v>
      </c>
      <c r="M27" s="37"/>
      <c r="N27" s="37"/>
      <c r="O27" s="37" t="str">
        <f ca="1">OFFSET('Tiktok Dashboard Data'!$A$1,$R$2+20,$R$3+5)</f>
        <v>1, 2, 3 (feat. Jason Derulo &amp; De La Ghetto)</v>
      </c>
      <c r="P27" s="37"/>
      <c r="Q27" s="37"/>
      <c r="R27" s="37">
        <f ca="1">OFFSET('Tiktok Dashboard Data'!$A$1,$R$2+20,$R$3+6)</f>
        <v>82</v>
      </c>
      <c r="S27" s="37"/>
      <c r="T27" s="37">
        <f ca="1">OFFSET('Tiktok Dashboard Data'!$A$1,$R$2+20,$R$3+7)</f>
        <v>0.79200000000000004</v>
      </c>
      <c r="U27" s="37"/>
      <c r="V27" s="37">
        <f ca="1">OFFSET('Tiktok Dashboard Data'!$A$1,$R$2+20,$R$3+8)</f>
        <v>0.89500000000000002</v>
      </c>
      <c r="W27" s="37"/>
      <c r="X27" s="37">
        <f ca="1">OFFSET('Tiktok Dashboard Data'!$A$1,$R$2+20,$R$3+9)</f>
        <v>-3.1120000000000001</v>
      </c>
      <c r="Y27" s="37"/>
      <c r="Z27" s="37"/>
      <c r="AA27" s="37">
        <f ca="1">OFFSET('Tiktok Dashboard Data'!$A$1,$R$2+20,$R$3+10)</f>
        <v>0</v>
      </c>
      <c r="AB27" s="37"/>
      <c r="AC27" s="37">
        <f ca="1">OFFSET('Tiktok Dashboard Data'!$A$1,$R$2+20,$R$3+11)</f>
        <v>1</v>
      </c>
      <c r="AD27" s="37"/>
      <c r="AE27" s="3"/>
    </row>
    <row r="28" spans="1:58" ht="15">
      <c r="A28" s="3"/>
      <c r="B28" s="37">
        <f ca="1">OFFSET('Tiktok Dashboard Data'!$A$1,$R$2+21,$R$3+0)</f>
        <v>2022</v>
      </c>
      <c r="C28" s="37"/>
      <c r="D28" s="37">
        <f ca="1">OFFSET('Tiktok Dashboard Data'!$A$1,$R$2+21,$R$3+1)</f>
        <v>6700000</v>
      </c>
      <c r="E28" s="37" t="e">
        <f t="shared" ref="E28" si="18">"="&amp;_xlfn.CONCAT(#REF!)</f>
        <v>#REF!</v>
      </c>
      <c r="F28" s="37"/>
      <c r="G28" s="37" t="str">
        <f ca="1">OFFSET('Tiktok Dashboard Data'!$A$1,$R$2+21,$R$3+2)</f>
        <v>Party Girl</v>
      </c>
      <c r="H28" s="37"/>
      <c r="I28" s="37" t="str">
        <f ca="1">OFFSET('Tiktok Dashboard Data'!$A$1,$R$2+21,$R$3+3)</f>
        <v>StaySolidRocky</v>
      </c>
      <c r="J28" s="37"/>
      <c r="K28" s="37"/>
      <c r="L28" s="37">
        <f ca="1">OFFSET('Tiktok Dashboard Data'!$A$1,$R$2+21,$R$3+4)</f>
        <v>59</v>
      </c>
      <c r="M28" s="37"/>
      <c r="N28" s="37"/>
      <c r="O28" s="37" t="str">
        <f ca="1">OFFSET('Tiktok Dashboard Data'!$A$1,$R$2+21,$R$3+5)</f>
        <v>Party Girl</v>
      </c>
      <c r="P28" s="37"/>
      <c r="Q28" s="37"/>
      <c r="R28" s="37">
        <f ca="1">OFFSET('Tiktok Dashboard Data'!$A$1,$R$2+21,$R$3+6)</f>
        <v>71</v>
      </c>
      <c r="S28" s="37"/>
      <c r="T28" s="37">
        <f ca="1">OFFSET('Tiktok Dashboard Data'!$A$1,$R$2+21,$R$3+7)</f>
        <v>0.72799999999999998</v>
      </c>
      <c r="U28" s="37"/>
      <c r="V28" s="37">
        <f ca="1">OFFSET('Tiktok Dashboard Data'!$A$1,$R$2+21,$R$3+8)</f>
        <v>0.43099999999999999</v>
      </c>
      <c r="W28" s="37"/>
      <c r="X28" s="37">
        <f ca="1">OFFSET('Tiktok Dashboard Data'!$A$1,$R$2+21,$R$3+9)</f>
        <v>-9.9659999999999993</v>
      </c>
      <c r="Y28" s="37"/>
      <c r="Z28" s="37"/>
      <c r="AA28" s="37">
        <f ca="1">OFFSET('Tiktok Dashboard Data'!$A$1,$R$2+21,$R$3+10)</f>
        <v>0</v>
      </c>
      <c r="AB28" s="37"/>
      <c r="AC28" s="37">
        <f ca="1">OFFSET('Tiktok Dashboard Data'!$A$1,$R$2+21,$R$3+11)</f>
        <v>6</v>
      </c>
      <c r="AD28" s="37"/>
      <c r="AE28" s="3"/>
    </row>
    <row r="29" spans="1:58" ht="15">
      <c r="A29" s="3"/>
      <c r="B29" s="37">
        <f ca="1">OFFSET('Tiktok Dashboard Data'!$A$1,$R$2+22,$R$3+0)</f>
        <v>2020</v>
      </c>
      <c r="C29" s="37"/>
      <c r="D29" s="37">
        <f ca="1">OFFSET('Tiktok Dashboard Data'!$A$1,$R$2+22,$R$3+1)</f>
        <v>6700000</v>
      </c>
      <c r="E29" s="37" t="e">
        <f t="shared" ref="E29" si="19">"="&amp;_xlfn.CONCAT(#REF!)</f>
        <v>#REF!</v>
      </c>
      <c r="F29" s="37"/>
      <c r="G29" s="37" t="str">
        <f ca="1">OFFSET('Tiktok Dashboard Data'!$A$1,$R$2+22,$R$3+2)</f>
        <v>Party Girl</v>
      </c>
      <c r="H29" s="37"/>
      <c r="I29" s="37" t="str">
        <f ca="1">OFFSET('Tiktok Dashboard Data'!$A$1,$R$2+22,$R$3+3)</f>
        <v>StaySolidRocky</v>
      </c>
      <c r="J29" s="37"/>
      <c r="K29" s="37"/>
      <c r="L29" s="37">
        <f ca="1">OFFSET('Tiktok Dashboard Data'!$A$1,$R$2+22,$R$3+4)</f>
        <v>59</v>
      </c>
      <c r="M29" s="37"/>
      <c r="N29" s="37"/>
      <c r="O29" s="37" t="str">
        <f ca="1">OFFSET('Tiktok Dashboard Data'!$A$1,$R$2+22,$R$3+5)</f>
        <v>Party Girl</v>
      </c>
      <c r="P29" s="37"/>
      <c r="Q29" s="37"/>
      <c r="R29" s="37">
        <f ca="1">OFFSET('Tiktok Dashboard Data'!$A$1,$R$2+22,$R$3+6)</f>
        <v>71</v>
      </c>
      <c r="S29" s="37"/>
      <c r="T29" s="37">
        <f ca="1">OFFSET('Tiktok Dashboard Data'!$A$1,$R$2+22,$R$3+7)</f>
        <v>0.72799999999999998</v>
      </c>
      <c r="U29" s="37"/>
      <c r="V29" s="37">
        <f ca="1">OFFSET('Tiktok Dashboard Data'!$A$1,$R$2+22,$R$3+8)</f>
        <v>0.43099999999999999</v>
      </c>
      <c r="W29" s="37"/>
      <c r="X29" s="37">
        <f ca="1">OFFSET('Tiktok Dashboard Data'!$A$1,$R$2+22,$R$3+9)</f>
        <v>-9.9659999999999993</v>
      </c>
      <c r="Y29" s="37"/>
      <c r="Z29" s="37"/>
      <c r="AA29" s="37">
        <f ca="1">OFFSET('Tiktok Dashboard Data'!$A$1,$R$2+22,$R$3+10)</f>
        <v>0</v>
      </c>
      <c r="AB29" s="37"/>
      <c r="AC29" s="37">
        <f ca="1">OFFSET('Tiktok Dashboard Data'!$A$1,$R$2+22,$R$3+11)</f>
        <v>6</v>
      </c>
      <c r="AD29" s="37"/>
      <c r="AE29" s="3"/>
    </row>
    <row r="30" spans="1:58" ht="15">
      <c r="A30" s="3"/>
      <c r="B30" s="37">
        <f ca="1">OFFSET('Tiktok Dashboard Data'!$A$1,$R$2+23,$R$3+0)</f>
        <v>2022</v>
      </c>
      <c r="C30" s="37"/>
      <c r="D30" s="37">
        <f ca="1">OFFSET('Tiktok Dashboard Data'!$A$1,$R$2+23,$R$3+1)</f>
        <v>6200000</v>
      </c>
      <c r="E30" s="37" t="e">
        <f t="shared" ref="E30" si="20">"="&amp;_xlfn.CONCAT(#REF!)</f>
        <v>#REF!</v>
      </c>
      <c r="F30" s="37"/>
      <c r="G30" s="37" t="str">
        <f ca="1">OFFSET('Tiktok Dashboard Data'!$A$1,$R$2+23,$R$3+2)</f>
        <v>Astronaut In The Ocean</v>
      </c>
      <c r="H30" s="37"/>
      <c r="I30" s="37" t="str">
        <f ca="1">OFFSET('Tiktok Dashboard Data'!$A$1,$R$2+23,$R$3+3)</f>
        <v>Masked Wolf</v>
      </c>
      <c r="J30" s="37"/>
      <c r="K30" s="37"/>
      <c r="L30" s="37">
        <f ca="1">OFFSET('Tiktok Dashboard Data'!$A$1,$R$2+23,$R$3+4)</f>
        <v>68</v>
      </c>
      <c r="M30" s="37"/>
      <c r="N30" s="37"/>
      <c r="O30" s="37" t="str">
        <f ca="1">OFFSET('Tiktok Dashboard Data'!$A$1,$R$2+23,$R$3+5)</f>
        <v>Astronaut In The Ocean</v>
      </c>
      <c r="P30" s="37"/>
      <c r="Q30" s="37"/>
      <c r="R30" s="37">
        <f ca="1">OFFSET('Tiktok Dashboard Data'!$A$1,$R$2+23,$R$3+6)</f>
        <v>79</v>
      </c>
      <c r="S30" s="37"/>
      <c r="T30" s="37">
        <f ca="1">OFFSET('Tiktok Dashboard Data'!$A$1,$R$2+23,$R$3+7)</f>
        <v>0.77800000000000002</v>
      </c>
      <c r="U30" s="37"/>
      <c r="V30" s="37">
        <f ca="1">OFFSET('Tiktok Dashboard Data'!$A$1,$R$2+23,$R$3+8)</f>
        <v>0.69499999999999995</v>
      </c>
      <c r="W30" s="37"/>
      <c r="X30" s="37">
        <f ca="1">OFFSET('Tiktok Dashboard Data'!$A$1,$R$2+23,$R$3+9)</f>
        <v>-6.8650000000000002</v>
      </c>
      <c r="Y30" s="37"/>
      <c r="Z30" s="37"/>
      <c r="AA30" s="37">
        <f ca="1">OFFSET('Tiktok Dashboard Data'!$A$1,$R$2+23,$R$3+10)</f>
        <v>0</v>
      </c>
      <c r="AB30" s="37"/>
      <c r="AC30" s="37">
        <f ca="1">OFFSET('Tiktok Dashboard Data'!$A$1,$R$2+23,$R$3+11)</f>
        <v>4</v>
      </c>
      <c r="AD30" s="37"/>
      <c r="AE30" s="3"/>
    </row>
    <row r="31" spans="1:58" ht="15">
      <c r="A31" s="3"/>
      <c r="B31" s="37">
        <f ca="1">OFFSET('Tiktok Dashboard Data'!$A$1,$R$2+24,$R$3+0)</f>
        <v>2021</v>
      </c>
      <c r="C31" s="37"/>
      <c r="D31" s="37">
        <f ca="1">OFFSET('Tiktok Dashboard Data'!$A$1,$R$2+24,$R$3+1)</f>
        <v>6200000</v>
      </c>
      <c r="E31" s="37" t="e">
        <f t="shared" ref="E31" si="21">"="&amp;_xlfn.CONCAT(#REF!)</f>
        <v>#REF!</v>
      </c>
      <c r="F31" s="37"/>
      <c r="G31" s="37" t="str">
        <f ca="1">OFFSET('Tiktok Dashboard Data'!$A$1,$R$2+24,$R$3+2)</f>
        <v>Astronaut In The Ocean</v>
      </c>
      <c r="H31" s="37"/>
      <c r="I31" s="37" t="str">
        <f ca="1">OFFSET('Tiktok Dashboard Data'!$A$1,$R$2+24,$R$3+3)</f>
        <v>Masked Wolf</v>
      </c>
      <c r="J31" s="37"/>
      <c r="K31" s="37"/>
      <c r="L31" s="37">
        <f ca="1">OFFSET('Tiktok Dashboard Data'!$A$1,$R$2+24,$R$3+4)</f>
        <v>68</v>
      </c>
      <c r="M31" s="37"/>
      <c r="N31" s="37"/>
      <c r="O31" s="37" t="str">
        <f ca="1">OFFSET('Tiktok Dashboard Data'!$A$1,$R$2+24,$R$3+5)</f>
        <v>Astronaut In The Ocean</v>
      </c>
      <c r="P31" s="37"/>
      <c r="Q31" s="37"/>
      <c r="R31" s="37">
        <f ca="1">OFFSET('Tiktok Dashboard Data'!$A$1,$R$2+24,$R$3+6)</f>
        <v>79</v>
      </c>
      <c r="S31" s="37"/>
      <c r="T31" s="37">
        <f ca="1">OFFSET('Tiktok Dashboard Data'!$A$1,$R$2+24,$R$3+7)</f>
        <v>0.77800000000000002</v>
      </c>
      <c r="U31" s="37"/>
      <c r="V31" s="37">
        <f ca="1">OFFSET('Tiktok Dashboard Data'!$A$1,$R$2+24,$R$3+8)</f>
        <v>0.69499999999999995</v>
      </c>
      <c r="W31" s="37"/>
      <c r="X31" s="37">
        <f ca="1">OFFSET('Tiktok Dashboard Data'!$A$1,$R$2+24,$R$3+9)</f>
        <v>-6.8650000000000002</v>
      </c>
      <c r="Y31" s="37"/>
      <c r="Z31" s="37"/>
      <c r="AA31" s="37">
        <f ca="1">OFFSET('Tiktok Dashboard Data'!$A$1,$R$2+24,$R$3+10)</f>
        <v>0</v>
      </c>
      <c r="AB31" s="37"/>
      <c r="AC31" s="37">
        <f ca="1">OFFSET('Tiktok Dashboard Data'!$A$1,$R$2+24,$R$3+11)</f>
        <v>4</v>
      </c>
      <c r="AD31" s="37"/>
      <c r="AE31" s="3"/>
    </row>
    <row r="32" spans="1:58" ht="15">
      <c r="A32" s="3"/>
      <c r="B32" s="37">
        <f ca="1">OFFSET('Tiktok Dashboard Data'!$A$1,$R$2+25,$R$3+0)</f>
        <v>2022</v>
      </c>
      <c r="C32" s="37"/>
      <c r="D32" s="37">
        <f ca="1">OFFSET('Tiktok Dashboard Data'!$A$1,$R$2+25,$R$3+1)</f>
        <v>6100000</v>
      </c>
      <c r="E32" s="37" t="e">
        <f t="shared" ref="E32" si="22">"="&amp;_xlfn.CONCAT(#REF!)</f>
        <v>#REF!</v>
      </c>
      <c r="F32" s="37"/>
      <c r="G32" s="37" t="str">
        <f ca="1">OFFSET('Tiktok Dashboard Data'!$A$1,$R$2+25,$R$3+2)</f>
        <v>Jiggle Jiggle</v>
      </c>
      <c r="H32" s="37"/>
      <c r="I32" s="37" t="str">
        <f ca="1">OFFSET('Tiktok Dashboard Data'!$A$1,$R$2+25,$R$3+3)</f>
        <v>Duke &amp; Jones</v>
      </c>
      <c r="J32" s="37"/>
      <c r="K32" s="37"/>
      <c r="L32" s="37">
        <f ca="1">OFFSET('Tiktok Dashboard Data'!$A$1,$R$2+25,$R$3+4)</f>
        <v>64</v>
      </c>
      <c r="M32" s="37"/>
      <c r="N32" s="37"/>
      <c r="O32" s="37" t="str">
        <f ca="1">OFFSET('Tiktok Dashboard Data'!$A$1,$R$2+25,$R$3+5)</f>
        <v>Jiggle Jiggle</v>
      </c>
      <c r="P32" s="37"/>
      <c r="Q32" s="37"/>
      <c r="R32" s="37">
        <f ca="1">OFFSET('Tiktok Dashboard Data'!$A$1,$R$2+25,$R$3+6)</f>
        <v>81</v>
      </c>
      <c r="S32" s="37"/>
      <c r="T32" s="37">
        <f ca="1">OFFSET('Tiktok Dashboard Data'!$A$1,$R$2+25,$R$3+7)</f>
        <v>0.86399999999999999</v>
      </c>
      <c r="U32" s="37"/>
      <c r="V32" s="37">
        <f ca="1">OFFSET('Tiktok Dashboard Data'!$A$1,$R$2+25,$R$3+8)</f>
        <v>0.41199999999999998</v>
      </c>
      <c r="W32" s="37"/>
      <c r="X32" s="37">
        <f ca="1">OFFSET('Tiktok Dashboard Data'!$A$1,$R$2+25,$R$3+9)</f>
        <v>-5.8860000000000001</v>
      </c>
      <c r="Y32" s="37"/>
      <c r="Z32" s="37"/>
      <c r="AA32" s="37">
        <f ca="1">OFFSET('Tiktok Dashboard Data'!$A$1,$R$2+25,$R$3+10)</f>
        <v>1</v>
      </c>
      <c r="AB32" s="37"/>
      <c r="AC32" s="37">
        <f ca="1">OFFSET('Tiktok Dashboard Data'!$A$1,$R$2+25,$R$3+11)</f>
        <v>1</v>
      </c>
      <c r="AD32" s="37"/>
      <c r="AE32" s="3"/>
    </row>
    <row r="33" spans="1:31" ht="8.1" customHeight="1">
      <c r="A33" s="3"/>
      <c r="B33" s="36">
        <f ca="1">OFFSET('Tiktok Dashboard Data'!$A$1,$R$2+26,$R$3+0)</f>
        <v>2022</v>
      </c>
      <c r="C33" s="36"/>
      <c r="D33" s="36">
        <f ca="1">OFFSET('Tiktok Dashboard Data'!$A$1,$R$2+26,$R$3+1)</f>
        <v>6100000</v>
      </c>
      <c r="E33" s="36"/>
      <c r="F33" s="36"/>
      <c r="G33" s="36" t="str">
        <f ca="1">OFFSET('Tiktok Dashboard Data'!$A$1,$R$2+26,$R$3+2)</f>
        <v>What You Know Bout Love</v>
      </c>
      <c r="H33" s="36"/>
      <c r="I33" s="36" t="str">
        <f ca="1">OFFSET('Tiktok Dashboard Data'!$A$1,$R$2+26,$R$3+3)</f>
        <v>Pop Smoke</v>
      </c>
      <c r="J33" s="36"/>
      <c r="K33" s="36"/>
      <c r="L33" s="36">
        <f ca="1">OFFSET('Tiktok Dashboard Data'!$A$1,$R$2+26,$R$3+4)</f>
        <v>83</v>
      </c>
      <c r="M33" s="36"/>
      <c r="N33" s="36"/>
      <c r="O33" s="36" t="str">
        <f ca="1">OFFSET('Tiktok Dashboard Data'!$A$1,$R$2+26,$R$3+5)</f>
        <v>Shoot For The Stars Aim For The Moon</v>
      </c>
      <c r="P33" s="36"/>
      <c r="Q33" s="36"/>
      <c r="R33" s="36">
        <f ca="1">OFFSET('Tiktok Dashboard Data'!$A$1,$R$2+26,$R$3+6)</f>
        <v>81</v>
      </c>
      <c r="S33" s="36"/>
      <c r="T33" s="36">
        <f ca="1">OFFSET('Tiktok Dashboard Data'!$A$1,$R$2+26,$R$3+7)</f>
        <v>0.70899999999999996</v>
      </c>
      <c r="U33" s="36"/>
      <c r="V33" s="36">
        <f ca="1">OFFSET('Tiktok Dashboard Data'!$A$1,$R$2+26,$R$3+8)</f>
        <v>0.54800000000000004</v>
      </c>
      <c r="W33" s="36"/>
      <c r="X33" s="36">
        <f ca="1">OFFSET('Tiktok Dashboard Data'!$A$1,$R$2+26,$R$3+9)</f>
        <v>-8.4930000000000003</v>
      </c>
      <c r="Y33" s="36"/>
      <c r="Z33" s="36"/>
      <c r="AA33" s="36">
        <f ca="1">OFFSET('Tiktok Dashboard Data'!$A$1,$R$2+26,$R$3+10)</f>
        <v>1</v>
      </c>
      <c r="AB33" s="36"/>
      <c r="AC33" s="36">
        <f ca="1">OFFSET('Tiktok Dashboard Data'!$A$1,$R$2+26,$R$3+11)</f>
        <v>10</v>
      </c>
      <c r="AD33" s="36"/>
      <c r="AE33" s="3"/>
    </row>
    <row r="34" spans="1:31" ht="8.1" customHeight="1">
      <c r="A34" s="3"/>
      <c r="B34" s="36"/>
      <c r="C34" s="36"/>
      <c r="D34" s="36"/>
      <c r="E34" s="36"/>
      <c r="F34" s="36"/>
      <c r="G34" s="36"/>
      <c r="H34" s="36"/>
      <c r="I34" s="36"/>
      <c r="J34" s="36"/>
      <c r="K34" s="36"/>
      <c r="L34" s="36"/>
      <c r="M34" s="36"/>
      <c r="N34" s="36"/>
      <c r="O34" s="36"/>
      <c r="P34" s="36"/>
      <c r="Q34" s="36"/>
      <c r="R34" s="36"/>
      <c r="S34" s="36"/>
      <c r="T34" s="36"/>
      <c r="U34" s="36"/>
      <c r="V34" s="36"/>
      <c r="W34" s="36"/>
      <c r="X34" s="36"/>
      <c r="Y34" s="36"/>
      <c r="Z34" s="36"/>
      <c r="AA34" s="36"/>
      <c r="AB34" s="36"/>
      <c r="AC34" s="36"/>
      <c r="AD34" s="36"/>
      <c r="AE34" s="3"/>
    </row>
    <row r="35" spans="1:31" ht="14.25" customHeight="1">
      <c r="A35" s="3"/>
      <c r="B35" s="37">
        <f ca="1">OFFSET('Tiktok Dashboard Data'!$A$1,$R$2+27,$R$3+0)</f>
        <v>2021</v>
      </c>
      <c r="C35" s="37"/>
      <c r="D35" s="37">
        <f ca="1">OFFSET('Tiktok Dashboard Data'!$A$1,$R$2+27,$R$3+1)</f>
        <v>6100000</v>
      </c>
      <c r="E35" s="37" t="e">
        <f t="shared" ref="E35" si="23">"="&amp;_xlfn.CONCAT(#REF!)</f>
        <v>#REF!</v>
      </c>
      <c r="F35" s="37"/>
      <c r="G35" s="37" t="str">
        <f ca="1">OFFSET('Tiktok Dashboard Data'!$A$1,$R$2+27,$R$3+2)</f>
        <v>What You Know Bout Love</v>
      </c>
      <c r="H35" s="37"/>
      <c r="I35" s="37" t="str">
        <f ca="1">OFFSET('Tiktok Dashboard Data'!$A$1,$R$2+27,$R$3+3)</f>
        <v>Pop Smoke</v>
      </c>
      <c r="J35" s="37"/>
      <c r="K35" s="37"/>
      <c r="L35" s="37">
        <f ca="1">OFFSET('Tiktok Dashboard Data'!$A$1,$R$2+27,$R$3+4)</f>
        <v>83</v>
      </c>
      <c r="M35" s="37"/>
      <c r="N35" s="37"/>
      <c r="O35" s="37" t="str">
        <f ca="1">OFFSET('Tiktok Dashboard Data'!$A$1,$R$2+27,$R$3+5)</f>
        <v>Shoot For The Stars Aim For The Moon</v>
      </c>
      <c r="P35" s="37"/>
      <c r="Q35" s="37"/>
      <c r="R35" s="37">
        <f ca="1">OFFSET('Tiktok Dashboard Data'!$A$1,$R$2+27,$R$3+6)</f>
        <v>81</v>
      </c>
      <c r="S35" s="37"/>
      <c r="T35" s="37">
        <f ca="1">OFFSET('Tiktok Dashboard Data'!$A$1,$R$2+27,$R$3+7)</f>
        <v>0.70899999999999996</v>
      </c>
      <c r="U35" s="37"/>
      <c r="V35" s="37">
        <f ca="1">OFFSET('Tiktok Dashboard Data'!$A$1,$R$2+27,$R$3+8)</f>
        <v>0.54800000000000004</v>
      </c>
      <c r="W35" s="37"/>
      <c r="X35" s="37">
        <f ca="1">OFFSET('Tiktok Dashboard Data'!$A$1,$R$2+27,$R$3+9)</f>
        <v>-8.4930000000000003</v>
      </c>
      <c r="Y35" s="37"/>
      <c r="Z35" s="37"/>
      <c r="AA35" s="37">
        <f ca="1">OFFSET('Tiktok Dashboard Data'!$A$1,$R$2+27,$R$3+10)</f>
        <v>1</v>
      </c>
      <c r="AB35" s="37"/>
      <c r="AC35" s="37">
        <f ca="1">OFFSET('Tiktok Dashboard Data'!$A$1,$R$2+27,$R$3+11)</f>
        <v>10</v>
      </c>
      <c r="AD35" s="37"/>
      <c r="AE35" s="3"/>
    </row>
    <row r="36" spans="1:31" ht="14.25" customHeight="1">
      <c r="A36" s="3"/>
      <c r="B36" s="37">
        <f ca="1">OFFSET('Tiktok Dashboard Data'!$A$1,$R$2+28,$R$3+0)</f>
        <v>2022</v>
      </c>
      <c r="C36" s="37"/>
      <c r="D36" s="37">
        <f ca="1">OFFSET('Tiktok Dashboard Data'!$A$1,$R$2+28,$R$3+1)</f>
        <v>5900000</v>
      </c>
      <c r="E36" s="37" t="e">
        <f t="shared" ref="E36" si="24">"="&amp;_xlfn.CONCAT(#REF!)</f>
        <v>#REF!</v>
      </c>
      <c r="F36" s="37"/>
      <c r="G36" s="37" t="str">
        <f ca="1">OFFSET('Tiktok Dashboard Data'!$A$1,$R$2+28,$R$3+2)</f>
        <v>SAD GIRLZ LUV MONEY Remix (feat. Kali Uchis and Moliy)</v>
      </c>
      <c r="H36" s="37"/>
      <c r="I36" s="37" t="str">
        <f ca="1">OFFSET('Tiktok Dashboard Data'!$A$1,$R$2+28,$R$3+3)</f>
        <v>Amaarae</v>
      </c>
      <c r="J36" s="37"/>
      <c r="K36" s="37"/>
      <c r="L36" s="37">
        <f ca="1">OFFSET('Tiktok Dashboard Data'!$A$1,$R$2+28,$R$3+4)</f>
        <v>64</v>
      </c>
      <c r="M36" s="37"/>
      <c r="N36" s="37"/>
      <c r="O36" s="37" t="str">
        <f ca="1">OFFSET('Tiktok Dashboard Data'!$A$1,$R$2+28,$R$3+5)</f>
        <v>SAD GIRLZ LUV MONEY Remix (feat. Kali Uchis and Moliy)</v>
      </c>
      <c r="P36" s="37"/>
      <c r="Q36" s="37"/>
      <c r="R36" s="37">
        <f ca="1">OFFSET('Tiktok Dashboard Data'!$A$1,$R$2+28,$R$3+6)</f>
        <v>80</v>
      </c>
      <c r="S36" s="37"/>
      <c r="T36" s="37">
        <f ca="1">OFFSET('Tiktok Dashboard Data'!$A$1,$R$2+28,$R$3+7)</f>
        <v>0.87</v>
      </c>
      <c r="U36" s="37"/>
      <c r="V36" s="37">
        <f ca="1">OFFSET('Tiktok Dashboard Data'!$A$1,$R$2+28,$R$3+8)</f>
        <v>0.52300000000000002</v>
      </c>
      <c r="W36" s="37"/>
      <c r="X36" s="37">
        <f ca="1">OFFSET('Tiktok Dashboard Data'!$A$1,$R$2+28,$R$3+9)</f>
        <v>-8.0519999999999996</v>
      </c>
      <c r="Y36" s="37"/>
      <c r="Z36" s="37"/>
      <c r="AA36" s="37">
        <f ca="1">OFFSET('Tiktok Dashboard Data'!$A$1,$R$2+28,$R$3+10)</f>
        <v>0</v>
      </c>
      <c r="AB36" s="37"/>
      <c r="AC36" s="37">
        <f ca="1">OFFSET('Tiktok Dashboard Data'!$A$1,$R$2+28,$R$3+11)</f>
        <v>1</v>
      </c>
      <c r="AD36" s="37"/>
      <c r="AE36" s="3"/>
    </row>
    <row r="37" spans="1:31" ht="15">
      <c r="A37" s="3"/>
      <c r="B37" s="37">
        <f ca="1">OFFSET('Tiktok Dashboard Data'!$A$1,$R$2+29,$R$3+0)</f>
        <v>2021</v>
      </c>
      <c r="C37" s="37"/>
      <c r="D37" s="37">
        <f ca="1">OFFSET('Tiktok Dashboard Data'!$A$1,$R$2+29,$R$3+1)</f>
        <v>5900000</v>
      </c>
      <c r="E37" s="37" t="e">
        <f t="shared" ref="E37" si="25">"="&amp;_xlfn.CONCAT(#REF!)</f>
        <v>#REF!</v>
      </c>
      <c r="F37" s="37"/>
      <c r="G37" s="37" t="str">
        <f ca="1">OFFSET('Tiktok Dashboard Data'!$A$1,$R$2+29,$R$3+2)</f>
        <v>SAD GIRLZ LUV MONEY Remix (feat. Kali Uchis and Moliy)</v>
      </c>
      <c r="H37" s="37"/>
      <c r="I37" s="37" t="str">
        <f ca="1">OFFSET('Tiktok Dashboard Data'!$A$1,$R$2+29,$R$3+3)</f>
        <v>Amaarae</v>
      </c>
      <c r="J37" s="37"/>
      <c r="K37" s="37"/>
      <c r="L37" s="37">
        <f ca="1">OFFSET('Tiktok Dashboard Data'!$A$1,$R$2+29,$R$3+4)</f>
        <v>64</v>
      </c>
      <c r="M37" s="37"/>
      <c r="N37" s="37"/>
      <c r="O37" s="37" t="str">
        <f ca="1">OFFSET('Tiktok Dashboard Data'!$A$1,$R$2+29,$R$3+5)</f>
        <v>SAD GIRLZ LUV MONEY Remix (feat. Kali Uchis and Moliy)</v>
      </c>
      <c r="P37" s="37"/>
      <c r="Q37" s="37"/>
      <c r="R37" s="37">
        <f ca="1">OFFSET('Tiktok Dashboard Data'!$A$1,$R$2+29,$R$3+6)</f>
        <v>7</v>
      </c>
      <c r="S37" s="37"/>
      <c r="T37" s="37">
        <f ca="1">OFFSET('Tiktok Dashboard Data'!$A$1,$R$2+29,$R$3+7)</f>
        <v>0.85899999999999999</v>
      </c>
      <c r="U37" s="37"/>
      <c r="V37" s="37">
        <f ca="1">OFFSET('Tiktok Dashboard Data'!$A$1,$R$2+29,$R$3+8)</f>
        <v>0.52500000000000002</v>
      </c>
      <c r="W37" s="37"/>
      <c r="X37" s="37">
        <f ca="1">OFFSET('Tiktok Dashboard Data'!$A$1,$R$2+29,$R$3+9)</f>
        <v>-8.0510000000000002</v>
      </c>
      <c r="Y37" s="37"/>
      <c r="Z37" s="37"/>
      <c r="AA37" s="37">
        <f ca="1">OFFSET('Tiktok Dashboard Data'!$A$1,$R$2+29,$R$3+10)</f>
        <v>0</v>
      </c>
      <c r="AB37" s="37"/>
      <c r="AC37" s="37">
        <f ca="1">OFFSET('Tiktok Dashboard Data'!$A$1,$R$2+29,$R$3+11)</f>
        <v>1</v>
      </c>
      <c r="AD37" s="37"/>
      <c r="AE37" s="3"/>
    </row>
    <row r="38" spans="1:31" ht="15">
      <c r="A38" s="3"/>
      <c r="B38" s="37">
        <f ca="1">OFFSET('Tiktok Dashboard Data'!$A$1,$R$2+30,$R$3+0)</f>
        <v>2019</v>
      </c>
      <c r="C38" s="37"/>
      <c r="D38" s="37">
        <f ca="1">OFFSET('Tiktok Dashboard Data'!$A$1,$R$2+30,$R$3+1)</f>
        <v>5600000</v>
      </c>
      <c r="E38" s="37" t="e">
        <f t="shared" ref="E38" si="26">"="&amp;_xlfn.CONCAT(#REF!)</f>
        <v>#REF!</v>
      </c>
      <c r="F38" s="37"/>
      <c r="G38" s="37" t="str">
        <f ca="1">OFFSET('Tiktok Dashboard Data'!$A$1,$R$2+30,$R$3+2)</f>
        <v>Myself</v>
      </c>
      <c r="H38" s="37"/>
      <c r="I38" s="37" t="str">
        <f ca="1">OFFSET('Tiktok Dashboard Data'!$A$1,$R$2+30,$R$3+3)</f>
        <v>Bazzi</v>
      </c>
      <c r="J38" s="37"/>
      <c r="K38" s="37"/>
      <c r="L38" s="37">
        <f ca="1">OFFSET('Tiktok Dashboard Data'!$A$1,$R$2+30,$R$3+4)</f>
        <v>72</v>
      </c>
      <c r="M38" s="37"/>
      <c r="N38" s="37"/>
      <c r="O38" s="37" t="str">
        <f ca="1">OFFSET('Tiktok Dashboard Data'!$A$1,$R$2+30,$R$3+5)</f>
        <v>COSMIC</v>
      </c>
      <c r="P38" s="37"/>
      <c r="Q38" s="37"/>
      <c r="R38" s="37">
        <f ca="1">OFFSET('Tiktok Dashboard Data'!$A$1,$R$2+30,$R$3+6)</f>
        <v>67</v>
      </c>
      <c r="S38" s="37"/>
      <c r="T38" s="37">
        <f ca="1">OFFSET('Tiktok Dashboard Data'!$A$1,$R$2+30,$R$3+7)</f>
        <v>0.745</v>
      </c>
      <c r="U38" s="37"/>
      <c r="V38" s="37">
        <f ca="1">OFFSET('Tiktok Dashboard Data'!$A$1,$R$2+30,$R$3+8)</f>
        <v>0.56100000000000005</v>
      </c>
      <c r="W38" s="37"/>
      <c r="X38" s="37">
        <f ca="1">OFFSET('Tiktok Dashboard Data'!$A$1,$R$2+30,$R$3+9)</f>
        <v>-5.5129999999999999</v>
      </c>
      <c r="Y38" s="37"/>
      <c r="Z38" s="37"/>
      <c r="AA38" s="37">
        <f ca="1">OFFSET('Tiktok Dashboard Data'!$A$1,$R$2+30,$R$3+10)</f>
        <v>0</v>
      </c>
      <c r="AB38" s="37"/>
      <c r="AC38" s="37">
        <f ca="1">OFFSET('Tiktok Dashboard Data'!$A$1,$R$2+30,$R$3+11)</f>
        <v>9</v>
      </c>
      <c r="AD38" s="37"/>
      <c r="AE38" s="3"/>
    </row>
    <row r="39" spans="1:31" ht="15">
      <c r="A39" s="3"/>
      <c r="B39" s="37">
        <f ca="1">OFFSET('Tiktok Dashboard Data'!$A$1,$R$2+31,$R$3+0)</f>
        <v>2020</v>
      </c>
      <c r="C39" s="37"/>
      <c r="D39" s="37">
        <f ca="1">OFFSET('Tiktok Dashboard Data'!$A$1,$R$2+31,$R$3+1)</f>
        <v>5500000</v>
      </c>
      <c r="E39" s="37" t="e">
        <f t="shared" ref="E39" si="27">"="&amp;_xlfn.CONCAT(#REF!)</f>
        <v>#REF!</v>
      </c>
      <c r="F39" s="37"/>
      <c r="G39" s="37" t="str">
        <f ca="1">OFFSET('Tiktok Dashboard Data'!$A$1,$R$2+31,$R$3+2)</f>
        <v>Lose Control</v>
      </c>
      <c r="H39" s="37"/>
      <c r="I39" s="37" t="str">
        <f ca="1">OFFSET('Tiktok Dashboard Data'!$A$1,$R$2+31,$R$3+3)</f>
        <v>MEDUZA</v>
      </c>
      <c r="J39" s="37"/>
      <c r="K39" s="37"/>
      <c r="L39" s="37">
        <f ca="1">OFFSET('Tiktok Dashboard Data'!$A$1,$R$2+31,$R$3+4)</f>
        <v>74</v>
      </c>
      <c r="M39" s="37"/>
      <c r="N39" s="37"/>
      <c r="O39" s="37" t="str">
        <f ca="1">OFFSET('Tiktok Dashboard Data'!$A$1,$R$2+31,$R$3+5)</f>
        <v>Lose Control</v>
      </c>
      <c r="P39" s="37"/>
      <c r="Q39" s="37"/>
      <c r="R39" s="37">
        <f ca="1">OFFSET('Tiktok Dashboard Data'!$A$1,$R$2+31,$R$3+6)</f>
        <v>78</v>
      </c>
      <c r="S39" s="37"/>
      <c r="T39" s="37">
        <f ca="1">OFFSET('Tiktok Dashboard Data'!$A$1,$R$2+31,$R$3+7)</f>
        <v>0.59799999999999998</v>
      </c>
      <c r="U39" s="37"/>
      <c r="V39" s="37">
        <f ca="1">OFFSET('Tiktok Dashboard Data'!$A$1,$R$2+31,$R$3+8)</f>
        <v>0.52600000000000002</v>
      </c>
      <c r="W39" s="37"/>
      <c r="X39" s="37">
        <f ca="1">OFFSET('Tiktok Dashboard Data'!$A$1,$R$2+31,$R$3+9)</f>
        <v>-8.6590000000000007</v>
      </c>
      <c r="Y39" s="37"/>
      <c r="Z39" s="37"/>
      <c r="AA39" s="37">
        <f ca="1">OFFSET('Tiktok Dashboard Data'!$A$1,$R$2+31,$R$3+10)</f>
        <v>0</v>
      </c>
      <c r="AB39" s="37"/>
      <c r="AC39" s="37">
        <f ca="1">OFFSET('Tiktok Dashboard Data'!$A$1,$R$2+31,$R$3+11)</f>
        <v>10</v>
      </c>
      <c r="AD39" s="37"/>
      <c r="AE39" s="3"/>
    </row>
    <row r="40" spans="1:31" ht="15">
      <c r="A40" s="3"/>
      <c r="B40" s="37">
        <f ca="1">OFFSET('Tiktok Dashboard Data'!$A$1,$R$2+32,$R$3+0)</f>
        <v>2019</v>
      </c>
      <c r="C40" s="37"/>
      <c r="D40" s="37">
        <f ca="1">OFFSET('Tiktok Dashboard Data'!$A$1,$R$2+32,$R$3+1)</f>
        <v>5400000</v>
      </c>
      <c r="E40" s="37" t="e">
        <f t="shared" ref="E40" si="28">"="&amp;_xlfn.CONCAT(#REF!)</f>
        <v>#REF!</v>
      </c>
      <c r="F40" s="37"/>
      <c r="G40" s="37" t="str">
        <f ca="1">OFFSET('Tiktok Dashboard Data'!$A$1,$R$2+32,$R$3+2)</f>
        <v>The Weekend - Funk Wav Remix</v>
      </c>
      <c r="H40" s="37"/>
      <c r="I40" s="37" t="str">
        <f ca="1">OFFSET('Tiktok Dashboard Data'!$A$1,$R$2+32,$R$3+3)</f>
        <v>SZA</v>
      </c>
      <c r="J40" s="37"/>
      <c r="K40" s="37"/>
      <c r="L40" s="37">
        <f ca="1">OFFSET('Tiktok Dashboard Data'!$A$1,$R$2+32,$R$3+4)</f>
        <v>82</v>
      </c>
      <c r="M40" s="37"/>
      <c r="N40" s="37"/>
      <c r="O40" s="37" t="str">
        <f ca="1">OFFSET('Tiktok Dashboard Data'!$A$1,$R$2+32,$R$3+5)</f>
        <v>The Weekend (Funk Wav Remix)</v>
      </c>
      <c r="P40" s="37"/>
      <c r="Q40" s="37"/>
      <c r="R40" s="37">
        <f ca="1">OFFSET('Tiktok Dashboard Data'!$A$1,$R$2+32,$R$3+6)</f>
        <v>73</v>
      </c>
      <c r="S40" s="37"/>
      <c r="T40" s="37">
        <f ca="1">OFFSET('Tiktok Dashboard Data'!$A$1,$R$2+32,$R$3+7)</f>
        <v>0.77500000000000002</v>
      </c>
      <c r="U40" s="37"/>
      <c r="V40" s="37">
        <f ca="1">OFFSET('Tiktok Dashboard Data'!$A$1,$R$2+32,$R$3+8)</f>
        <v>0.57299999999999995</v>
      </c>
      <c r="W40" s="37"/>
      <c r="X40" s="37">
        <f ca="1">OFFSET('Tiktok Dashboard Data'!$A$1,$R$2+32,$R$3+9)</f>
        <v>-4.9329999999999998</v>
      </c>
      <c r="Y40" s="37"/>
      <c r="Z40" s="37"/>
      <c r="AA40" s="37">
        <f ca="1">OFFSET('Tiktok Dashboard Data'!$A$1,$R$2+32,$R$3+10)</f>
        <v>1</v>
      </c>
      <c r="AB40" s="37"/>
      <c r="AC40" s="37">
        <f ca="1">OFFSET('Tiktok Dashboard Data'!$A$1,$R$2+32,$R$3+11)</f>
        <v>11</v>
      </c>
      <c r="AD40" s="37"/>
      <c r="AE40" s="3"/>
    </row>
    <row r="41" spans="1:31" ht="15">
      <c r="A41" s="3"/>
      <c r="B41" s="37">
        <f ca="1">OFFSET('Tiktok Dashboard Data'!$A$1,$R$2+33,$R$3+0)</f>
        <v>2022</v>
      </c>
      <c r="C41" s="37"/>
      <c r="D41" s="37">
        <f ca="1">OFFSET('Tiktok Dashboard Data'!$A$1,$R$2+33,$R$3+1)</f>
        <v>5300000</v>
      </c>
      <c r="E41" s="37" t="e">
        <f t="shared" ref="E41" si="29">"="&amp;_xlfn.CONCAT(#REF!)</f>
        <v>#REF!</v>
      </c>
      <c r="F41" s="37"/>
      <c r="G41" s="37" t="str">
        <f ca="1">OFFSET('Tiktok Dashboard Data'!$A$1,$R$2+33,$R$3+2)</f>
        <v>Life Goes On</v>
      </c>
      <c r="H41" s="37"/>
      <c r="I41" s="37" t="str">
        <f ca="1">OFFSET('Tiktok Dashboard Data'!$A$1,$R$2+33,$R$3+3)</f>
        <v>Oliver Tree</v>
      </c>
      <c r="J41" s="37"/>
      <c r="K41" s="37"/>
      <c r="L41" s="37">
        <f ca="1">OFFSET('Tiktok Dashboard Data'!$A$1,$R$2+33,$R$3+4)</f>
        <v>70</v>
      </c>
      <c r="M41" s="37"/>
      <c r="N41" s="37"/>
      <c r="O41" s="37" t="str">
        <f ca="1">OFFSET('Tiktok Dashboard Data'!$A$1,$R$2+33,$R$3+5)</f>
        <v>Ugly is Beautiful: Shorter, Thicker &amp; Uglier (Deluxe)</v>
      </c>
      <c r="P41" s="37"/>
      <c r="Q41" s="37"/>
      <c r="R41" s="37">
        <f ca="1">OFFSET('Tiktok Dashboard Data'!$A$1,$R$2+33,$R$3+6)</f>
        <v>80</v>
      </c>
      <c r="S41" s="37"/>
      <c r="T41" s="37">
        <f ca="1">OFFSET('Tiktok Dashboard Data'!$A$1,$R$2+33,$R$3+7)</f>
        <v>0.7</v>
      </c>
      <c r="U41" s="37"/>
      <c r="V41" s="37">
        <f ca="1">OFFSET('Tiktok Dashboard Data'!$A$1,$R$2+33,$R$3+8)</f>
        <v>0.49</v>
      </c>
      <c r="W41" s="37"/>
      <c r="X41" s="37">
        <f ca="1">OFFSET('Tiktok Dashboard Data'!$A$1,$R$2+33,$R$3+9)</f>
        <v>-5.1870000000000003</v>
      </c>
      <c r="Y41" s="37"/>
      <c r="Z41" s="37"/>
      <c r="AA41" s="37">
        <f ca="1">OFFSET('Tiktok Dashboard Data'!$A$1,$R$2+33,$R$3+10)</f>
        <v>1</v>
      </c>
      <c r="AB41" s="37"/>
      <c r="AC41" s="37">
        <f ca="1">OFFSET('Tiktok Dashboard Data'!$A$1,$R$2+33,$R$3+11)</f>
        <v>0</v>
      </c>
      <c r="AD41" s="37"/>
      <c r="AE41" s="3"/>
    </row>
    <row r="42" spans="1:31" ht="15">
      <c r="A42" s="3"/>
      <c r="B42" s="37">
        <f ca="1">OFFSET('Tiktok Dashboard Data'!$A$1,$R$2+34,$R$3+0)</f>
        <v>2021</v>
      </c>
      <c r="C42" s="37"/>
      <c r="D42" s="37">
        <f ca="1">OFFSET('Tiktok Dashboard Data'!$A$1,$R$2+34,$R$3+1)</f>
        <v>5300000</v>
      </c>
      <c r="E42" s="37" t="e">
        <f t="shared" ref="E42" si="30">"="&amp;_xlfn.CONCAT(#REF!)</f>
        <v>#REF!</v>
      </c>
      <c r="F42" s="37"/>
      <c r="G42" s="37" t="str">
        <f ca="1">OFFSET('Tiktok Dashboard Data'!$A$1,$R$2+34,$R$3+2)</f>
        <v>Life Goes On</v>
      </c>
      <c r="H42" s="37"/>
      <c r="I42" s="37" t="str">
        <f ca="1">OFFSET('Tiktok Dashboard Data'!$A$1,$R$2+34,$R$3+3)</f>
        <v>Oliver Tree</v>
      </c>
      <c r="J42" s="37"/>
      <c r="K42" s="37"/>
      <c r="L42" s="37">
        <f ca="1">OFFSET('Tiktok Dashboard Data'!$A$1,$R$2+34,$R$3+4)</f>
        <v>70</v>
      </c>
      <c r="M42" s="37"/>
      <c r="N42" s="37"/>
      <c r="O42" s="37" t="str">
        <f ca="1">OFFSET('Tiktok Dashboard Data'!$A$1,$R$2+34,$R$3+5)</f>
        <v>Ugly is Beautiful: Shorter, Thicker &amp; Uglier (Deluxe)</v>
      </c>
      <c r="P42" s="37"/>
      <c r="Q42" s="37"/>
      <c r="R42" s="37">
        <f ca="1">OFFSET('Tiktok Dashboard Data'!$A$1,$R$2+34,$R$3+6)</f>
        <v>80</v>
      </c>
      <c r="S42" s="37"/>
      <c r="T42" s="37">
        <f ca="1">OFFSET('Tiktok Dashboard Data'!$A$1,$R$2+34,$R$3+7)</f>
        <v>0.7</v>
      </c>
      <c r="U42" s="37"/>
      <c r="V42" s="37">
        <f ca="1">OFFSET('Tiktok Dashboard Data'!$A$1,$R$2+34,$R$3+8)</f>
        <v>0.49</v>
      </c>
      <c r="W42" s="37"/>
      <c r="X42" s="37">
        <f ca="1">OFFSET('Tiktok Dashboard Data'!$A$1,$R$2+34,$R$3+9)</f>
        <v>-5.1870000000000003</v>
      </c>
      <c r="Y42" s="37"/>
      <c r="Z42" s="37"/>
      <c r="AA42" s="37">
        <f ca="1">OFFSET('Tiktok Dashboard Data'!$A$1,$R$2+34,$R$3+10)</f>
        <v>1</v>
      </c>
      <c r="AB42" s="37"/>
      <c r="AC42" s="37">
        <f ca="1">OFFSET('Tiktok Dashboard Data'!$A$1,$R$2+34,$R$3+11)</f>
        <v>0</v>
      </c>
      <c r="AD42" s="37"/>
      <c r="AE42" s="3"/>
    </row>
    <row r="43" spans="1:31" ht="15">
      <c r="A43" s="3"/>
      <c r="B43" s="37">
        <f ca="1">OFFSET('Tiktok Dashboard Data'!$A$1,$R$2+35,$R$3+0)</f>
        <v>2022</v>
      </c>
      <c r="C43" s="37"/>
      <c r="D43" s="37">
        <f ca="1">OFFSET('Tiktok Dashboard Data'!$A$1,$R$2+35,$R$3+1)</f>
        <v>5200000</v>
      </c>
      <c r="E43" s="37" t="e">
        <f t="shared" ref="E43" si="31">"="&amp;_xlfn.CONCAT(#REF!)</f>
        <v>#REF!</v>
      </c>
      <c r="F43" s="37"/>
      <c r="G43" s="37" t="str">
        <f ca="1">OFFSET('Tiktok Dashboard Data'!$A$1,$R$2+35,$R$3+2)</f>
        <v>Supalonely</v>
      </c>
      <c r="H43" s="37"/>
      <c r="I43" s="37" t="str">
        <f ca="1">OFFSET('Tiktok Dashboard Data'!$A$1,$R$2+35,$R$3+3)</f>
        <v>BENEE</v>
      </c>
      <c r="J43" s="37"/>
      <c r="K43" s="37"/>
      <c r="L43" s="37">
        <f ca="1">OFFSET('Tiktok Dashboard Data'!$A$1,$R$2+35,$R$3+4)</f>
        <v>67</v>
      </c>
      <c r="M43" s="37"/>
      <c r="N43" s="37"/>
      <c r="O43" s="37" t="str">
        <f ca="1">OFFSET('Tiktok Dashboard Data'!$A$1,$R$2+35,$R$3+5)</f>
        <v>STELLA &amp; STEVE</v>
      </c>
      <c r="P43" s="37"/>
      <c r="Q43" s="37"/>
      <c r="R43" s="37">
        <f ca="1">OFFSET('Tiktok Dashboard Data'!$A$1,$R$2+35,$R$3+6)</f>
        <v>72</v>
      </c>
      <c r="S43" s="37"/>
      <c r="T43" s="37">
        <f ca="1">OFFSET('Tiktok Dashboard Data'!$A$1,$R$2+35,$R$3+7)</f>
        <v>0.86299999999999999</v>
      </c>
      <c r="U43" s="37"/>
      <c r="V43" s="37">
        <f ca="1">OFFSET('Tiktok Dashboard Data'!$A$1,$R$2+35,$R$3+8)</f>
        <v>0.63100000000000001</v>
      </c>
      <c r="W43" s="37"/>
      <c r="X43" s="37">
        <f ca="1">OFFSET('Tiktok Dashboard Data'!$A$1,$R$2+35,$R$3+9)</f>
        <v>-4.6890000000000001</v>
      </c>
      <c r="Y43" s="37"/>
      <c r="Z43" s="37"/>
      <c r="AA43" s="37">
        <f ca="1">OFFSET('Tiktok Dashboard Data'!$A$1,$R$2+35,$R$3+10)</f>
        <v>1</v>
      </c>
      <c r="AB43" s="37"/>
      <c r="AC43" s="37">
        <f ca="1">OFFSET('Tiktok Dashboard Data'!$A$1,$R$2+35,$R$3+11)</f>
        <v>7</v>
      </c>
      <c r="AD43" s="37"/>
      <c r="AE43" s="3"/>
    </row>
    <row r="44" spans="1:31" ht="15">
      <c r="A44" s="3"/>
      <c r="B44" s="37">
        <f ca="1">OFFSET('Tiktok Dashboard Data'!$A$1,$R$2+36,$R$3+0)</f>
        <v>2020</v>
      </c>
      <c r="C44" s="37"/>
      <c r="D44" s="37">
        <f ca="1">OFFSET('Tiktok Dashboard Data'!$A$1,$R$2+36,$R$3+1)</f>
        <v>5200000</v>
      </c>
      <c r="E44" s="37" t="e">
        <f t="shared" ref="E44" si="32">"="&amp;_xlfn.CONCAT(#REF!)</f>
        <v>#REF!</v>
      </c>
      <c r="F44" s="37"/>
      <c r="G44" s="37" t="str">
        <f ca="1">OFFSET('Tiktok Dashboard Data'!$A$1,$R$2+36,$R$3+2)</f>
        <v>Supalonely (feat. Gus Dapperton)</v>
      </c>
      <c r="H44" s="37"/>
      <c r="I44" s="37" t="str">
        <f ca="1">OFFSET('Tiktok Dashboard Data'!$A$1,$R$2+36,$R$3+3)</f>
        <v>BENEE</v>
      </c>
      <c r="J44" s="37"/>
      <c r="K44" s="37"/>
      <c r="L44" s="37">
        <f ca="1">OFFSET('Tiktok Dashboard Data'!$A$1,$R$2+36,$R$3+4)</f>
        <v>67</v>
      </c>
      <c r="M44" s="37"/>
      <c r="N44" s="37"/>
      <c r="O44" s="37" t="str">
        <f ca="1">OFFSET('Tiktok Dashboard Data'!$A$1,$R$2+36,$R$3+5)</f>
        <v>Hey u x</v>
      </c>
      <c r="P44" s="37"/>
      <c r="Q44" s="37"/>
      <c r="R44" s="37">
        <f ca="1">OFFSET('Tiktok Dashboard Data'!$A$1,$R$2+36,$R$3+6)</f>
        <v>63</v>
      </c>
      <c r="S44" s="37"/>
      <c r="T44" s="37">
        <f ca="1">OFFSET('Tiktok Dashboard Data'!$A$1,$R$2+36,$R$3+7)</f>
        <v>0.86199999999999999</v>
      </c>
      <c r="U44" s="37"/>
      <c r="V44" s="37">
        <f ca="1">OFFSET('Tiktok Dashboard Data'!$A$1,$R$2+36,$R$3+8)</f>
        <v>0.63100000000000001</v>
      </c>
      <c r="W44" s="37"/>
      <c r="X44" s="37">
        <f ca="1">OFFSET('Tiktok Dashboard Data'!$A$1,$R$2+36,$R$3+9)</f>
        <v>-4.7460000000000004</v>
      </c>
      <c r="Y44" s="37"/>
      <c r="Z44" s="37"/>
      <c r="AA44" s="37">
        <f ca="1">OFFSET('Tiktok Dashboard Data'!$A$1,$R$2+36,$R$3+10)</f>
        <v>1</v>
      </c>
      <c r="AB44" s="37"/>
      <c r="AC44" s="37">
        <f ca="1">OFFSET('Tiktok Dashboard Data'!$A$1,$R$2+36,$R$3+11)</f>
        <v>7</v>
      </c>
      <c r="AD44" s="37"/>
      <c r="AE44" s="3"/>
    </row>
    <row r="45" spans="1:31" ht="15">
      <c r="A45" s="3"/>
      <c r="B45" s="37">
        <f ca="1">OFFSET('Tiktok Dashboard Data'!$A$1,$R$2+37,$R$3+0)</f>
        <v>2021</v>
      </c>
      <c r="C45" s="37"/>
      <c r="D45" s="37">
        <f ca="1">OFFSET('Tiktok Dashboard Data'!$A$1,$R$2+37,$R$3+1)</f>
        <v>5100000</v>
      </c>
      <c r="E45" s="37" t="e">
        <f t="shared" ref="E45" si="33">"="&amp;_xlfn.CONCAT(#REF!)</f>
        <v>#REF!</v>
      </c>
      <c r="F45" s="37"/>
      <c r="G45" s="37" t="str">
        <f ca="1">OFFSET('Tiktok Dashboard Data'!$A$1,$R$2+37,$R$3+2)</f>
        <v>SugarCrash!</v>
      </c>
      <c r="H45" s="37"/>
      <c r="I45" s="37" t="str">
        <f ca="1">OFFSET('Tiktok Dashboard Data'!$A$1,$R$2+37,$R$3+3)</f>
        <v>ElyOtto</v>
      </c>
      <c r="J45" s="37"/>
      <c r="K45" s="37"/>
      <c r="L45" s="37">
        <f ca="1">OFFSET('Tiktok Dashboard Data'!$A$1,$R$2+37,$R$3+4)</f>
        <v>57</v>
      </c>
      <c r="M45" s="37"/>
      <c r="N45" s="37"/>
      <c r="O45" s="37" t="str">
        <f ca="1">OFFSET('Tiktok Dashboard Data'!$A$1,$R$2+37,$R$3+5)</f>
        <v>SugarCrash!</v>
      </c>
      <c r="P45" s="37"/>
      <c r="Q45" s="37"/>
      <c r="R45" s="37">
        <f ca="1">OFFSET('Tiktok Dashboard Data'!$A$1,$R$2+37,$R$3+6)</f>
        <v>1</v>
      </c>
      <c r="S45" s="37"/>
      <c r="T45" s="37">
        <f ca="1">OFFSET('Tiktok Dashboard Data'!$A$1,$R$2+37,$R$3+7)</f>
        <v>0.745</v>
      </c>
      <c r="U45" s="37"/>
      <c r="V45" s="37">
        <f ca="1">OFFSET('Tiktok Dashboard Data'!$A$1,$R$2+37,$R$3+8)</f>
        <v>0.74</v>
      </c>
      <c r="W45" s="37"/>
      <c r="X45" s="37">
        <f ca="1">OFFSET('Tiktok Dashboard Data'!$A$1,$R$2+37,$R$3+9)</f>
        <v>-6.5579999999999998</v>
      </c>
      <c r="Y45" s="37"/>
      <c r="Z45" s="37"/>
      <c r="AA45" s="37">
        <f ca="1">OFFSET('Tiktok Dashboard Data'!$A$1,$R$2+37,$R$3+10)</f>
        <v>1</v>
      </c>
      <c r="AB45" s="37"/>
      <c r="AC45" s="37">
        <f ca="1">OFFSET('Tiktok Dashboard Data'!$A$1,$R$2+37,$R$3+11)</f>
        <v>0</v>
      </c>
      <c r="AD45" s="37"/>
      <c r="AE45" s="3"/>
    </row>
    <row r="46" spans="1:31" ht="8.1" customHeight="1">
      <c r="A46" s="3" t="s">
        <v>27</v>
      </c>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t="s">
        <v>25</v>
      </c>
    </row>
  </sheetData>
  <mergeCells count="459">
    <mergeCell ref="AC33:AD34"/>
    <mergeCell ref="O33:Q34"/>
    <mergeCell ref="R33:S34"/>
    <mergeCell ref="T33:U34"/>
    <mergeCell ref="V33:W34"/>
    <mergeCell ref="X33:Z34"/>
    <mergeCell ref="AA33:AB34"/>
    <mergeCell ref="L20:N21"/>
    <mergeCell ref="B33:C34"/>
    <mergeCell ref="D33:F34"/>
    <mergeCell ref="G33:H34"/>
    <mergeCell ref="I33:K34"/>
    <mergeCell ref="L33:N34"/>
    <mergeCell ref="AC20:AD21"/>
    <mergeCell ref="AA20:AB21"/>
    <mergeCell ref="X20:Z21"/>
    <mergeCell ref="V20:W21"/>
    <mergeCell ref="T20:U21"/>
    <mergeCell ref="R20:S21"/>
    <mergeCell ref="AC32:AD32"/>
    <mergeCell ref="O32:Q32"/>
    <mergeCell ref="R32:S32"/>
    <mergeCell ref="T32:U32"/>
    <mergeCell ref="V32:W32"/>
    <mergeCell ref="B20:C21"/>
    <mergeCell ref="I20:K21"/>
    <mergeCell ref="G20:H21"/>
    <mergeCell ref="D20:F21"/>
    <mergeCell ref="B45:C45"/>
    <mergeCell ref="D45:F45"/>
    <mergeCell ref="G45:H45"/>
    <mergeCell ref="I45:K45"/>
    <mergeCell ref="L45:N45"/>
    <mergeCell ref="G43:H43"/>
    <mergeCell ref="I43:K43"/>
    <mergeCell ref="L43:N43"/>
    <mergeCell ref="B26:C26"/>
    <mergeCell ref="D26:F26"/>
    <mergeCell ref="G26:H26"/>
    <mergeCell ref="I26:K26"/>
    <mergeCell ref="L26:N26"/>
    <mergeCell ref="B24:C24"/>
    <mergeCell ref="D24:F24"/>
    <mergeCell ref="G24:H24"/>
    <mergeCell ref="I24:K24"/>
    <mergeCell ref="L24:N24"/>
    <mergeCell ref="AA43:AB43"/>
    <mergeCell ref="AC43:AD43"/>
    <mergeCell ref="B44:C44"/>
    <mergeCell ref="D44:F44"/>
    <mergeCell ref="G44:H44"/>
    <mergeCell ref="I44:K44"/>
    <mergeCell ref="L44:N44"/>
    <mergeCell ref="T45:U45"/>
    <mergeCell ref="V45:W45"/>
    <mergeCell ref="X45:Z45"/>
    <mergeCell ref="AA45:AB45"/>
    <mergeCell ref="AC45:AD45"/>
    <mergeCell ref="O45:Q45"/>
    <mergeCell ref="R45:S45"/>
    <mergeCell ref="AC44:AD44"/>
    <mergeCell ref="O44:Q44"/>
    <mergeCell ref="R44:S44"/>
    <mergeCell ref="T44:U44"/>
    <mergeCell ref="V44:W44"/>
    <mergeCell ref="X44:Z44"/>
    <mergeCell ref="AA44:AB44"/>
    <mergeCell ref="T43:U43"/>
    <mergeCell ref="B43:C43"/>
    <mergeCell ref="D43:F43"/>
    <mergeCell ref="O43:Q43"/>
    <mergeCell ref="R43:S43"/>
    <mergeCell ref="V43:W43"/>
    <mergeCell ref="X43:Z43"/>
    <mergeCell ref="B41:C41"/>
    <mergeCell ref="D41:F41"/>
    <mergeCell ref="G41:H41"/>
    <mergeCell ref="I41:K41"/>
    <mergeCell ref="L41:N41"/>
    <mergeCell ref="AC41:AD41"/>
    <mergeCell ref="B42:C42"/>
    <mergeCell ref="D42:F42"/>
    <mergeCell ref="G42:H42"/>
    <mergeCell ref="I42:K42"/>
    <mergeCell ref="L42:N42"/>
    <mergeCell ref="O42:Q42"/>
    <mergeCell ref="R42:S42"/>
    <mergeCell ref="T42:U42"/>
    <mergeCell ref="V42:W42"/>
    <mergeCell ref="O41:Q41"/>
    <mergeCell ref="R41:S41"/>
    <mergeCell ref="T41:U41"/>
    <mergeCell ref="V41:W41"/>
    <mergeCell ref="X41:Z41"/>
    <mergeCell ref="AA41:AB41"/>
    <mergeCell ref="X42:Z42"/>
    <mergeCell ref="AA42:AB42"/>
    <mergeCell ref="AC42:AD42"/>
    <mergeCell ref="X39:Z39"/>
    <mergeCell ref="AA39:AB39"/>
    <mergeCell ref="AC39:AD39"/>
    <mergeCell ref="B40:C40"/>
    <mergeCell ref="D40:F40"/>
    <mergeCell ref="G40:H40"/>
    <mergeCell ref="I40:K40"/>
    <mergeCell ref="L40:N40"/>
    <mergeCell ref="O40:Q40"/>
    <mergeCell ref="R40:S40"/>
    <mergeCell ref="T40:U40"/>
    <mergeCell ref="V40:W40"/>
    <mergeCell ref="X40:Z40"/>
    <mergeCell ref="AA40:AB40"/>
    <mergeCell ref="AC40:AD40"/>
    <mergeCell ref="B39:C39"/>
    <mergeCell ref="D39:F39"/>
    <mergeCell ref="G39:H39"/>
    <mergeCell ref="I39:K39"/>
    <mergeCell ref="L39:N39"/>
    <mergeCell ref="O39:Q39"/>
    <mergeCell ref="R39:S39"/>
    <mergeCell ref="T39:U39"/>
    <mergeCell ref="V39:W39"/>
    <mergeCell ref="X37:Z37"/>
    <mergeCell ref="AA37:AB37"/>
    <mergeCell ref="AC37:AD37"/>
    <mergeCell ref="B38:C38"/>
    <mergeCell ref="D38:F38"/>
    <mergeCell ref="G38:H38"/>
    <mergeCell ref="I38:K38"/>
    <mergeCell ref="L38:N38"/>
    <mergeCell ref="AC38:AD38"/>
    <mergeCell ref="O38:Q38"/>
    <mergeCell ref="R38:S38"/>
    <mergeCell ref="T38:U38"/>
    <mergeCell ref="V38:W38"/>
    <mergeCell ref="X38:Z38"/>
    <mergeCell ref="AA38:AB38"/>
    <mergeCell ref="B37:C37"/>
    <mergeCell ref="D37:F37"/>
    <mergeCell ref="G37:H37"/>
    <mergeCell ref="I37:K37"/>
    <mergeCell ref="L37:N37"/>
    <mergeCell ref="O37:Q37"/>
    <mergeCell ref="R37:S37"/>
    <mergeCell ref="T37:U37"/>
    <mergeCell ref="V37:W37"/>
    <mergeCell ref="AC35:AD35"/>
    <mergeCell ref="B36:C36"/>
    <mergeCell ref="D36:F36"/>
    <mergeCell ref="G36:H36"/>
    <mergeCell ref="I36:K36"/>
    <mergeCell ref="L36:N36"/>
    <mergeCell ref="O36:Q36"/>
    <mergeCell ref="R36:S36"/>
    <mergeCell ref="T36:U36"/>
    <mergeCell ref="V36:W36"/>
    <mergeCell ref="O35:Q35"/>
    <mergeCell ref="R35:S35"/>
    <mergeCell ref="T35:U35"/>
    <mergeCell ref="V35:W35"/>
    <mergeCell ref="X35:Z35"/>
    <mergeCell ref="AA35:AB35"/>
    <mergeCell ref="B35:C35"/>
    <mergeCell ref="D35:F35"/>
    <mergeCell ref="G35:H35"/>
    <mergeCell ref="I35:K35"/>
    <mergeCell ref="L35:N35"/>
    <mergeCell ref="X36:Z36"/>
    <mergeCell ref="AA36:AB36"/>
    <mergeCell ref="AC36:AD36"/>
    <mergeCell ref="X32:Z32"/>
    <mergeCell ref="AA32:AB32"/>
    <mergeCell ref="T31:U31"/>
    <mergeCell ref="V31:W31"/>
    <mergeCell ref="X31:Z31"/>
    <mergeCell ref="AA31:AB31"/>
    <mergeCell ref="AC31:AD31"/>
    <mergeCell ref="B32:C32"/>
    <mergeCell ref="D32:F32"/>
    <mergeCell ref="G32:H32"/>
    <mergeCell ref="I32:K32"/>
    <mergeCell ref="L32:N32"/>
    <mergeCell ref="X30:Z30"/>
    <mergeCell ref="AA30:AB30"/>
    <mergeCell ref="AC30:AD30"/>
    <mergeCell ref="B31:C31"/>
    <mergeCell ref="D31:F31"/>
    <mergeCell ref="G31:H31"/>
    <mergeCell ref="I31:K31"/>
    <mergeCell ref="L31:N31"/>
    <mergeCell ref="O31:Q31"/>
    <mergeCell ref="R31:S31"/>
    <mergeCell ref="B30:C30"/>
    <mergeCell ref="D30:F30"/>
    <mergeCell ref="G30:H30"/>
    <mergeCell ref="I30:K30"/>
    <mergeCell ref="L30:N30"/>
    <mergeCell ref="O30:Q30"/>
    <mergeCell ref="R30:S30"/>
    <mergeCell ref="T30:U30"/>
    <mergeCell ref="V30:W30"/>
    <mergeCell ref="X28:Z28"/>
    <mergeCell ref="AA28:AB28"/>
    <mergeCell ref="AC28:AD28"/>
    <mergeCell ref="B29:C29"/>
    <mergeCell ref="D29:F29"/>
    <mergeCell ref="G29:H29"/>
    <mergeCell ref="I29:K29"/>
    <mergeCell ref="L29:N29"/>
    <mergeCell ref="AC29:AD29"/>
    <mergeCell ref="O29:Q29"/>
    <mergeCell ref="R29:S29"/>
    <mergeCell ref="T29:U29"/>
    <mergeCell ref="V29:W29"/>
    <mergeCell ref="X29:Z29"/>
    <mergeCell ref="AA29:AB29"/>
    <mergeCell ref="B28:C28"/>
    <mergeCell ref="D28:F28"/>
    <mergeCell ref="G28:H28"/>
    <mergeCell ref="I28:K28"/>
    <mergeCell ref="L28:N28"/>
    <mergeCell ref="O28:Q28"/>
    <mergeCell ref="R28:S28"/>
    <mergeCell ref="T28:U28"/>
    <mergeCell ref="V28:W28"/>
    <mergeCell ref="O26:Q26"/>
    <mergeCell ref="R26:S26"/>
    <mergeCell ref="AC26:AD26"/>
    <mergeCell ref="B27:C27"/>
    <mergeCell ref="D27:F27"/>
    <mergeCell ref="G27:H27"/>
    <mergeCell ref="I27:K27"/>
    <mergeCell ref="L27:N27"/>
    <mergeCell ref="O27:Q27"/>
    <mergeCell ref="R27:S27"/>
    <mergeCell ref="T27:U27"/>
    <mergeCell ref="V27:W27"/>
    <mergeCell ref="X27:Z27"/>
    <mergeCell ref="AA27:AB27"/>
    <mergeCell ref="AC27:AD27"/>
    <mergeCell ref="AC24:AD24"/>
    <mergeCell ref="B25:C25"/>
    <mergeCell ref="D25:F25"/>
    <mergeCell ref="G25:H25"/>
    <mergeCell ref="I25:K25"/>
    <mergeCell ref="L25:N25"/>
    <mergeCell ref="O25:Q25"/>
    <mergeCell ref="R25:S25"/>
    <mergeCell ref="T25:U25"/>
    <mergeCell ref="V25:W25"/>
    <mergeCell ref="O24:Q24"/>
    <mergeCell ref="R24:S24"/>
    <mergeCell ref="T24:U24"/>
    <mergeCell ref="V24:W24"/>
    <mergeCell ref="X24:Z24"/>
    <mergeCell ref="AA24:AB24"/>
    <mergeCell ref="X25:Z25"/>
    <mergeCell ref="AA25:AB25"/>
    <mergeCell ref="AC25:AD25"/>
    <mergeCell ref="X22:Z22"/>
    <mergeCell ref="AA22:AB22"/>
    <mergeCell ref="AC22:AD22"/>
    <mergeCell ref="B23:C23"/>
    <mergeCell ref="D23:F23"/>
    <mergeCell ref="G23:H23"/>
    <mergeCell ref="I23:K23"/>
    <mergeCell ref="L23:N23"/>
    <mergeCell ref="O23:Q23"/>
    <mergeCell ref="R23:S23"/>
    <mergeCell ref="B22:C22"/>
    <mergeCell ref="D22:F22"/>
    <mergeCell ref="G22:H22"/>
    <mergeCell ref="I22:K22"/>
    <mergeCell ref="L22:N22"/>
    <mergeCell ref="O22:Q22"/>
    <mergeCell ref="R22:S22"/>
    <mergeCell ref="T22:U22"/>
    <mergeCell ref="V22:W22"/>
    <mergeCell ref="T23:U23"/>
    <mergeCell ref="V23:W23"/>
    <mergeCell ref="X23:Z23"/>
    <mergeCell ref="AA23:AB23"/>
    <mergeCell ref="AC23:AD23"/>
    <mergeCell ref="O20:Q21"/>
    <mergeCell ref="X19:Z19"/>
    <mergeCell ref="AA19:AB19"/>
    <mergeCell ref="AC19:AD19"/>
    <mergeCell ref="T18:U18"/>
    <mergeCell ref="V18:W18"/>
    <mergeCell ref="X18:Z18"/>
    <mergeCell ref="AA18:AB18"/>
    <mergeCell ref="AC18:AD18"/>
    <mergeCell ref="X17:Z17"/>
    <mergeCell ref="AA17:AB17"/>
    <mergeCell ref="AC17:AD17"/>
    <mergeCell ref="B18:C18"/>
    <mergeCell ref="D18:F18"/>
    <mergeCell ref="G18:H18"/>
    <mergeCell ref="I18:K18"/>
    <mergeCell ref="L18:N18"/>
    <mergeCell ref="O18:Q18"/>
    <mergeCell ref="R18:S18"/>
    <mergeCell ref="B17:C17"/>
    <mergeCell ref="D17:F17"/>
    <mergeCell ref="G17:H17"/>
    <mergeCell ref="I17:K17"/>
    <mergeCell ref="L17:N17"/>
    <mergeCell ref="O17:Q17"/>
    <mergeCell ref="R17:S17"/>
    <mergeCell ref="B19:C19"/>
    <mergeCell ref="D19:F19"/>
    <mergeCell ref="G19:H19"/>
    <mergeCell ref="I19:K19"/>
    <mergeCell ref="L19:N19"/>
    <mergeCell ref="B15:C15"/>
    <mergeCell ref="D15:F15"/>
    <mergeCell ref="G15:H15"/>
    <mergeCell ref="I15:K15"/>
    <mergeCell ref="L15:N15"/>
    <mergeCell ref="AC15:AD15"/>
    <mergeCell ref="B16:C16"/>
    <mergeCell ref="D16:F16"/>
    <mergeCell ref="G16:H16"/>
    <mergeCell ref="I16:K16"/>
    <mergeCell ref="L16:N16"/>
    <mergeCell ref="O16:Q16"/>
    <mergeCell ref="R16:S16"/>
    <mergeCell ref="T16:U16"/>
    <mergeCell ref="V16:W16"/>
    <mergeCell ref="O15:Q15"/>
    <mergeCell ref="R15:S15"/>
    <mergeCell ref="T15:U15"/>
    <mergeCell ref="V15:W15"/>
    <mergeCell ref="X15:Z15"/>
    <mergeCell ref="AA15:AB15"/>
    <mergeCell ref="X16:Z16"/>
    <mergeCell ref="AA16:AB16"/>
    <mergeCell ref="AC16:AD16"/>
    <mergeCell ref="X13:Z13"/>
    <mergeCell ref="AA13:AB13"/>
    <mergeCell ref="AC13:AD13"/>
    <mergeCell ref="B14:C14"/>
    <mergeCell ref="D14:F14"/>
    <mergeCell ref="G14:H14"/>
    <mergeCell ref="I14:K14"/>
    <mergeCell ref="L14:N14"/>
    <mergeCell ref="O14:Q14"/>
    <mergeCell ref="R14:S14"/>
    <mergeCell ref="T14:U14"/>
    <mergeCell ref="V14:W14"/>
    <mergeCell ref="X14:Z14"/>
    <mergeCell ref="AA14:AB14"/>
    <mergeCell ref="AC14:AD14"/>
    <mergeCell ref="B13:C13"/>
    <mergeCell ref="D13:F13"/>
    <mergeCell ref="G13:H13"/>
    <mergeCell ref="I13:K13"/>
    <mergeCell ref="L13:N13"/>
    <mergeCell ref="O13:Q13"/>
    <mergeCell ref="R13:S13"/>
    <mergeCell ref="T13:U13"/>
    <mergeCell ref="V13:W13"/>
    <mergeCell ref="X11:Z11"/>
    <mergeCell ref="AA11:AB11"/>
    <mergeCell ref="AC11:AD11"/>
    <mergeCell ref="B12:C12"/>
    <mergeCell ref="D12:F12"/>
    <mergeCell ref="G12:H12"/>
    <mergeCell ref="I12:K12"/>
    <mergeCell ref="L12:N12"/>
    <mergeCell ref="AC12:AD12"/>
    <mergeCell ref="O12:Q12"/>
    <mergeCell ref="R12:S12"/>
    <mergeCell ref="T12:U12"/>
    <mergeCell ref="V12:W12"/>
    <mergeCell ref="X12:Z12"/>
    <mergeCell ref="AA12:AB12"/>
    <mergeCell ref="B11:C11"/>
    <mergeCell ref="D11:F11"/>
    <mergeCell ref="G11:H11"/>
    <mergeCell ref="I11:K11"/>
    <mergeCell ref="L11:N11"/>
    <mergeCell ref="O11:Q11"/>
    <mergeCell ref="R11:S11"/>
    <mergeCell ref="T11:U11"/>
    <mergeCell ref="V11:W11"/>
    <mergeCell ref="X9:Z9"/>
    <mergeCell ref="AA9:AB9"/>
    <mergeCell ref="AC9:AD9"/>
    <mergeCell ref="B10:C10"/>
    <mergeCell ref="D10:F10"/>
    <mergeCell ref="G10:H10"/>
    <mergeCell ref="I10:K10"/>
    <mergeCell ref="L10:N10"/>
    <mergeCell ref="X10:Z10"/>
    <mergeCell ref="AA10:AB10"/>
    <mergeCell ref="AC10:AD10"/>
    <mergeCell ref="B9:C9"/>
    <mergeCell ref="D9:F9"/>
    <mergeCell ref="G9:H9"/>
    <mergeCell ref="I9:K9"/>
    <mergeCell ref="L9:N9"/>
    <mergeCell ref="O9:Q9"/>
    <mergeCell ref="R9:S9"/>
    <mergeCell ref="T9:U9"/>
    <mergeCell ref="V9:W9"/>
    <mergeCell ref="X7:Z7"/>
    <mergeCell ref="AA7:AB7"/>
    <mergeCell ref="AC7:AD7"/>
    <mergeCell ref="B8:C8"/>
    <mergeCell ref="D8:F8"/>
    <mergeCell ref="G8:H8"/>
    <mergeCell ref="I8:K8"/>
    <mergeCell ref="L8:N8"/>
    <mergeCell ref="X8:Z8"/>
    <mergeCell ref="AA8:AB8"/>
    <mergeCell ref="AC8:AD8"/>
    <mergeCell ref="T8:U8"/>
    <mergeCell ref="V8:W8"/>
    <mergeCell ref="T7:U7"/>
    <mergeCell ref="V7:W7"/>
    <mergeCell ref="R6:S6"/>
    <mergeCell ref="B7:C7"/>
    <mergeCell ref="D7:F7"/>
    <mergeCell ref="G7:H7"/>
    <mergeCell ref="I7:K7"/>
    <mergeCell ref="L7:N7"/>
    <mergeCell ref="O7:Q7"/>
    <mergeCell ref="R7:S7"/>
    <mergeCell ref="B6:C6"/>
    <mergeCell ref="D6:F6"/>
    <mergeCell ref="G6:H6"/>
    <mergeCell ref="I6:K6"/>
    <mergeCell ref="L6:N6"/>
    <mergeCell ref="O6:Q6"/>
    <mergeCell ref="H2:Q4"/>
    <mergeCell ref="Y2:AA4"/>
    <mergeCell ref="AB2:AD4"/>
    <mergeCell ref="X6:Z6"/>
    <mergeCell ref="V6:W6"/>
    <mergeCell ref="T6:U6"/>
    <mergeCell ref="AC6:AD6"/>
    <mergeCell ref="AA6:AB6"/>
    <mergeCell ref="T26:U26"/>
    <mergeCell ref="V26:W26"/>
    <mergeCell ref="X26:Z26"/>
    <mergeCell ref="AA26:AB26"/>
    <mergeCell ref="O19:Q19"/>
    <mergeCell ref="R19:S19"/>
    <mergeCell ref="T19:U19"/>
    <mergeCell ref="V19:W19"/>
    <mergeCell ref="T17:U17"/>
    <mergeCell ref="V17:W17"/>
    <mergeCell ref="O10:Q10"/>
    <mergeCell ref="R10:S10"/>
    <mergeCell ref="T10:U10"/>
    <mergeCell ref="V10:W10"/>
    <mergeCell ref="O8:Q8"/>
    <mergeCell ref="R8:S8"/>
  </mergeCells>
  <pageMargins left="0.23622047244094491" right="0.23622047244094491" top="0.23622047244094491" bottom="0.23622047244094491"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Scroll Bar 3">
              <controlPr defaultSize="0" autoPict="0">
                <anchor moveWithCells="1">
                  <from>
                    <xdr:col>29</xdr:col>
                    <xdr:colOff>428625</xdr:colOff>
                    <xdr:row>5</xdr:row>
                    <xdr:rowOff>9525</xdr:rowOff>
                  </from>
                  <to>
                    <xdr:col>29</xdr:col>
                    <xdr:colOff>600075</xdr:colOff>
                    <xdr:row>44</xdr:row>
                    <xdr:rowOff>123825</xdr:rowOff>
                  </to>
                </anchor>
              </controlPr>
            </control>
          </mc:Choice>
        </mc:AlternateContent>
        <mc:AlternateContent xmlns:mc="http://schemas.openxmlformats.org/markup-compatibility/2006">
          <mc:Choice Requires="x14">
            <control shapeId="11268" r:id="rId5" name="Scroll Bar 4">
              <controlPr defaultSize="0" autoPict="0">
                <anchor moveWithCells="1">
                  <from>
                    <xdr:col>1</xdr:col>
                    <xdr:colOff>9525</xdr:colOff>
                    <xdr:row>44</xdr:row>
                    <xdr:rowOff>0</xdr:rowOff>
                  </from>
                  <to>
                    <xdr:col>29</xdr:col>
                    <xdr:colOff>428625</xdr:colOff>
                    <xdr:row>45</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6DD41-B84A-47C5-85FD-504C8C8710B8}">
  <sheetPr codeName="Sheet8"/>
  <dimension ref="A20:AD822"/>
  <sheetViews>
    <sheetView workbookViewId="0"/>
  </sheetViews>
  <sheetFormatPr defaultRowHeight="15"/>
  <cols>
    <col min="1" max="1" width="13.140625" bestFit="1" customWidth="1"/>
    <col min="2" max="2" width="15.28515625" bestFit="1" customWidth="1"/>
    <col min="4" max="4" width="13.140625" bestFit="1" customWidth="1"/>
    <col min="5" max="5" width="21.85546875" bestFit="1" customWidth="1"/>
    <col min="7" max="7" width="13.140625" bestFit="1" customWidth="1"/>
    <col min="8" max="8" width="21.85546875" bestFit="1" customWidth="1"/>
    <col min="10" max="10" width="13.140625" bestFit="1" customWidth="1"/>
    <col min="11" max="11" width="21.85546875" bestFit="1" customWidth="1"/>
    <col min="13" max="13" width="65" bestFit="1" customWidth="1"/>
    <col min="14" max="14" width="21.85546875" bestFit="1" customWidth="1"/>
    <col min="16" max="16" width="29" bestFit="1" customWidth="1"/>
    <col min="17" max="17" width="21.85546875" bestFit="1" customWidth="1"/>
    <col min="19" max="19" width="13.140625" bestFit="1" customWidth="1"/>
    <col min="20" max="20" width="21.85546875" bestFit="1" customWidth="1"/>
    <col min="21" max="21" width="6" bestFit="1" customWidth="1"/>
    <col min="22" max="22" width="13.140625" bestFit="1" customWidth="1"/>
    <col min="23" max="23" width="21.85546875" bestFit="1" customWidth="1"/>
    <col min="24" max="28" width="6" customWidth="1"/>
    <col min="29" max="29" width="13.140625" bestFit="1" customWidth="1"/>
    <col min="30" max="30" width="15.28515625" bestFit="1" customWidth="1"/>
    <col min="31" max="50" width="6" bestFit="1" customWidth="1"/>
    <col min="51" max="51" width="5" bestFit="1" customWidth="1"/>
    <col min="52" max="57" width="6" bestFit="1" customWidth="1"/>
    <col min="58" max="58" width="5" bestFit="1" customWidth="1"/>
    <col min="59" max="73" width="6" bestFit="1" customWidth="1"/>
    <col min="74" max="74" width="5" bestFit="1" customWidth="1"/>
    <col min="75" max="102" width="6" bestFit="1" customWidth="1"/>
    <col min="103" max="103" width="5" bestFit="1" customWidth="1"/>
    <col min="104" max="116" width="6" bestFit="1" customWidth="1"/>
    <col min="117" max="117" width="5" bestFit="1" customWidth="1"/>
    <col min="118" max="128" width="6" bestFit="1" customWidth="1"/>
    <col min="129" max="129" width="5" bestFit="1" customWidth="1"/>
    <col min="130" max="141" width="6" bestFit="1" customWidth="1"/>
    <col min="142" max="142" width="5" bestFit="1" customWidth="1"/>
    <col min="143" max="150" width="6" bestFit="1" customWidth="1"/>
    <col min="151" max="151" width="4" bestFit="1" customWidth="1"/>
    <col min="152" max="171" width="6" bestFit="1" customWidth="1"/>
    <col min="172" max="172" width="5" bestFit="1" customWidth="1"/>
    <col min="173" max="179" width="6" bestFit="1" customWidth="1"/>
    <col min="180" max="180" width="5" bestFit="1" customWidth="1"/>
    <col min="181" max="205" width="6" bestFit="1" customWidth="1"/>
    <col min="206" max="206" width="5" bestFit="1" customWidth="1"/>
    <col min="207" max="213" width="6" bestFit="1" customWidth="1"/>
    <col min="214" max="214" width="5" bestFit="1" customWidth="1"/>
    <col min="215" max="227" width="6" bestFit="1" customWidth="1"/>
    <col min="228" max="228" width="5" bestFit="1" customWidth="1"/>
    <col min="229" max="236" width="6" bestFit="1" customWidth="1"/>
    <col min="237" max="237" width="5" bestFit="1" customWidth="1"/>
    <col min="238" max="242" width="6" bestFit="1" customWidth="1"/>
    <col min="243" max="243" width="5" bestFit="1" customWidth="1"/>
    <col min="244" max="252" width="6" bestFit="1" customWidth="1"/>
    <col min="253" max="253" width="5" bestFit="1" customWidth="1"/>
    <col min="254" max="259" width="6" bestFit="1" customWidth="1"/>
    <col min="260" max="260" width="5" bestFit="1" customWidth="1"/>
    <col min="261" max="268" width="6" bestFit="1" customWidth="1"/>
    <col min="269" max="269" width="5" bestFit="1" customWidth="1"/>
    <col min="270" max="277" width="6" bestFit="1" customWidth="1"/>
    <col min="278" max="278" width="5" bestFit="1" customWidth="1"/>
    <col min="279" max="286" width="6" bestFit="1" customWidth="1"/>
    <col min="287" max="287" width="5" bestFit="1" customWidth="1"/>
    <col min="288" max="294" width="6" bestFit="1" customWidth="1"/>
    <col min="295" max="295" width="5" bestFit="1" customWidth="1"/>
    <col min="296" max="303" width="6" bestFit="1" customWidth="1"/>
    <col min="304" max="304" width="4" bestFit="1" customWidth="1"/>
    <col min="305" max="310" width="6" bestFit="1" customWidth="1"/>
    <col min="311" max="311" width="5" bestFit="1" customWidth="1"/>
    <col min="312" max="320" width="6" bestFit="1" customWidth="1"/>
    <col min="321" max="321" width="5" bestFit="1" customWidth="1"/>
    <col min="322" max="328" width="6" bestFit="1" customWidth="1"/>
    <col min="329" max="329" width="5" bestFit="1" customWidth="1"/>
    <col min="330" max="338" width="6" bestFit="1" customWidth="1"/>
    <col min="339" max="339" width="5" bestFit="1" customWidth="1"/>
    <col min="340" max="346" width="6" bestFit="1" customWidth="1"/>
    <col min="347" max="347" width="5" bestFit="1" customWidth="1"/>
    <col min="348" max="365" width="6" bestFit="1" customWidth="1"/>
    <col min="366" max="366" width="5" bestFit="1" customWidth="1"/>
    <col min="367" max="374" width="6" bestFit="1" customWidth="1"/>
    <col min="375" max="375" width="5" bestFit="1" customWidth="1"/>
    <col min="376" max="384" width="6" bestFit="1" customWidth="1"/>
    <col min="385" max="385" width="4" bestFit="1" customWidth="1"/>
    <col min="386" max="391" width="6" bestFit="1" customWidth="1"/>
    <col min="392" max="392" width="5" bestFit="1" customWidth="1"/>
    <col min="393" max="401" width="6" bestFit="1" customWidth="1"/>
    <col min="402" max="402" width="5" bestFit="1" customWidth="1"/>
    <col min="403" max="416" width="6" bestFit="1" customWidth="1"/>
    <col min="417" max="417" width="5" bestFit="1" customWidth="1"/>
    <col min="418" max="444" width="6" bestFit="1" customWidth="1"/>
    <col min="445" max="445" width="5" bestFit="1" customWidth="1"/>
    <col min="446" max="466" width="6" bestFit="1" customWidth="1"/>
    <col min="467" max="467" width="5" bestFit="1" customWidth="1"/>
    <col min="468" max="476" width="6" bestFit="1" customWidth="1"/>
    <col min="477" max="477" width="11.28515625" bestFit="1" customWidth="1"/>
    <col min="478" max="478" width="5.7109375" bestFit="1" customWidth="1"/>
    <col min="479" max="487" width="6.7109375" bestFit="1" customWidth="1"/>
    <col min="488" max="488" width="5.7109375" bestFit="1" customWidth="1"/>
    <col min="489" max="492" width="6.7109375" bestFit="1" customWidth="1"/>
    <col min="493" max="493" width="5.7109375" bestFit="1" customWidth="1"/>
    <col min="494" max="525" width="6.7109375" bestFit="1" customWidth="1"/>
    <col min="526" max="526" width="5.7109375" bestFit="1" customWidth="1"/>
    <col min="527" max="554" width="6.7109375" bestFit="1" customWidth="1"/>
    <col min="555" max="555" width="5.7109375" bestFit="1" customWidth="1"/>
    <col min="556" max="569" width="6.7109375" bestFit="1" customWidth="1"/>
    <col min="570" max="570" width="5.7109375" bestFit="1" customWidth="1"/>
    <col min="571" max="585" width="6.7109375" bestFit="1" customWidth="1"/>
    <col min="586" max="586" width="5.7109375" bestFit="1" customWidth="1"/>
    <col min="587" max="598" width="6.7109375" bestFit="1" customWidth="1"/>
    <col min="599" max="600" width="5.7109375" bestFit="1" customWidth="1"/>
    <col min="601" max="615" width="6.7109375" bestFit="1" customWidth="1"/>
    <col min="616" max="616" width="4.7109375" bestFit="1" customWidth="1"/>
    <col min="617" max="621" width="6.7109375" bestFit="1" customWidth="1"/>
    <col min="622" max="622" width="5.7109375" bestFit="1" customWidth="1"/>
    <col min="623" max="630" width="6.7109375" bestFit="1" customWidth="1"/>
    <col min="631" max="631" width="5.7109375" bestFit="1" customWidth="1"/>
    <col min="632" max="634" width="6.7109375" bestFit="1" customWidth="1"/>
    <col min="635" max="635" width="5.7109375" bestFit="1" customWidth="1"/>
    <col min="636" max="637" width="6.7109375" bestFit="1" customWidth="1"/>
    <col min="638" max="638" width="5.7109375" bestFit="1" customWidth="1"/>
    <col min="639" max="639" width="6.7109375" bestFit="1" customWidth="1"/>
    <col min="640" max="640" width="5.7109375" bestFit="1" customWidth="1"/>
    <col min="641" max="657" width="6.7109375" bestFit="1" customWidth="1"/>
    <col min="658" max="658" width="5.7109375" bestFit="1" customWidth="1"/>
    <col min="659" max="669" width="6.7109375" bestFit="1" customWidth="1"/>
    <col min="670" max="670" width="5.7109375" bestFit="1" customWidth="1"/>
    <col min="671" max="676" width="6.7109375" bestFit="1" customWidth="1"/>
    <col min="677" max="677" width="5.7109375" bestFit="1" customWidth="1"/>
    <col min="678" max="684" width="6.7109375" bestFit="1" customWidth="1"/>
    <col min="685" max="685" width="5.7109375" bestFit="1" customWidth="1"/>
    <col min="686" max="689" width="6.7109375" bestFit="1" customWidth="1"/>
    <col min="690" max="690" width="5.7109375" bestFit="1" customWidth="1"/>
    <col min="691" max="711" width="6.7109375" bestFit="1" customWidth="1"/>
    <col min="712" max="712" width="5.7109375" bestFit="1" customWidth="1"/>
    <col min="713" max="719" width="6.7109375" bestFit="1" customWidth="1"/>
    <col min="720" max="720" width="5.7109375" bestFit="1" customWidth="1"/>
    <col min="721" max="725" width="6.7109375" bestFit="1" customWidth="1"/>
    <col min="726" max="726" width="5.7109375" bestFit="1" customWidth="1"/>
    <col min="727" max="760" width="6.7109375" bestFit="1" customWidth="1"/>
    <col min="761" max="761" width="5.7109375" bestFit="1" customWidth="1"/>
    <col min="762" max="768" width="6.7109375" bestFit="1" customWidth="1"/>
    <col min="769" max="769" width="5.7109375" bestFit="1" customWidth="1"/>
    <col min="770" max="786" width="6.7109375" bestFit="1" customWidth="1"/>
    <col min="787" max="787" width="4.7109375" bestFit="1" customWidth="1"/>
    <col min="788" max="793" width="6.7109375" bestFit="1" customWidth="1"/>
    <col min="794" max="794" width="5.7109375" bestFit="1" customWidth="1"/>
    <col min="795" max="802" width="6.7109375" bestFit="1" customWidth="1"/>
    <col min="803" max="803" width="5.7109375" bestFit="1" customWidth="1"/>
    <col min="804" max="812" width="6.7109375" bestFit="1" customWidth="1"/>
    <col min="813" max="813" width="5.7109375" bestFit="1" customWidth="1"/>
    <col min="814" max="825" width="6.7109375" bestFit="1" customWidth="1"/>
    <col min="826" max="826" width="5.7109375" bestFit="1" customWidth="1"/>
    <col min="827" max="828" width="6.7109375" bestFit="1" customWidth="1"/>
    <col min="829" max="829" width="11.28515625" bestFit="1" customWidth="1"/>
  </cols>
  <sheetData>
    <row r="20" spans="1:30">
      <c r="A20" s="1" t="s">
        <v>21</v>
      </c>
      <c r="B20" t="s">
        <v>20</v>
      </c>
      <c r="D20" s="1" t="s">
        <v>21</v>
      </c>
      <c r="E20" t="s">
        <v>38</v>
      </c>
      <c r="G20" s="1" t="s">
        <v>21</v>
      </c>
      <c r="H20" t="s">
        <v>38</v>
      </c>
      <c r="J20" s="1" t="s">
        <v>21</v>
      </c>
      <c r="K20" t="s">
        <v>38</v>
      </c>
      <c r="M20" s="1" t="s">
        <v>21</v>
      </c>
      <c r="N20" t="s">
        <v>38</v>
      </c>
      <c r="P20" s="1" t="s">
        <v>21</v>
      </c>
      <c r="Q20" t="s">
        <v>38</v>
      </c>
      <c r="S20" s="1" t="s">
        <v>21</v>
      </c>
      <c r="T20" t="s">
        <v>38</v>
      </c>
      <c r="V20" s="1" t="s">
        <v>21</v>
      </c>
      <c r="W20" t="s">
        <v>38</v>
      </c>
      <c r="AC20" s="1" t="s">
        <v>21</v>
      </c>
      <c r="AD20" t="s">
        <v>20</v>
      </c>
    </row>
    <row r="21" spans="1:30">
      <c r="A21" s="2" t="s">
        <v>17</v>
      </c>
      <c r="B21" s="38">
        <v>743</v>
      </c>
      <c r="D21" s="2">
        <v>0.17399999999999999</v>
      </c>
      <c r="E21" s="38">
        <v>104400</v>
      </c>
      <c r="G21" s="2">
        <v>4.58E-2</v>
      </c>
      <c r="H21" s="38">
        <v>329800</v>
      </c>
      <c r="J21" s="2">
        <v>0</v>
      </c>
      <c r="K21" s="38">
        <v>2</v>
      </c>
      <c r="M21" s="2" t="s">
        <v>696</v>
      </c>
      <c r="N21" s="38">
        <v>46900000</v>
      </c>
      <c r="P21" s="2" t="s">
        <v>695</v>
      </c>
      <c r="Q21" s="38">
        <v>46900000</v>
      </c>
      <c r="S21" s="2">
        <v>0</v>
      </c>
      <c r="T21" s="38">
        <v>344277491</v>
      </c>
      <c r="V21" s="2">
        <v>1.9400000000000001E-2</v>
      </c>
      <c r="W21" s="38">
        <v>0</v>
      </c>
      <c r="AC21" s="2" t="s">
        <v>1860</v>
      </c>
      <c r="AD21" s="38">
        <v>241</v>
      </c>
    </row>
    <row r="22" spans="1:30">
      <c r="A22" s="2" t="s">
        <v>16</v>
      </c>
      <c r="B22" s="38">
        <v>221</v>
      </c>
      <c r="D22" s="2">
        <v>0.247</v>
      </c>
      <c r="E22" s="38">
        <v>105800</v>
      </c>
      <c r="G22" s="2">
        <v>0.127</v>
      </c>
      <c r="H22" s="38">
        <v>8452</v>
      </c>
      <c r="J22" s="2">
        <v>1</v>
      </c>
      <c r="K22" s="38">
        <v>335</v>
      </c>
      <c r="M22" s="2" t="s">
        <v>666</v>
      </c>
      <c r="N22" s="38">
        <v>36700000</v>
      </c>
      <c r="P22" s="2" t="s">
        <v>175</v>
      </c>
      <c r="Q22" s="38">
        <v>38033561</v>
      </c>
      <c r="S22" s="2">
        <v>1</v>
      </c>
      <c r="T22" s="38">
        <v>474540465</v>
      </c>
      <c r="V22" s="2">
        <v>2.1899999999999999E-2</v>
      </c>
      <c r="W22" s="38">
        <v>12400</v>
      </c>
      <c r="AC22" s="2" t="s">
        <v>1861</v>
      </c>
      <c r="AD22" s="38">
        <v>241</v>
      </c>
    </row>
    <row r="23" spans="1:30">
      <c r="A23" s="2" t="s">
        <v>19</v>
      </c>
      <c r="B23" s="38">
        <v>964</v>
      </c>
      <c r="D23" s="2">
        <v>0.252</v>
      </c>
      <c r="E23" s="38">
        <v>112</v>
      </c>
      <c r="G23" s="2">
        <v>0.13200000000000001</v>
      </c>
      <c r="H23" s="38">
        <v>49</v>
      </c>
      <c r="J23" s="2">
        <v>3</v>
      </c>
      <c r="K23" s="38">
        <v>163800</v>
      </c>
      <c r="M23" s="2" t="s">
        <v>1144</v>
      </c>
      <c r="N23" s="38">
        <v>28200000</v>
      </c>
      <c r="P23" s="2" t="s">
        <v>665</v>
      </c>
      <c r="Q23" s="38">
        <v>37306600</v>
      </c>
      <c r="S23" s="2" t="s">
        <v>19</v>
      </c>
      <c r="T23" s="38">
        <v>818817956</v>
      </c>
      <c r="V23" s="2">
        <v>2.6499999999999999E-2</v>
      </c>
      <c r="W23" s="38">
        <v>62200</v>
      </c>
      <c r="AC23" s="2" t="s">
        <v>1862</v>
      </c>
      <c r="AD23" s="38">
        <v>241</v>
      </c>
    </row>
    <row r="24" spans="1:30">
      <c r="D24" s="2">
        <v>0.308</v>
      </c>
      <c r="E24" s="38">
        <v>148200</v>
      </c>
      <c r="G24" s="2">
        <v>0.151</v>
      </c>
      <c r="H24" s="38">
        <v>916900</v>
      </c>
      <c r="J24" s="2">
        <v>4</v>
      </c>
      <c r="K24" s="38">
        <v>195600</v>
      </c>
      <c r="M24" s="2" t="s">
        <v>176</v>
      </c>
      <c r="N24" s="38">
        <v>19600000</v>
      </c>
      <c r="P24" s="2" t="s">
        <v>421</v>
      </c>
      <c r="Q24" s="38">
        <v>29354103</v>
      </c>
      <c r="V24" s="2">
        <v>0.03</v>
      </c>
      <c r="W24" s="38">
        <v>83200</v>
      </c>
      <c r="AC24" s="2" t="s">
        <v>1863</v>
      </c>
      <c r="AD24" s="38">
        <v>241</v>
      </c>
    </row>
    <row r="25" spans="1:30">
      <c r="D25" s="2">
        <v>0.316</v>
      </c>
      <c r="E25" s="38">
        <v>1500000</v>
      </c>
      <c r="G25" s="2">
        <v>0.16800000000000001</v>
      </c>
      <c r="H25" s="38">
        <v>26000</v>
      </c>
      <c r="J25" s="2">
        <v>11</v>
      </c>
      <c r="K25" s="38">
        <v>7199</v>
      </c>
      <c r="M25" s="2" t="s">
        <v>1103</v>
      </c>
      <c r="N25" s="38">
        <v>16940600</v>
      </c>
      <c r="P25" s="2" t="s">
        <v>1487</v>
      </c>
      <c r="Q25" s="38">
        <v>16800000</v>
      </c>
      <c r="V25" s="2">
        <v>3.1099999999999999E-2</v>
      </c>
      <c r="W25" s="38">
        <v>1400000</v>
      </c>
      <c r="AC25" s="2" t="s">
        <v>19</v>
      </c>
      <c r="AD25" s="38">
        <v>964</v>
      </c>
    </row>
    <row r="26" spans="1:30">
      <c r="D26" s="2">
        <v>0.33600000000000002</v>
      </c>
      <c r="E26" s="38">
        <v>13300000</v>
      </c>
      <c r="G26" s="2">
        <v>0.184</v>
      </c>
      <c r="H26" s="38">
        <v>1200000</v>
      </c>
      <c r="J26" s="2">
        <v>12</v>
      </c>
      <c r="K26" s="38">
        <v>1</v>
      </c>
      <c r="M26" s="2" t="s">
        <v>956</v>
      </c>
      <c r="N26" s="38">
        <v>16600000</v>
      </c>
      <c r="P26" s="2" t="s">
        <v>955</v>
      </c>
      <c r="Q26" s="38">
        <v>16600000</v>
      </c>
      <c r="V26" s="2">
        <v>3.1899999999999998E-2</v>
      </c>
      <c r="W26" s="38">
        <v>0</v>
      </c>
    </row>
    <row r="27" spans="1:30">
      <c r="D27" s="2">
        <v>0.34499999999999997</v>
      </c>
      <c r="E27" s="38">
        <v>202500</v>
      </c>
      <c r="G27" s="2">
        <v>0.21099999999999999</v>
      </c>
      <c r="H27" s="38">
        <v>57200</v>
      </c>
      <c r="J27" s="2">
        <v>16</v>
      </c>
      <c r="K27" s="38">
        <v>64</v>
      </c>
      <c r="M27" s="2" t="s">
        <v>284</v>
      </c>
      <c r="N27" s="38">
        <v>16400554</v>
      </c>
      <c r="P27" s="2" t="s">
        <v>283</v>
      </c>
      <c r="Q27" s="38">
        <v>16400554</v>
      </c>
      <c r="V27" s="2">
        <v>3.3000000000000002E-2</v>
      </c>
      <c r="W27" s="38">
        <v>16300</v>
      </c>
    </row>
    <row r="28" spans="1:30">
      <c r="D28" s="2">
        <v>0.35699999999999998</v>
      </c>
      <c r="E28" s="38">
        <v>303400</v>
      </c>
      <c r="G28" s="2">
        <v>0.214</v>
      </c>
      <c r="H28" s="38">
        <v>403900</v>
      </c>
      <c r="J28" s="2">
        <v>18</v>
      </c>
      <c r="K28" s="38">
        <v>1</v>
      </c>
      <c r="M28" s="2" t="s">
        <v>1079</v>
      </c>
      <c r="N28" s="38">
        <v>13400000</v>
      </c>
      <c r="P28" s="2" t="s">
        <v>1080</v>
      </c>
      <c r="Q28" s="38">
        <v>13400000</v>
      </c>
      <c r="V28" s="2">
        <v>3.3799999999999997E-2</v>
      </c>
      <c r="W28" s="38">
        <v>5600000</v>
      </c>
    </row>
    <row r="29" spans="1:30">
      <c r="D29" s="2">
        <v>0.36699999999999999</v>
      </c>
      <c r="E29" s="38">
        <v>97300</v>
      </c>
      <c r="G29" s="2">
        <v>0.22500000000000001</v>
      </c>
      <c r="H29" s="38">
        <v>4284</v>
      </c>
      <c r="J29" s="2">
        <v>20</v>
      </c>
      <c r="K29" s="38">
        <v>9924</v>
      </c>
      <c r="M29" s="2" t="s">
        <v>186</v>
      </c>
      <c r="N29" s="38">
        <v>13300000</v>
      </c>
      <c r="P29" s="2" t="s">
        <v>85</v>
      </c>
      <c r="Q29" s="38">
        <v>13300000</v>
      </c>
      <c r="V29" s="2">
        <v>3.8899999999999997E-2</v>
      </c>
      <c r="W29" s="38">
        <v>1257</v>
      </c>
    </row>
    <row r="30" spans="1:30">
      <c r="D30" s="2">
        <v>0.375</v>
      </c>
      <c r="E30" s="38">
        <v>65900</v>
      </c>
      <c r="G30" s="2">
        <v>0.23400000000000001</v>
      </c>
      <c r="H30" s="38">
        <v>6802</v>
      </c>
      <c r="J30" s="2">
        <v>21</v>
      </c>
      <c r="K30" s="38">
        <v>1900007</v>
      </c>
      <c r="M30" s="2" t="s">
        <v>1451</v>
      </c>
      <c r="N30" s="38">
        <v>12400000</v>
      </c>
      <c r="P30" s="2" t="s">
        <v>1365</v>
      </c>
      <c r="Q30" s="38">
        <v>12407202</v>
      </c>
      <c r="V30" s="2">
        <v>4.0500000000000001E-2</v>
      </c>
      <c r="W30" s="38">
        <v>1400000</v>
      </c>
    </row>
    <row r="31" spans="1:30">
      <c r="D31" s="2">
        <v>0.376</v>
      </c>
      <c r="E31" s="38">
        <v>456700</v>
      </c>
      <c r="G31" s="2">
        <v>0.26</v>
      </c>
      <c r="H31" s="38">
        <v>50</v>
      </c>
      <c r="J31" s="2">
        <v>24</v>
      </c>
      <c r="K31" s="38">
        <v>280600</v>
      </c>
      <c r="M31" s="2" t="s">
        <v>1366</v>
      </c>
      <c r="N31" s="38">
        <v>12200000</v>
      </c>
      <c r="P31" s="2" t="s">
        <v>1452</v>
      </c>
      <c r="Q31" s="38">
        <v>12400000</v>
      </c>
      <c r="V31" s="2">
        <v>4.2500000000000003E-2</v>
      </c>
      <c r="W31" s="38">
        <v>252000</v>
      </c>
    </row>
    <row r="32" spans="1:30">
      <c r="D32" s="2">
        <v>0.377</v>
      </c>
      <c r="E32" s="38">
        <v>6068</v>
      </c>
      <c r="G32" s="2">
        <v>0.26900000000000002</v>
      </c>
      <c r="H32" s="38">
        <v>488000</v>
      </c>
      <c r="J32" s="2">
        <v>25</v>
      </c>
      <c r="K32" s="38">
        <v>1298330</v>
      </c>
      <c r="M32" s="2" t="s">
        <v>930</v>
      </c>
      <c r="N32" s="38">
        <v>12200000</v>
      </c>
      <c r="P32" s="2" t="s">
        <v>931</v>
      </c>
      <c r="Q32" s="38">
        <v>12200000</v>
      </c>
      <c r="V32" s="2">
        <v>4.2900000000000001E-2</v>
      </c>
      <c r="W32" s="38">
        <v>1435</v>
      </c>
    </row>
    <row r="33" spans="4:23">
      <c r="D33" s="2">
        <v>0.38600000000000001</v>
      </c>
      <c r="E33" s="38">
        <v>45100</v>
      </c>
      <c r="G33" s="2">
        <v>0.27300000000000002</v>
      </c>
      <c r="H33" s="38">
        <v>331</v>
      </c>
      <c r="J33" s="2">
        <v>26</v>
      </c>
      <c r="K33" s="38">
        <v>1913601</v>
      </c>
      <c r="M33" s="2" t="s">
        <v>1217</v>
      </c>
      <c r="N33" s="38">
        <v>11800000</v>
      </c>
      <c r="P33" s="2" t="s">
        <v>246</v>
      </c>
      <c r="Q33" s="38">
        <v>11830200</v>
      </c>
      <c r="V33" s="2">
        <v>4.5199999999999997E-2</v>
      </c>
      <c r="W33" s="38">
        <v>10600000</v>
      </c>
    </row>
    <row r="34" spans="4:23">
      <c r="D34" s="2">
        <v>0.38700000000000001</v>
      </c>
      <c r="E34" s="38">
        <v>49</v>
      </c>
      <c r="G34" s="2">
        <v>0.27600000000000002</v>
      </c>
      <c r="H34" s="38">
        <v>4653</v>
      </c>
      <c r="J34" s="2">
        <v>27</v>
      </c>
      <c r="K34" s="38">
        <v>521264</v>
      </c>
      <c r="M34" s="2" t="s">
        <v>245</v>
      </c>
      <c r="N34" s="38">
        <v>11400000</v>
      </c>
      <c r="P34" s="2" t="s">
        <v>1218</v>
      </c>
      <c r="Q34" s="38">
        <v>11800000</v>
      </c>
      <c r="V34" s="2">
        <v>4.6100000000000002E-2</v>
      </c>
      <c r="W34" s="38">
        <v>1300000</v>
      </c>
    </row>
    <row r="35" spans="4:23">
      <c r="D35" s="2">
        <v>0.38800000000000001</v>
      </c>
      <c r="E35" s="38">
        <v>531900</v>
      </c>
      <c r="G35" s="2">
        <v>0.27900000000000003</v>
      </c>
      <c r="H35" s="38">
        <v>35</v>
      </c>
      <c r="J35" s="2">
        <v>28</v>
      </c>
      <c r="K35" s="38">
        <v>1500000</v>
      </c>
      <c r="M35" s="2" t="s">
        <v>1152</v>
      </c>
      <c r="N35" s="38">
        <v>11300000</v>
      </c>
      <c r="P35" s="2" t="s">
        <v>1153</v>
      </c>
      <c r="Q35" s="38">
        <v>11300000</v>
      </c>
      <c r="V35" s="2">
        <v>4.6699999999999998E-2</v>
      </c>
      <c r="W35" s="38">
        <v>18100</v>
      </c>
    </row>
    <row r="36" spans="4:23">
      <c r="D36" s="2">
        <v>0.39500000000000002</v>
      </c>
      <c r="E36" s="38">
        <v>742300</v>
      </c>
      <c r="G36" s="2">
        <v>0.28299999999999997</v>
      </c>
      <c r="H36" s="38">
        <v>0</v>
      </c>
      <c r="J36" s="2">
        <v>29</v>
      </c>
      <c r="K36" s="38">
        <v>748409</v>
      </c>
      <c r="M36" s="2" t="s">
        <v>1194</v>
      </c>
      <c r="N36" s="38">
        <v>11000000</v>
      </c>
      <c r="P36" s="2" t="s">
        <v>1193</v>
      </c>
      <c r="Q36" s="38">
        <v>11000000</v>
      </c>
      <c r="V36" s="2">
        <v>4.6800000000000001E-2</v>
      </c>
      <c r="W36" s="38">
        <v>11100</v>
      </c>
    </row>
    <row r="37" spans="4:23">
      <c r="D37" s="2">
        <v>0.39900000000000002</v>
      </c>
      <c r="E37" s="38">
        <v>2800000</v>
      </c>
      <c r="G37" s="2">
        <v>0.29099999999999998</v>
      </c>
      <c r="H37" s="38">
        <v>17400</v>
      </c>
      <c r="J37" s="2">
        <v>30</v>
      </c>
      <c r="K37" s="38">
        <v>106</v>
      </c>
      <c r="M37" s="2" t="s">
        <v>550</v>
      </c>
      <c r="N37" s="38">
        <v>10600000</v>
      </c>
      <c r="P37" s="2" t="s">
        <v>1131</v>
      </c>
      <c r="Q37" s="38">
        <v>10629100</v>
      </c>
      <c r="V37" s="2">
        <v>4.8599999999999997E-2</v>
      </c>
      <c r="W37" s="38">
        <v>1539100</v>
      </c>
    </row>
    <row r="38" spans="4:23">
      <c r="D38" s="2">
        <v>0.40699999999999997</v>
      </c>
      <c r="E38" s="38">
        <v>12100</v>
      </c>
      <c r="G38" s="2">
        <v>0.29599999999999999</v>
      </c>
      <c r="H38" s="38">
        <v>83400</v>
      </c>
      <c r="J38" s="2">
        <v>31</v>
      </c>
      <c r="K38" s="38">
        <v>390531</v>
      </c>
      <c r="M38" s="2" t="s">
        <v>1353</v>
      </c>
      <c r="N38" s="38">
        <v>10600000</v>
      </c>
      <c r="P38" s="2" t="s">
        <v>1352</v>
      </c>
      <c r="Q38" s="38">
        <v>10600000</v>
      </c>
      <c r="V38" s="2">
        <v>4.9299999999999997E-2</v>
      </c>
      <c r="W38" s="38">
        <v>3618600</v>
      </c>
    </row>
    <row r="39" spans="4:23">
      <c r="D39" s="2">
        <v>0.41</v>
      </c>
      <c r="E39" s="38">
        <v>722400</v>
      </c>
      <c r="G39" s="2">
        <v>0.29799999999999999</v>
      </c>
      <c r="H39" s="38">
        <v>661400</v>
      </c>
      <c r="J39" s="2">
        <v>32</v>
      </c>
      <c r="K39" s="38">
        <v>23521</v>
      </c>
      <c r="M39" s="2" t="s">
        <v>1838</v>
      </c>
      <c r="N39" s="38">
        <v>9500000</v>
      </c>
      <c r="P39" s="2" t="s">
        <v>551</v>
      </c>
      <c r="Q39" s="38">
        <v>10600000</v>
      </c>
      <c r="V39" s="2">
        <v>4.9799999999999997E-2</v>
      </c>
      <c r="W39" s="38">
        <v>75500</v>
      </c>
    </row>
    <row r="40" spans="4:23">
      <c r="D40" s="2">
        <v>0.41299999999999998</v>
      </c>
      <c r="E40" s="38">
        <v>411300</v>
      </c>
      <c r="G40" s="2">
        <v>0.30099999999999999</v>
      </c>
      <c r="H40" s="38">
        <v>234200</v>
      </c>
      <c r="J40" s="2">
        <v>33</v>
      </c>
      <c r="K40" s="38">
        <v>42100</v>
      </c>
      <c r="M40" s="2" t="s">
        <v>128</v>
      </c>
      <c r="N40" s="38">
        <v>8800000</v>
      </c>
      <c r="P40" s="2" t="s">
        <v>1839</v>
      </c>
      <c r="Q40" s="38">
        <v>9500000</v>
      </c>
      <c r="V40" s="2">
        <v>0.05</v>
      </c>
      <c r="W40" s="38">
        <v>1</v>
      </c>
    </row>
    <row r="41" spans="4:23">
      <c r="D41" s="2">
        <v>0.41799999999999998</v>
      </c>
      <c r="E41" s="38">
        <v>177900</v>
      </c>
      <c r="G41" s="2">
        <v>0.30499999999999999</v>
      </c>
      <c r="H41" s="38">
        <v>5281</v>
      </c>
      <c r="J41" s="2">
        <v>34</v>
      </c>
      <c r="K41" s="38">
        <v>1723612</v>
      </c>
      <c r="M41" s="2" t="s">
        <v>1098</v>
      </c>
      <c r="N41" s="38">
        <v>8400000</v>
      </c>
      <c r="P41" s="2" t="s">
        <v>1097</v>
      </c>
      <c r="Q41" s="38">
        <v>9372200</v>
      </c>
      <c r="V41" s="2">
        <v>5.0099999999999999E-2</v>
      </c>
      <c r="W41" s="38">
        <v>8400007</v>
      </c>
    </row>
    <row r="42" spans="4:23">
      <c r="D42" s="2">
        <v>0.42</v>
      </c>
      <c r="E42" s="38">
        <v>1500000</v>
      </c>
      <c r="G42" s="2">
        <v>0.312</v>
      </c>
      <c r="H42" s="38">
        <v>587000</v>
      </c>
      <c r="J42" s="2">
        <v>35</v>
      </c>
      <c r="K42" s="38">
        <v>16800</v>
      </c>
      <c r="M42" s="2" t="s">
        <v>1371</v>
      </c>
      <c r="N42" s="38">
        <v>8400000</v>
      </c>
      <c r="P42" s="2" t="s">
        <v>1370</v>
      </c>
      <c r="Q42" s="38">
        <v>9309700</v>
      </c>
      <c r="V42" s="2">
        <v>5.0900000000000001E-2</v>
      </c>
      <c r="W42" s="38">
        <v>403800</v>
      </c>
    </row>
    <row r="43" spans="4:23">
      <c r="D43" s="2">
        <v>0.42099999999999999</v>
      </c>
      <c r="E43" s="38">
        <v>1302194</v>
      </c>
      <c r="G43" s="2">
        <v>0.316</v>
      </c>
      <c r="H43" s="38">
        <v>1042</v>
      </c>
      <c r="J43" s="2">
        <v>36</v>
      </c>
      <c r="K43" s="38">
        <v>2000011</v>
      </c>
      <c r="M43" s="2" t="s">
        <v>1312</v>
      </c>
      <c r="N43" s="38">
        <v>8200000</v>
      </c>
      <c r="P43" s="2" t="s">
        <v>127</v>
      </c>
      <c r="Q43" s="38">
        <v>8800000</v>
      </c>
      <c r="V43" s="2">
        <v>5.11E-2</v>
      </c>
      <c r="W43" s="38">
        <v>202500</v>
      </c>
    </row>
    <row r="44" spans="4:23">
      <c r="D44" s="2">
        <v>0.42899999999999999</v>
      </c>
      <c r="E44" s="38">
        <v>302</v>
      </c>
      <c r="G44" s="2">
        <v>0.317</v>
      </c>
      <c r="H44" s="38">
        <v>1000000</v>
      </c>
      <c r="J44" s="2">
        <v>37</v>
      </c>
      <c r="K44" s="38">
        <v>1414370</v>
      </c>
      <c r="M44" s="2" t="s">
        <v>1087</v>
      </c>
      <c r="N44" s="38">
        <v>8200000</v>
      </c>
      <c r="P44" s="2" t="s">
        <v>293</v>
      </c>
      <c r="Q44" s="38">
        <v>8527200</v>
      </c>
      <c r="V44" s="2">
        <v>5.16E-2</v>
      </c>
      <c r="W44" s="38">
        <v>23900</v>
      </c>
    </row>
    <row r="45" spans="4:23">
      <c r="D45" s="2">
        <v>0.432</v>
      </c>
      <c r="E45" s="38">
        <v>766300</v>
      </c>
      <c r="G45" s="2">
        <v>0.32</v>
      </c>
      <c r="H45" s="38">
        <v>2343</v>
      </c>
      <c r="J45" s="2">
        <v>38</v>
      </c>
      <c r="K45" s="38">
        <v>1282603</v>
      </c>
      <c r="M45" s="2" t="s">
        <v>1055</v>
      </c>
      <c r="N45" s="38">
        <v>7800000</v>
      </c>
      <c r="P45" s="2" t="s">
        <v>391</v>
      </c>
      <c r="Q45" s="38">
        <v>8500000</v>
      </c>
      <c r="V45" s="2">
        <v>5.1700000000000003E-2</v>
      </c>
      <c r="W45" s="38">
        <v>7012</v>
      </c>
    </row>
    <row r="46" spans="4:23">
      <c r="D46" s="2">
        <v>0.435</v>
      </c>
      <c r="E46" s="38">
        <v>16300</v>
      </c>
      <c r="G46" s="2">
        <v>0.32100000000000001</v>
      </c>
      <c r="H46" s="38">
        <v>286400</v>
      </c>
      <c r="J46" s="2">
        <v>39</v>
      </c>
      <c r="K46" s="38">
        <v>11255031</v>
      </c>
      <c r="M46" s="2" t="s">
        <v>1359</v>
      </c>
      <c r="N46" s="38">
        <v>6800000</v>
      </c>
      <c r="P46" s="2" t="s">
        <v>1088</v>
      </c>
      <c r="Q46" s="38">
        <v>8200000</v>
      </c>
      <c r="V46" s="2">
        <v>5.21E-2</v>
      </c>
      <c r="W46" s="38">
        <v>598400</v>
      </c>
    </row>
    <row r="47" spans="4:23">
      <c r="D47" s="2">
        <v>0.436</v>
      </c>
      <c r="E47" s="38">
        <v>198900</v>
      </c>
      <c r="G47" s="2">
        <v>0.32500000000000001</v>
      </c>
      <c r="H47" s="38">
        <v>1</v>
      </c>
      <c r="J47" s="2">
        <v>40</v>
      </c>
      <c r="K47" s="38">
        <v>4608515</v>
      </c>
      <c r="M47" s="2" t="s">
        <v>1767</v>
      </c>
      <c r="N47" s="38">
        <v>6700000</v>
      </c>
      <c r="P47" s="2" t="s">
        <v>1311</v>
      </c>
      <c r="Q47" s="38">
        <v>8200000</v>
      </c>
      <c r="V47" s="2">
        <v>5.2299999999999999E-2</v>
      </c>
      <c r="W47" s="38">
        <v>70300</v>
      </c>
    </row>
    <row r="48" spans="4:23">
      <c r="D48" s="2">
        <v>0.437</v>
      </c>
      <c r="E48" s="38">
        <v>1200000</v>
      </c>
      <c r="G48" s="2">
        <v>0.33200000000000002</v>
      </c>
      <c r="H48" s="38">
        <v>1600000</v>
      </c>
      <c r="J48" s="2">
        <v>41</v>
      </c>
      <c r="K48" s="38">
        <v>1168267</v>
      </c>
      <c r="M48" s="2" t="s">
        <v>334</v>
      </c>
      <c r="N48" s="38">
        <v>6400000</v>
      </c>
      <c r="P48" s="2" t="s">
        <v>88</v>
      </c>
      <c r="Q48" s="38">
        <v>7278604</v>
      </c>
      <c r="V48" s="2">
        <v>5.2699999999999997E-2</v>
      </c>
      <c r="W48" s="38">
        <v>825200</v>
      </c>
    </row>
    <row r="49" spans="4:23">
      <c r="D49" s="2">
        <v>0.438</v>
      </c>
      <c r="E49" s="38">
        <v>231200</v>
      </c>
      <c r="G49" s="2">
        <v>0.33500000000000002</v>
      </c>
      <c r="H49" s="38">
        <v>13800</v>
      </c>
      <c r="J49" s="2">
        <v>42</v>
      </c>
      <c r="K49" s="38">
        <v>2256479</v>
      </c>
      <c r="M49" s="2" t="s">
        <v>1739</v>
      </c>
      <c r="N49" s="38">
        <v>6100000</v>
      </c>
      <c r="P49" s="2" t="s">
        <v>1360</v>
      </c>
      <c r="Q49" s="38">
        <v>6800151</v>
      </c>
      <c r="V49" s="2">
        <v>5.3400000000000003E-2</v>
      </c>
      <c r="W49" s="38">
        <v>7942</v>
      </c>
    </row>
    <row r="50" spans="4:23">
      <c r="D50" s="2">
        <v>0.44</v>
      </c>
      <c r="E50" s="38">
        <v>1000000</v>
      </c>
      <c r="G50" s="2">
        <v>0.33700000000000002</v>
      </c>
      <c r="H50" s="38">
        <v>382100</v>
      </c>
      <c r="J50" s="2">
        <v>43</v>
      </c>
      <c r="K50" s="38">
        <v>3052498</v>
      </c>
      <c r="M50" s="2" t="s">
        <v>871</v>
      </c>
      <c r="N50" s="38">
        <v>5800000</v>
      </c>
      <c r="P50" s="2" t="s">
        <v>1768</v>
      </c>
      <c r="Q50" s="38">
        <v>6700000</v>
      </c>
      <c r="V50" s="2">
        <v>5.3999999999999999E-2</v>
      </c>
      <c r="W50" s="38">
        <v>0</v>
      </c>
    </row>
    <row r="51" spans="4:23">
      <c r="D51" s="2">
        <v>0.442</v>
      </c>
      <c r="E51" s="38">
        <v>300</v>
      </c>
      <c r="G51" s="2">
        <v>0.33800000000000002</v>
      </c>
      <c r="H51" s="38">
        <v>531900</v>
      </c>
      <c r="J51" s="2">
        <v>44</v>
      </c>
      <c r="K51" s="38">
        <v>4336932</v>
      </c>
      <c r="M51" s="2" t="s">
        <v>1324</v>
      </c>
      <c r="N51" s="38">
        <v>5800000</v>
      </c>
      <c r="P51" s="2" t="s">
        <v>166</v>
      </c>
      <c r="Q51" s="38">
        <v>6462000</v>
      </c>
      <c r="V51" s="2">
        <v>5.4100000000000002E-2</v>
      </c>
      <c r="W51" s="38">
        <v>312400</v>
      </c>
    </row>
    <row r="52" spans="4:23">
      <c r="D52" s="2">
        <v>0.44500000000000001</v>
      </c>
      <c r="E52" s="38">
        <v>638000</v>
      </c>
      <c r="G52" s="2">
        <v>0.34</v>
      </c>
      <c r="H52" s="38">
        <v>1900000</v>
      </c>
      <c r="J52" s="2">
        <v>45</v>
      </c>
      <c r="K52" s="38">
        <v>477159</v>
      </c>
      <c r="M52" s="2" t="s">
        <v>763</v>
      </c>
      <c r="N52" s="38">
        <v>5600000</v>
      </c>
      <c r="P52" s="2" t="s">
        <v>1740</v>
      </c>
      <c r="Q52" s="38">
        <v>6100000</v>
      </c>
      <c r="V52" s="2">
        <v>5.4300000000000001E-2</v>
      </c>
      <c r="W52" s="38">
        <v>154700</v>
      </c>
    </row>
    <row r="53" spans="4:23">
      <c r="D53" s="2">
        <v>0.44700000000000001</v>
      </c>
      <c r="E53" s="38">
        <v>240900</v>
      </c>
      <c r="G53" s="2">
        <v>0.34899999999999998</v>
      </c>
      <c r="H53" s="38">
        <v>143200</v>
      </c>
      <c r="J53" s="2">
        <v>46</v>
      </c>
      <c r="K53" s="38">
        <v>4682585</v>
      </c>
      <c r="M53" s="2" t="s">
        <v>89</v>
      </c>
      <c r="N53" s="38">
        <v>5600000</v>
      </c>
      <c r="P53" s="2" t="s">
        <v>815</v>
      </c>
      <c r="Q53" s="38">
        <v>6072700</v>
      </c>
      <c r="V53" s="2">
        <v>5.4899999999999997E-2</v>
      </c>
      <c r="W53" s="38">
        <v>11500</v>
      </c>
    </row>
    <row r="54" spans="4:23">
      <c r="D54" s="2">
        <v>0.44800000000000001</v>
      </c>
      <c r="E54" s="38">
        <v>2600000</v>
      </c>
      <c r="G54" s="2">
        <v>0.35299999999999998</v>
      </c>
      <c r="H54" s="38">
        <v>1800000</v>
      </c>
      <c r="J54" s="2">
        <v>47</v>
      </c>
      <c r="K54" s="38">
        <v>9536347</v>
      </c>
      <c r="M54" s="2" t="s">
        <v>932</v>
      </c>
      <c r="N54" s="38">
        <v>5500000</v>
      </c>
      <c r="P54" s="2" t="s">
        <v>597</v>
      </c>
      <c r="Q54" s="38">
        <v>5965400</v>
      </c>
      <c r="V54" s="2">
        <v>5.5E-2</v>
      </c>
      <c r="W54" s="38">
        <v>1900000</v>
      </c>
    </row>
    <row r="55" spans="4:23">
      <c r="D55" s="2">
        <v>0.44900000000000001</v>
      </c>
      <c r="E55" s="38">
        <v>702700</v>
      </c>
      <c r="G55" s="2">
        <v>0.35399999999999998</v>
      </c>
      <c r="H55" s="38">
        <v>219100</v>
      </c>
      <c r="J55" s="2">
        <v>48</v>
      </c>
      <c r="K55" s="38">
        <v>3668649</v>
      </c>
      <c r="M55" s="2" t="s">
        <v>167</v>
      </c>
      <c r="N55" s="38">
        <v>5400000</v>
      </c>
      <c r="P55" s="2" t="s">
        <v>662</v>
      </c>
      <c r="Q55" s="38">
        <v>5856888</v>
      </c>
      <c r="V55" s="2">
        <v>5.5199999999999999E-2</v>
      </c>
      <c r="W55" s="38">
        <v>2400000</v>
      </c>
    </row>
    <row r="56" spans="4:23">
      <c r="D56" s="2">
        <v>0.45300000000000001</v>
      </c>
      <c r="E56" s="38">
        <v>1100000</v>
      </c>
      <c r="G56" s="2">
        <v>0.35499999999999998</v>
      </c>
      <c r="H56" s="38">
        <v>3500000</v>
      </c>
      <c r="J56" s="2">
        <v>49</v>
      </c>
      <c r="K56" s="38">
        <v>5980700</v>
      </c>
      <c r="M56" s="2" t="s">
        <v>1562</v>
      </c>
      <c r="N56" s="38">
        <v>5200000</v>
      </c>
      <c r="P56" s="2" t="s">
        <v>933</v>
      </c>
      <c r="Q56" s="38">
        <v>5500000</v>
      </c>
      <c r="V56" s="2">
        <v>5.6099999999999997E-2</v>
      </c>
      <c r="W56" s="38">
        <v>172996</v>
      </c>
    </row>
    <row r="57" spans="4:23">
      <c r="D57" s="2">
        <v>0.45700000000000002</v>
      </c>
      <c r="E57" s="38">
        <v>17800</v>
      </c>
      <c r="G57" s="2">
        <v>0.35799999999999998</v>
      </c>
      <c r="H57" s="38">
        <v>3516</v>
      </c>
      <c r="J57" s="2">
        <v>50</v>
      </c>
      <c r="K57" s="38">
        <v>3478255</v>
      </c>
      <c r="M57" s="2" t="s">
        <v>1146</v>
      </c>
      <c r="N57" s="38">
        <v>5200000</v>
      </c>
      <c r="P57" s="2" t="s">
        <v>1013</v>
      </c>
      <c r="Q57" s="38">
        <v>5130800</v>
      </c>
      <c r="V57" s="2">
        <v>5.62E-2</v>
      </c>
      <c r="W57" s="38">
        <v>518000</v>
      </c>
    </row>
    <row r="58" spans="4:23">
      <c r="D58" s="2">
        <v>0.46400000000000002</v>
      </c>
      <c r="E58" s="38">
        <v>130200</v>
      </c>
      <c r="G58" s="2">
        <v>0.36299999999999999</v>
      </c>
      <c r="H58" s="38">
        <v>195600</v>
      </c>
      <c r="J58" s="2">
        <v>51</v>
      </c>
      <c r="K58" s="38">
        <v>1180196</v>
      </c>
      <c r="M58" s="2" t="s">
        <v>1446</v>
      </c>
      <c r="N58" s="38">
        <v>5100000</v>
      </c>
      <c r="P58" s="2" t="s">
        <v>1231</v>
      </c>
      <c r="Q58" s="38">
        <v>5126600</v>
      </c>
      <c r="V58" s="2">
        <v>5.6500000000000002E-2</v>
      </c>
      <c r="W58" s="38">
        <v>611500</v>
      </c>
    </row>
    <row r="59" spans="4:23">
      <c r="D59" s="2">
        <v>0.46500000000000002</v>
      </c>
      <c r="E59" s="38">
        <v>0</v>
      </c>
      <c r="G59" s="2">
        <v>0.36499999999999999</v>
      </c>
      <c r="H59" s="38">
        <v>585800</v>
      </c>
      <c r="J59" s="2">
        <v>52</v>
      </c>
      <c r="K59" s="38">
        <v>7716757</v>
      </c>
      <c r="M59" s="2" t="s">
        <v>1147</v>
      </c>
      <c r="N59" s="38">
        <v>5100000</v>
      </c>
      <c r="P59" s="2" t="s">
        <v>1447</v>
      </c>
      <c r="Q59" s="38">
        <v>5100000</v>
      </c>
      <c r="V59" s="2">
        <v>5.8000000000000003E-2</v>
      </c>
      <c r="W59" s="38">
        <v>9924</v>
      </c>
    </row>
    <row r="60" spans="4:23">
      <c r="D60" s="2">
        <v>0.46600000000000003</v>
      </c>
      <c r="E60" s="38">
        <v>153500</v>
      </c>
      <c r="G60" s="2">
        <v>0.36599999999999999</v>
      </c>
      <c r="H60" s="38">
        <v>321800</v>
      </c>
      <c r="J60" s="2">
        <v>53</v>
      </c>
      <c r="K60" s="38">
        <v>48959877</v>
      </c>
      <c r="M60" s="2" t="s">
        <v>570</v>
      </c>
      <c r="N60" s="38">
        <v>4900000</v>
      </c>
      <c r="P60" s="2" t="s">
        <v>569</v>
      </c>
      <c r="Q60" s="38">
        <v>4900000</v>
      </c>
      <c r="V60" s="2">
        <v>5.8999999999999997E-2</v>
      </c>
      <c r="W60" s="38">
        <v>54220</v>
      </c>
    </row>
    <row r="61" spans="4:23">
      <c r="D61" s="2">
        <v>0.47</v>
      </c>
      <c r="E61" s="38">
        <v>52600</v>
      </c>
      <c r="G61" s="2">
        <v>0.371</v>
      </c>
      <c r="H61" s="38">
        <v>231600</v>
      </c>
      <c r="J61" s="2">
        <v>54</v>
      </c>
      <c r="K61" s="38">
        <v>10344106</v>
      </c>
      <c r="M61" s="2" t="s">
        <v>1216</v>
      </c>
      <c r="N61" s="38">
        <v>4700000</v>
      </c>
      <c r="P61" s="2" t="s">
        <v>1618</v>
      </c>
      <c r="Q61" s="38">
        <v>4800000</v>
      </c>
      <c r="V61" s="2">
        <v>5.96E-2</v>
      </c>
      <c r="W61" s="38">
        <v>377</v>
      </c>
    </row>
    <row r="62" spans="4:23">
      <c r="D62" s="2">
        <v>0.47099999999999997</v>
      </c>
      <c r="E62" s="38">
        <v>2933</v>
      </c>
      <c r="G62" s="2">
        <v>0.372</v>
      </c>
      <c r="H62" s="38">
        <v>40100</v>
      </c>
      <c r="J62" s="2">
        <v>55</v>
      </c>
      <c r="K62" s="38">
        <v>3168900</v>
      </c>
      <c r="M62" s="2" t="s">
        <v>1278</v>
      </c>
      <c r="N62" s="38">
        <v>4500000</v>
      </c>
      <c r="P62" s="2" t="s">
        <v>1215</v>
      </c>
      <c r="Q62" s="38">
        <v>4700000</v>
      </c>
      <c r="V62" s="2">
        <v>0.06</v>
      </c>
      <c r="W62" s="38">
        <v>20000</v>
      </c>
    </row>
    <row r="63" spans="4:23">
      <c r="D63" s="2">
        <v>0.47399999999999998</v>
      </c>
      <c r="E63" s="38">
        <v>717600</v>
      </c>
      <c r="G63" s="2">
        <v>0.373</v>
      </c>
      <c r="H63" s="38">
        <v>2979457</v>
      </c>
      <c r="J63" s="2">
        <v>56</v>
      </c>
      <c r="K63" s="38">
        <v>14923188</v>
      </c>
      <c r="M63" s="2" t="s">
        <v>1101</v>
      </c>
      <c r="N63" s="38">
        <v>4400000</v>
      </c>
      <c r="P63" s="2" t="s">
        <v>396</v>
      </c>
      <c r="Q63" s="38">
        <v>4663821</v>
      </c>
      <c r="V63" s="2">
        <v>6.0400000000000002E-2</v>
      </c>
      <c r="W63" s="38">
        <v>2400000</v>
      </c>
    </row>
    <row r="64" spans="4:23">
      <c r="D64" s="2">
        <v>0.48</v>
      </c>
      <c r="E64" s="38">
        <v>2</v>
      </c>
      <c r="G64" s="2">
        <v>0.375</v>
      </c>
      <c r="H64" s="38">
        <v>1</v>
      </c>
      <c r="J64" s="2">
        <v>57</v>
      </c>
      <c r="K64" s="38">
        <v>10217700</v>
      </c>
      <c r="M64" s="2" t="s">
        <v>1154</v>
      </c>
      <c r="N64" s="38">
        <v>4000000</v>
      </c>
      <c r="P64" s="2" t="s">
        <v>1277</v>
      </c>
      <c r="Q64" s="38">
        <v>4500000</v>
      </c>
      <c r="V64" s="2">
        <v>6.2100000000000002E-2</v>
      </c>
      <c r="W64" s="38">
        <v>50</v>
      </c>
    </row>
    <row r="65" spans="4:23">
      <c r="D65" s="2">
        <v>0.48199999999999998</v>
      </c>
      <c r="E65" s="38">
        <v>331</v>
      </c>
      <c r="G65" s="2">
        <v>0.38500000000000001</v>
      </c>
      <c r="H65" s="38">
        <v>5249</v>
      </c>
      <c r="J65" s="2">
        <v>58</v>
      </c>
      <c r="K65" s="38">
        <v>3990779</v>
      </c>
      <c r="M65" s="2" t="s">
        <v>1380</v>
      </c>
      <c r="N65" s="38">
        <v>4000000</v>
      </c>
      <c r="P65" s="2" t="s">
        <v>1100</v>
      </c>
      <c r="Q65" s="38">
        <v>4400000</v>
      </c>
      <c r="V65" s="2">
        <v>6.2600000000000003E-2</v>
      </c>
      <c r="W65" s="38">
        <v>15447</v>
      </c>
    </row>
    <row r="66" spans="4:23">
      <c r="D66" s="2">
        <v>0.48299999999999998</v>
      </c>
      <c r="E66" s="38">
        <v>103000</v>
      </c>
      <c r="G66" s="2">
        <v>0.38600000000000001</v>
      </c>
      <c r="H66" s="38">
        <v>1765400</v>
      </c>
      <c r="J66" s="2">
        <v>59</v>
      </c>
      <c r="K66" s="38">
        <v>15188314</v>
      </c>
      <c r="M66" s="2" t="s">
        <v>581</v>
      </c>
      <c r="N66" s="38">
        <v>3900000</v>
      </c>
      <c r="P66" s="2" t="s">
        <v>1105</v>
      </c>
      <c r="Q66" s="38">
        <v>4178000</v>
      </c>
      <c r="V66" s="2">
        <v>6.3E-2</v>
      </c>
      <c r="W66" s="38">
        <v>1722100</v>
      </c>
    </row>
    <row r="67" spans="4:23">
      <c r="D67" s="2">
        <v>0.48399999999999999</v>
      </c>
      <c r="E67" s="38">
        <v>329100</v>
      </c>
      <c r="G67" s="2">
        <v>0.38800000000000001</v>
      </c>
      <c r="H67" s="38">
        <v>863100</v>
      </c>
      <c r="J67" s="2">
        <v>60</v>
      </c>
      <c r="K67" s="38">
        <v>15134873</v>
      </c>
      <c r="M67" s="2" t="s">
        <v>488</v>
      </c>
      <c r="N67" s="38">
        <v>3800000</v>
      </c>
      <c r="P67" s="2" t="s">
        <v>530</v>
      </c>
      <c r="Q67" s="38">
        <v>4060500</v>
      </c>
      <c r="V67" s="2">
        <v>6.3299999999999995E-2</v>
      </c>
      <c r="W67" s="38">
        <v>256600</v>
      </c>
    </row>
    <row r="68" spans="4:23">
      <c r="D68" s="2">
        <v>0.48699999999999999</v>
      </c>
      <c r="E68" s="38">
        <v>1191</v>
      </c>
      <c r="G68" s="2">
        <v>0.39</v>
      </c>
      <c r="H68" s="38">
        <v>3609924</v>
      </c>
      <c r="J68" s="2">
        <v>61</v>
      </c>
      <c r="K68" s="38">
        <v>18549194</v>
      </c>
      <c r="M68" s="2" t="s">
        <v>1381</v>
      </c>
      <c r="N68" s="38">
        <v>3800000</v>
      </c>
      <c r="P68" s="2" t="s">
        <v>1155</v>
      </c>
      <c r="Q68" s="38">
        <v>4000000</v>
      </c>
      <c r="V68" s="2">
        <v>6.3700000000000007E-2</v>
      </c>
      <c r="W68" s="38">
        <v>78400</v>
      </c>
    </row>
    <row r="69" spans="4:23">
      <c r="D69" s="2">
        <v>0.497</v>
      </c>
      <c r="E69" s="38">
        <v>296700</v>
      </c>
      <c r="G69" s="2">
        <v>0.39100000000000001</v>
      </c>
      <c r="H69" s="38">
        <v>2880</v>
      </c>
      <c r="J69" s="2">
        <v>62</v>
      </c>
      <c r="K69" s="38">
        <v>6964138</v>
      </c>
      <c r="M69" s="2" t="s">
        <v>1230</v>
      </c>
      <c r="N69" s="38">
        <v>3800000</v>
      </c>
      <c r="P69" s="2" t="s">
        <v>487</v>
      </c>
      <c r="Q69" s="38">
        <v>3931000</v>
      </c>
      <c r="V69" s="2">
        <v>6.4799999999999996E-2</v>
      </c>
      <c r="W69" s="38">
        <v>140400</v>
      </c>
    </row>
    <row r="70" spans="4:23">
      <c r="D70" s="2">
        <v>0.498</v>
      </c>
      <c r="E70" s="38">
        <v>471400</v>
      </c>
      <c r="G70" s="2">
        <v>0.39200000000000002</v>
      </c>
      <c r="H70" s="38">
        <v>117300</v>
      </c>
      <c r="J70" s="2">
        <v>63</v>
      </c>
      <c r="K70" s="38">
        <v>68521283</v>
      </c>
      <c r="M70" s="2" t="s">
        <v>709</v>
      </c>
      <c r="N70" s="38">
        <v>3600000</v>
      </c>
      <c r="P70" s="2" t="s">
        <v>582</v>
      </c>
      <c r="Q70" s="38">
        <v>3900000</v>
      </c>
      <c r="V70" s="2">
        <v>6.5000000000000002E-2</v>
      </c>
      <c r="W70" s="38">
        <v>382100</v>
      </c>
    </row>
    <row r="71" spans="4:23">
      <c r="D71" s="2">
        <v>0.501</v>
      </c>
      <c r="E71" s="38">
        <v>29624</v>
      </c>
      <c r="G71" s="2">
        <v>0.39300000000000002</v>
      </c>
      <c r="H71" s="38">
        <v>720800</v>
      </c>
      <c r="J71" s="2">
        <v>64</v>
      </c>
      <c r="K71" s="38">
        <v>18490360</v>
      </c>
      <c r="M71" s="2" t="s">
        <v>986</v>
      </c>
      <c r="N71" s="38">
        <v>3600000</v>
      </c>
      <c r="P71" s="2" t="s">
        <v>158</v>
      </c>
      <c r="Q71" s="38">
        <v>3884991</v>
      </c>
      <c r="V71" s="2">
        <v>6.5199999999999994E-2</v>
      </c>
      <c r="W71" s="38">
        <v>2000000</v>
      </c>
    </row>
    <row r="72" spans="4:23">
      <c r="D72" s="2">
        <v>0.504</v>
      </c>
      <c r="E72" s="38">
        <v>1700181</v>
      </c>
      <c r="G72" s="2">
        <v>0.39400000000000002</v>
      </c>
      <c r="H72" s="38">
        <v>391800</v>
      </c>
      <c r="J72" s="2">
        <v>65</v>
      </c>
      <c r="K72" s="38">
        <v>33722218</v>
      </c>
      <c r="M72" s="2" t="s">
        <v>674</v>
      </c>
      <c r="N72" s="38">
        <v>3600000</v>
      </c>
      <c r="P72" s="2" t="s">
        <v>482</v>
      </c>
      <c r="Q72" s="38">
        <v>3600000</v>
      </c>
      <c r="V72" s="2">
        <v>6.54E-2</v>
      </c>
      <c r="W72" s="38">
        <v>26300</v>
      </c>
    </row>
    <row r="73" spans="4:23">
      <c r="D73" s="2">
        <v>0.50600000000000001</v>
      </c>
      <c r="E73" s="38">
        <v>502900</v>
      </c>
      <c r="G73" s="2">
        <v>0.39700000000000002</v>
      </c>
      <c r="H73" s="38">
        <v>9213</v>
      </c>
      <c r="J73" s="2">
        <v>66</v>
      </c>
      <c r="K73" s="38">
        <v>14275110</v>
      </c>
      <c r="M73" s="2" t="s">
        <v>481</v>
      </c>
      <c r="N73" s="38">
        <v>3600000</v>
      </c>
      <c r="P73" s="2" t="s">
        <v>987</v>
      </c>
      <c r="Q73" s="38">
        <v>3600000</v>
      </c>
      <c r="V73" s="2">
        <v>6.5699999999999995E-2</v>
      </c>
      <c r="W73" s="38">
        <v>93</v>
      </c>
    </row>
    <row r="74" spans="4:23">
      <c r="D74" s="2">
        <v>0.50700000000000001</v>
      </c>
      <c r="E74" s="38">
        <v>0</v>
      </c>
      <c r="G74" s="2">
        <v>0.39900000000000002</v>
      </c>
      <c r="H74" s="38">
        <v>394201</v>
      </c>
      <c r="J74" s="2">
        <v>67</v>
      </c>
      <c r="K74" s="38">
        <v>19757814</v>
      </c>
      <c r="M74" s="2" t="s">
        <v>1093</v>
      </c>
      <c r="N74" s="38">
        <v>3600000</v>
      </c>
      <c r="P74" s="2" t="s">
        <v>710</v>
      </c>
      <c r="Q74" s="38">
        <v>3600000</v>
      </c>
      <c r="V74" s="2">
        <v>6.5799999999999997E-2</v>
      </c>
      <c r="W74" s="38">
        <v>526200</v>
      </c>
    </row>
    <row r="75" spans="4:23">
      <c r="D75" s="2">
        <v>0.51100000000000001</v>
      </c>
      <c r="E75" s="38">
        <v>472400</v>
      </c>
      <c r="G75" s="2">
        <v>0.40100000000000002</v>
      </c>
      <c r="H75" s="38">
        <v>310293</v>
      </c>
      <c r="J75" s="2">
        <v>68</v>
      </c>
      <c r="K75" s="38">
        <v>20695347</v>
      </c>
      <c r="M75" s="2" t="s">
        <v>529</v>
      </c>
      <c r="N75" s="38">
        <v>3500000</v>
      </c>
      <c r="P75" s="2" t="s">
        <v>673</v>
      </c>
      <c r="Q75" s="38">
        <v>3600000</v>
      </c>
      <c r="V75" s="2">
        <v>6.59E-2</v>
      </c>
      <c r="W75" s="38">
        <v>247000</v>
      </c>
    </row>
    <row r="76" spans="4:23">
      <c r="D76" s="2">
        <v>0.51200000000000001</v>
      </c>
      <c r="E76" s="38">
        <v>225900</v>
      </c>
      <c r="G76" s="2">
        <v>0.40200000000000002</v>
      </c>
      <c r="H76" s="38">
        <v>310500</v>
      </c>
      <c r="J76" s="2">
        <v>69</v>
      </c>
      <c r="K76" s="38">
        <v>18394763</v>
      </c>
      <c r="M76" s="2" t="s">
        <v>1617</v>
      </c>
      <c r="N76" s="38">
        <v>3500000</v>
      </c>
      <c r="P76" s="2" t="s">
        <v>1010</v>
      </c>
      <c r="Q76" s="38">
        <v>3500000</v>
      </c>
      <c r="V76" s="2">
        <v>6.6299999999999998E-2</v>
      </c>
      <c r="W76" s="38">
        <v>728100</v>
      </c>
    </row>
    <row r="77" spans="4:23">
      <c r="D77" s="2">
        <v>0.51300000000000001</v>
      </c>
      <c r="E77" s="38">
        <v>1742200</v>
      </c>
      <c r="G77" s="2">
        <v>0.40300000000000002</v>
      </c>
      <c r="H77" s="38">
        <v>4400016</v>
      </c>
      <c r="J77" s="2">
        <v>70</v>
      </c>
      <c r="K77" s="38">
        <v>35663107</v>
      </c>
      <c r="M77" s="2" t="s">
        <v>1444</v>
      </c>
      <c r="N77" s="38">
        <v>3500000</v>
      </c>
      <c r="P77" s="2" t="s">
        <v>1445</v>
      </c>
      <c r="Q77" s="38">
        <v>3500000</v>
      </c>
      <c r="V77" s="2">
        <v>6.6500000000000004E-2</v>
      </c>
      <c r="W77" s="38">
        <v>658300</v>
      </c>
    </row>
    <row r="78" spans="4:23">
      <c r="D78" s="2">
        <v>0.51400000000000001</v>
      </c>
      <c r="E78" s="38">
        <v>3400000</v>
      </c>
      <c r="G78" s="2">
        <v>0.40400000000000003</v>
      </c>
      <c r="H78" s="38">
        <v>525600</v>
      </c>
      <c r="J78" s="2">
        <v>71</v>
      </c>
      <c r="K78" s="38">
        <v>31358390</v>
      </c>
      <c r="M78" s="2" t="s">
        <v>813</v>
      </c>
      <c r="N78" s="38">
        <v>3500000</v>
      </c>
      <c r="P78" s="2" t="s">
        <v>812</v>
      </c>
      <c r="Q78" s="38">
        <v>3500000</v>
      </c>
      <c r="V78" s="2">
        <v>6.6900000000000001E-2</v>
      </c>
      <c r="W78" s="38">
        <v>24400</v>
      </c>
    </row>
    <row r="79" spans="4:23">
      <c r="D79" s="2">
        <v>0.51500000000000001</v>
      </c>
      <c r="E79" s="38">
        <v>747300</v>
      </c>
      <c r="G79" s="2">
        <v>0.40500000000000003</v>
      </c>
      <c r="H79" s="38">
        <v>64</v>
      </c>
      <c r="J79" s="2">
        <v>72</v>
      </c>
      <c r="K79" s="38">
        <v>15741807</v>
      </c>
      <c r="M79" s="2" t="s">
        <v>364</v>
      </c>
      <c r="N79" s="38">
        <v>3400000</v>
      </c>
      <c r="P79" s="2" t="s">
        <v>1460</v>
      </c>
      <c r="Q79" s="38">
        <v>3471400</v>
      </c>
      <c r="V79" s="2">
        <v>6.7199999999999996E-2</v>
      </c>
      <c r="W79" s="38">
        <v>1116800</v>
      </c>
    </row>
    <row r="80" spans="4:23">
      <c r="D80" s="2">
        <v>0.51600000000000001</v>
      </c>
      <c r="E80" s="38">
        <v>3516</v>
      </c>
      <c r="G80" s="2">
        <v>0.40600000000000003</v>
      </c>
      <c r="H80" s="38">
        <v>829900</v>
      </c>
      <c r="J80" s="2">
        <v>73</v>
      </c>
      <c r="K80" s="38">
        <v>26699900</v>
      </c>
      <c r="M80" s="2" t="s">
        <v>1495</v>
      </c>
      <c r="N80" s="38">
        <v>3400000</v>
      </c>
      <c r="P80" s="2" t="s">
        <v>1496</v>
      </c>
      <c r="Q80" s="38">
        <v>3400000</v>
      </c>
      <c r="V80" s="2">
        <v>6.7299999999999999E-2</v>
      </c>
      <c r="W80" s="38">
        <v>3</v>
      </c>
    </row>
    <row r="81" spans="4:23">
      <c r="D81" s="2">
        <v>0.51700000000000002</v>
      </c>
      <c r="E81" s="38">
        <v>153</v>
      </c>
      <c r="G81" s="2">
        <v>0.40699999999999997</v>
      </c>
      <c r="H81" s="38">
        <v>1300000</v>
      </c>
      <c r="J81" s="2">
        <v>74</v>
      </c>
      <c r="K81" s="38">
        <v>18223488</v>
      </c>
      <c r="M81" s="2" t="s">
        <v>937</v>
      </c>
      <c r="N81" s="38">
        <v>3300000</v>
      </c>
      <c r="P81" s="2" t="s">
        <v>365</v>
      </c>
      <c r="Q81" s="38">
        <v>3400000</v>
      </c>
      <c r="V81" s="2">
        <v>6.7400000000000002E-2</v>
      </c>
      <c r="W81" s="38">
        <v>518600</v>
      </c>
    </row>
    <row r="82" spans="4:23">
      <c r="D82" s="2">
        <v>0.52</v>
      </c>
      <c r="E82" s="38">
        <v>577800</v>
      </c>
      <c r="G82" s="2">
        <v>0.40799999999999997</v>
      </c>
      <c r="H82" s="38">
        <v>373500</v>
      </c>
      <c r="J82" s="2">
        <v>75</v>
      </c>
      <c r="K82" s="38">
        <v>5569043</v>
      </c>
      <c r="M82" s="2" t="s">
        <v>1725</v>
      </c>
      <c r="N82" s="38">
        <v>3300000</v>
      </c>
      <c r="P82" s="2" t="s">
        <v>938</v>
      </c>
      <c r="Q82" s="38">
        <v>3300000</v>
      </c>
      <c r="V82" s="2">
        <v>6.7500000000000004E-2</v>
      </c>
      <c r="W82" s="38">
        <v>222300</v>
      </c>
    </row>
    <row r="83" spans="4:23">
      <c r="D83" s="2">
        <v>0.52500000000000002</v>
      </c>
      <c r="E83" s="38">
        <v>1200000</v>
      </c>
      <c r="G83" s="2">
        <v>0.41199999999999998</v>
      </c>
      <c r="H83" s="38">
        <v>9747147</v>
      </c>
      <c r="J83" s="2">
        <v>76</v>
      </c>
      <c r="K83" s="38">
        <v>18191988</v>
      </c>
      <c r="M83" s="2" t="s">
        <v>1705</v>
      </c>
      <c r="N83" s="38">
        <v>3300000</v>
      </c>
      <c r="P83" s="2" t="s">
        <v>1726</v>
      </c>
      <c r="Q83" s="38">
        <v>3300000</v>
      </c>
      <c r="V83" s="2">
        <v>6.7799999999999999E-2</v>
      </c>
      <c r="W83" s="38">
        <v>15800</v>
      </c>
    </row>
    <row r="84" spans="4:23">
      <c r="D84" s="2">
        <v>0.52600000000000002</v>
      </c>
      <c r="E84" s="38">
        <v>201</v>
      </c>
      <c r="G84" s="2">
        <v>0.41299999999999998</v>
      </c>
      <c r="H84" s="38">
        <v>4011500</v>
      </c>
      <c r="J84" s="2">
        <v>77</v>
      </c>
      <c r="K84" s="38">
        <v>9692023</v>
      </c>
      <c r="M84" s="2" t="s">
        <v>451</v>
      </c>
      <c r="N84" s="38">
        <v>3200000</v>
      </c>
      <c r="P84" s="2" t="s">
        <v>1706</v>
      </c>
      <c r="Q84" s="38">
        <v>3300000</v>
      </c>
      <c r="V84" s="2">
        <v>6.8000000000000005E-2</v>
      </c>
      <c r="W84" s="38">
        <v>728100</v>
      </c>
    </row>
    <row r="85" spans="4:23">
      <c r="D85" s="2">
        <v>0.52700000000000002</v>
      </c>
      <c r="E85" s="38">
        <v>23900</v>
      </c>
      <c r="G85" s="2">
        <v>0.41399999999999998</v>
      </c>
      <c r="H85" s="38">
        <v>42100</v>
      </c>
      <c r="J85" s="2">
        <v>78</v>
      </c>
      <c r="K85" s="38">
        <v>43547138</v>
      </c>
      <c r="M85" s="2" t="s">
        <v>1390</v>
      </c>
      <c r="N85" s="38">
        <v>3200000</v>
      </c>
      <c r="P85" s="2" t="s">
        <v>899</v>
      </c>
      <c r="Q85" s="38">
        <v>3247400</v>
      </c>
      <c r="V85" s="2">
        <v>6.8199999999999997E-2</v>
      </c>
      <c r="W85" s="38">
        <v>749</v>
      </c>
    </row>
    <row r="86" spans="4:23">
      <c r="D86" s="2">
        <v>0.52800000000000002</v>
      </c>
      <c r="E86" s="38">
        <v>154600</v>
      </c>
      <c r="G86" s="2">
        <v>0.41499999999999998</v>
      </c>
      <c r="H86" s="38">
        <v>4191800</v>
      </c>
      <c r="J86" s="2">
        <v>79</v>
      </c>
      <c r="K86" s="38">
        <v>2576420</v>
      </c>
      <c r="M86" s="2" t="s">
        <v>1428</v>
      </c>
      <c r="N86" s="38">
        <v>3000000</v>
      </c>
      <c r="P86" s="2" t="s">
        <v>1389</v>
      </c>
      <c r="Q86" s="38">
        <v>3200000</v>
      </c>
      <c r="V86" s="2">
        <v>6.83E-2</v>
      </c>
      <c r="W86" s="38">
        <v>0</v>
      </c>
    </row>
    <row r="87" spans="4:23">
      <c r="D87" s="2">
        <v>0.52900000000000003</v>
      </c>
      <c r="E87" s="38">
        <v>8491</v>
      </c>
      <c r="G87" s="2">
        <v>0.41599999999999998</v>
      </c>
      <c r="H87" s="38">
        <v>12100</v>
      </c>
      <c r="J87" s="2">
        <v>80</v>
      </c>
      <c r="K87" s="38">
        <v>8997536</v>
      </c>
      <c r="M87" s="2" t="s">
        <v>1459</v>
      </c>
      <c r="N87" s="38">
        <v>3000000</v>
      </c>
      <c r="P87" s="2" t="s">
        <v>452</v>
      </c>
      <c r="Q87" s="38">
        <v>3200000</v>
      </c>
      <c r="V87" s="2">
        <v>6.8400000000000002E-2</v>
      </c>
      <c r="W87" s="38">
        <v>3800000</v>
      </c>
    </row>
    <row r="88" spans="4:23">
      <c r="D88" s="2">
        <v>0.53500000000000003</v>
      </c>
      <c r="E88" s="38">
        <v>863100</v>
      </c>
      <c r="G88" s="2">
        <v>0.41699999999999998</v>
      </c>
      <c r="H88" s="38">
        <v>5266</v>
      </c>
      <c r="J88" s="2">
        <v>81</v>
      </c>
      <c r="K88" s="38">
        <v>23063702</v>
      </c>
      <c r="M88" s="2" t="s">
        <v>591</v>
      </c>
      <c r="N88" s="38">
        <v>2900000</v>
      </c>
      <c r="P88" s="2" t="s">
        <v>1373</v>
      </c>
      <c r="Q88" s="38">
        <v>3200000</v>
      </c>
      <c r="V88" s="2">
        <v>6.88E-2</v>
      </c>
      <c r="W88" s="38">
        <v>1400000</v>
      </c>
    </row>
    <row r="89" spans="4:23">
      <c r="D89" s="2">
        <v>0.53900000000000003</v>
      </c>
      <c r="E89" s="38">
        <v>954800</v>
      </c>
      <c r="G89" s="2">
        <v>0.41899999999999998</v>
      </c>
      <c r="H89" s="38">
        <v>42100</v>
      </c>
      <c r="J89" s="2">
        <v>82</v>
      </c>
      <c r="K89" s="38">
        <v>48770818</v>
      </c>
      <c r="M89" s="2" t="s">
        <v>1128</v>
      </c>
      <c r="N89" s="38">
        <v>2800000</v>
      </c>
      <c r="P89" s="2" t="s">
        <v>1427</v>
      </c>
      <c r="Q89" s="38">
        <v>3000000</v>
      </c>
      <c r="V89" s="2">
        <v>6.8900000000000003E-2</v>
      </c>
      <c r="W89" s="38">
        <v>394200</v>
      </c>
    </row>
    <row r="90" spans="4:23">
      <c r="D90" s="2">
        <v>0.54100000000000004</v>
      </c>
      <c r="E90" s="38">
        <v>1100000</v>
      </c>
      <c r="G90" s="2">
        <v>0.42199999999999999</v>
      </c>
      <c r="H90" s="38">
        <v>130</v>
      </c>
      <c r="J90" s="2">
        <v>83</v>
      </c>
      <c r="K90" s="38">
        <v>22701124</v>
      </c>
      <c r="M90" s="2" t="s">
        <v>733</v>
      </c>
      <c r="N90" s="38">
        <v>2800000</v>
      </c>
      <c r="P90" s="2" t="s">
        <v>1620</v>
      </c>
      <c r="Q90" s="38">
        <v>2960106</v>
      </c>
      <c r="V90" s="2">
        <v>6.9500000000000006E-2</v>
      </c>
      <c r="W90" s="38">
        <v>3396</v>
      </c>
    </row>
    <row r="91" spans="4:23">
      <c r="D91" s="2">
        <v>0.54400000000000004</v>
      </c>
      <c r="E91" s="38">
        <v>0</v>
      </c>
      <c r="G91" s="2">
        <v>0.42299999999999999</v>
      </c>
      <c r="H91" s="38">
        <v>18900</v>
      </c>
      <c r="J91" s="2">
        <v>84</v>
      </c>
      <c r="K91" s="38">
        <v>5401446</v>
      </c>
      <c r="M91" s="2" t="s">
        <v>173</v>
      </c>
      <c r="N91" s="38">
        <v>2800000</v>
      </c>
      <c r="P91" s="2" t="s">
        <v>1325</v>
      </c>
      <c r="Q91" s="38">
        <v>2900000</v>
      </c>
      <c r="V91" s="2">
        <v>6.9699999999999998E-2</v>
      </c>
      <c r="W91" s="38">
        <v>42400</v>
      </c>
    </row>
    <row r="92" spans="4:23">
      <c r="D92" s="2">
        <v>0.54600000000000004</v>
      </c>
      <c r="E92" s="38">
        <v>207100</v>
      </c>
      <c r="G92" s="2">
        <v>0.42399999999999999</v>
      </c>
      <c r="H92" s="38">
        <v>2000000</v>
      </c>
      <c r="J92" s="2">
        <v>85</v>
      </c>
      <c r="K92" s="38">
        <v>6134502</v>
      </c>
      <c r="M92" s="2" t="s">
        <v>1440</v>
      </c>
      <c r="N92" s="38">
        <v>2700000</v>
      </c>
      <c r="P92" s="2" t="s">
        <v>592</v>
      </c>
      <c r="Q92" s="38">
        <v>2900000</v>
      </c>
      <c r="V92" s="2">
        <v>7.0000000000000007E-2</v>
      </c>
      <c r="W92" s="38">
        <v>42</v>
      </c>
    </row>
    <row r="93" spans="4:23">
      <c r="D93" s="2">
        <v>0.54700000000000004</v>
      </c>
      <c r="E93" s="38">
        <v>6</v>
      </c>
      <c r="G93" s="2">
        <v>0.42499999999999999</v>
      </c>
      <c r="H93" s="38">
        <v>303563</v>
      </c>
      <c r="J93" s="2">
        <v>86</v>
      </c>
      <c r="K93" s="38">
        <v>3782400</v>
      </c>
      <c r="M93" s="2" t="s">
        <v>746</v>
      </c>
      <c r="N93" s="38">
        <v>2700000</v>
      </c>
      <c r="P93" s="2" t="s">
        <v>172</v>
      </c>
      <c r="Q93" s="38">
        <v>2823900</v>
      </c>
      <c r="V93" s="2">
        <v>7.0599999999999996E-2</v>
      </c>
      <c r="W93" s="38">
        <v>561700</v>
      </c>
    </row>
    <row r="94" spans="4:23">
      <c r="D94" s="2">
        <v>0.54800000000000004</v>
      </c>
      <c r="E94" s="38">
        <v>1400000</v>
      </c>
      <c r="G94" s="2">
        <v>0.42599999999999999</v>
      </c>
      <c r="H94" s="38">
        <v>48496</v>
      </c>
      <c r="J94" s="2">
        <v>87</v>
      </c>
      <c r="K94" s="38">
        <v>2369781</v>
      </c>
      <c r="M94" s="2" t="s">
        <v>1669</v>
      </c>
      <c r="N94" s="38">
        <v>2600000</v>
      </c>
      <c r="P94" s="2" t="s">
        <v>500</v>
      </c>
      <c r="Q94" s="38">
        <v>2803359</v>
      </c>
      <c r="V94" s="2">
        <v>7.0800000000000002E-2</v>
      </c>
      <c r="W94" s="38">
        <v>13300000</v>
      </c>
    </row>
    <row r="95" spans="4:23">
      <c r="D95" s="2">
        <v>0.54900000000000004</v>
      </c>
      <c r="E95" s="38">
        <v>15000</v>
      </c>
      <c r="G95" s="2">
        <v>0.42699999999999999</v>
      </c>
      <c r="H95" s="38">
        <v>3027</v>
      </c>
      <c r="J95" s="2">
        <v>88</v>
      </c>
      <c r="K95" s="38">
        <v>45201061</v>
      </c>
      <c r="M95" s="2" t="s">
        <v>917</v>
      </c>
      <c r="N95" s="38">
        <v>2600000</v>
      </c>
      <c r="P95" s="2" t="s">
        <v>1129</v>
      </c>
      <c r="Q95" s="38">
        <v>2800000</v>
      </c>
      <c r="V95" s="2">
        <v>7.0999999999999994E-2</v>
      </c>
      <c r="W95" s="38">
        <v>6295</v>
      </c>
    </row>
    <row r="96" spans="4:23">
      <c r="D96" s="2">
        <v>0.55100000000000005</v>
      </c>
      <c r="E96" s="38">
        <v>318700</v>
      </c>
      <c r="G96" s="2">
        <v>0.42899999999999999</v>
      </c>
      <c r="H96" s="38">
        <v>3500000</v>
      </c>
      <c r="J96" s="2">
        <v>89</v>
      </c>
      <c r="K96" s="38">
        <v>2787160</v>
      </c>
      <c r="M96" s="2" t="s">
        <v>1244</v>
      </c>
      <c r="N96" s="38">
        <v>2600000</v>
      </c>
      <c r="P96" s="2" t="s">
        <v>799</v>
      </c>
      <c r="Q96" s="38">
        <v>2702900</v>
      </c>
      <c r="V96" s="2">
        <v>7.1400000000000005E-2</v>
      </c>
      <c r="W96" s="38">
        <v>1088477</v>
      </c>
    </row>
    <row r="97" spans="4:23">
      <c r="D97" s="2">
        <v>0.55200000000000005</v>
      </c>
      <c r="E97" s="38">
        <v>0</v>
      </c>
      <c r="G97" s="2">
        <v>0.43</v>
      </c>
      <c r="H97" s="38">
        <v>2491500</v>
      </c>
      <c r="J97" s="2">
        <v>90</v>
      </c>
      <c r="K97" s="38">
        <v>3608532</v>
      </c>
      <c r="M97" s="2" t="s">
        <v>504</v>
      </c>
      <c r="N97" s="38">
        <v>2600000</v>
      </c>
      <c r="P97" s="2" t="s">
        <v>1439</v>
      </c>
      <c r="Q97" s="38">
        <v>2700000</v>
      </c>
      <c r="V97" s="2">
        <v>7.2300000000000003E-2</v>
      </c>
      <c r="W97" s="38">
        <v>1000000</v>
      </c>
    </row>
    <row r="98" spans="4:23">
      <c r="D98" s="2">
        <v>0.55300000000000005</v>
      </c>
      <c r="E98" s="38">
        <v>138900</v>
      </c>
      <c r="G98" s="2">
        <v>0.43099999999999999</v>
      </c>
      <c r="H98" s="38">
        <v>29300000</v>
      </c>
      <c r="J98" s="2">
        <v>91</v>
      </c>
      <c r="K98" s="38">
        <v>5261618</v>
      </c>
      <c r="M98" s="2" t="s">
        <v>1718</v>
      </c>
      <c r="N98" s="38">
        <v>2500000</v>
      </c>
      <c r="P98" s="2" t="s">
        <v>747</v>
      </c>
      <c r="Q98" s="38">
        <v>2700000</v>
      </c>
      <c r="V98" s="2">
        <v>7.2999999999999995E-2</v>
      </c>
      <c r="W98" s="38">
        <v>0</v>
      </c>
    </row>
    <row r="99" spans="4:23">
      <c r="D99" s="2">
        <v>0.55600000000000005</v>
      </c>
      <c r="E99" s="38">
        <v>0</v>
      </c>
      <c r="G99" s="2">
        <v>0.432</v>
      </c>
      <c r="H99" s="38">
        <v>134800</v>
      </c>
      <c r="J99" s="2">
        <v>93</v>
      </c>
      <c r="K99" s="38">
        <v>7488959</v>
      </c>
      <c r="M99" s="2" t="s">
        <v>1203</v>
      </c>
      <c r="N99" s="38">
        <v>2500000</v>
      </c>
      <c r="P99" s="2" t="s">
        <v>1202</v>
      </c>
      <c r="Q99" s="38">
        <v>2647700</v>
      </c>
      <c r="V99" s="2">
        <v>7.3300000000000004E-2</v>
      </c>
      <c r="W99" s="38">
        <v>16400554</v>
      </c>
    </row>
    <row r="100" spans="4:23">
      <c r="D100" s="2">
        <v>0.55700000000000005</v>
      </c>
      <c r="E100" s="38">
        <v>0</v>
      </c>
      <c r="G100" s="2">
        <v>0.433</v>
      </c>
      <c r="H100" s="38">
        <v>15000</v>
      </c>
      <c r="J100" s="2">
        <v>95</v>
      </c>
      <c r="K100" s="38">
        <v>5856888</v>
      </c>
      <c r="M100" s="2" t="s">
        <v>854</v>
      </c>
      <c r="N100" s="38">
        <v>2400000</v>
      </c>
      <c r="P100" s="2" t="s">
        <v>370</v>
      </c>
      <c r="Q100" s="38">
        <v>2631300</v>
      </c>
      <c r="V100" s="2">
        <v>7.3499999999999996E-2</v>
      </c>
      <c r="W100" s="38">
        <v>1700921</v>
      </c>
    </row>
    <row r="101" spans="4:23">
      <c r="D101" s="2">
        <v>0.55800000000000005</v>
      </c>
      <c r="E101" s="38">
        <v>1215791</v>
      </c>
      <c r="G101" s="2">
        <v>0.434</v>
      </c>
      <c r="H101" s="38">
        <v>5600000</v>
      </c>
      <c r="J101" s="2" t="s">
        <v>19</v>
      </c>
      <c r="K101" s="38">
        <v>818817956</v>
      </c>
      <c r="M101" s="2" t="s">
        <v>1842</v>
      </c>
      <c r="N101" s="38">
        <v>2400000</v>
      </c>
      <c r="P101" s="2" t="s">
        <v>1670</v>
      </c>
      <c r="Q101" s="38">
        <v>2600000</v>
      </c>
      <c r="V101" s="2">
        <v>7.3599999999999999E-2</v>
      </c>
      <c r="W101" s="38">
        <v>355500</v>
      </c>
    </row>
    <row r="102" spans="4:23">
      <c r="D102" s="2">
        <v>0.56000000000000005</v>
      </c>
      <c r="E102" s="38">
        <v>867877</v>
      </c>
      <c r="G102" s="2">
        <v>0.436</v>
      </c>
      <c r="H102" s="38">
        <v>1234300</v>
      </c>
      <c r="M102" s="2" t="s">
        <v>598</v>
      </c>
      <c r="N102" s="38">
        <v>2400000</v>
      </c>
      <c r="P102" s="2" t="s">
        <v>503</v>
      </c>
      <c r="Q102" s="38">
        <v>2600000</v>
      </c>
      <c r="V102" s="2">
        <v>7.3800000000000004E-2</v>
      </c>
      <c r="W102" s="38">
        <v>4218</v>
      </c>
    </row>
    <row r="103" spans="4:23">
      <c r="D103" s="2">
        <v>0.56100000000000005</v>
      </c>
      <c r="E103" s="38">
        <v>1100000</v>
      </c>
      <c r="G103" s="2">
        <v>0.438</v>
      </c>
      <c r="H103" s="38">
        <v>500400</v>
      </c>
      <c r="M103" s="2" t="s">
        <v>355</v>
      </c>
      <c r="N103" s="38">
        <v>2400000</v>
      </c>
      <c r="P103" s="2" t="s">
        <v>1243</v>
      </c>
      <c r="Q103" s="38">
        <v>2600000</v>
      </c>
      <c r="V103" s="2">
        <v>7.4300000000000005E-2</v>
      </c>
      <c r="W103" s="38">
        <v>394600</v>
      </c>
    </row>
    <row r="104" spans="4:23">
      <c r="D104" s="2">
        <v>0.56299999999999994</v>
      </c>
      <c r="E104" s="38">
        <v>13301</v>
      </c>
      <c r="G104" s="2">
        <v>0.439</v>
      </c>
      <c r="H104" s="38">
        <v>523200</v>
      </c>
      <c r="M104" s="2" t="s">
        <v>1332</v>
      </c>
      <c r="N104" s="38">
        <v>2400000</v>
      </c>
      <c r="P104" s="2" t="s">
        <v>1719</v>
      </c>
      <c r="Q104" s="38">
        <v>2500000</v>
      </c>
      <c r="V104" s="2">
        <v>7.4499999999999997E-2</v>
      </c>
      <c r="W104" s="38">
        <v>732</v>
      </c>
    </row>
    <row r="105" spans="4:23">
      <c r="D105" s="2">
        <v>0.56499999999999995</v>
      </c>
      <c r="E105" s="38">
        <v>167</v>
      </c>
      <c r="G105" s="2">
        <v>0.441</v>
      </c>
      <c r="H105" s="38">
        <v>177900</v>
      </c>
      <c r="M105" s="2" t="s">
        <v>1052</v>
      </c>
      <c r="N105" s="38">
        <v>2300000</v>
      </c>
      <c r="P105" s="2" t="s">
        <v>853</v>
      </c>
      <c r="Q105" s="38">
        <v>2400000</v>
      </c>
      <c r="V105" s="2">
        <v>7.4700000000000003E-2</v>
      </c>
      <c r="W105" s="38">
        <v>1</v>
      </c>
    </row>
    <row r="106" spans="4:23">
      <c r="D106" s="2">
        <v>0.56599999999999995</v>
      </c>
      <c r="E106" s="38">
        <v>321800</v>
      </c>
      <c r="G106" s="2">
        <v>0.443</v>
      </c>
      <c r="H106" s="38">
        <v>742909</v>
      </c>
      <c r="M106" s="2" t="s">
        <v>1064</v>
      </c>
      <c r="N106" s="38">
        <v>2300000</v>
      </c>
      <c r="P106" s="2" t="s">
        <v>354</v>
      </c>
      <c r="Q106" s="38">
        <v>2400000</v>
      </c>
      <c r="V106" s="2">
        <v>7.4999999999999997E-2</v>
      </c>
      <c r="W106" s="38">
        <v>0</v>
      </c>
    </row>
    <row r="107" spans="4:23">
      <c r="D107" s="2">
        <v>0.56699999999999995</v>
      </c>
      <c r="E107" s="38">
        <v>1200000</v>
      </c>
      <c r="G107" s="2">
        <v>0.44400000000000001</v>
      </c>
      <c r="H107" s="38">
        <v>186500</v>
      </c>
      <c r="M107" s="2" t="s">
        <v>1481</v>
      </c>
      <c r="N107" s="38">
        <v>2300000</v>
      </c>
      <c r="P107" s="2" t="s">
        <v>1841</v>
      </c>
      <c r="Q107" s="38">
        <v>2400000</v>
      </c>
      <c r="V107" s="2">
        <v>7.5200000000000003E-2</v>
      </c>
      <c r="W107" s="38">
        <v>266100</v>
      </c>
    </row>
    <row r="108" spans="4:23">
      <c r="D108" s="2">
        <v>0.56999999999999995</v>
      </c>
      <c r="E108" s="38">
        <v>0</v>
      </c>
      <c r="G108" s="2">
        <v>0.44500000000000001</v>
      </c>
      <c r="H108" s="38">
        <v>830</v>
      </c>
      <c r="M108" s="2" t="s">
        <v>468</v>
      </c>
      <c r="N108" s="38">
        <v>2200000</v>
      </c>
      <c r="P108" s="2" t="s">
        <v>1333</v>
      </c>
      <c r="Q108" s="38">
        <v>2400000</v>
      </c>
      <c r="V108" s="2">
        <v>7.5399999999999995E-2</v>
      </c>
      <c r="W108" s="38">
        <v>5629700</v>
      </c>
    </row>
    <row r="109" spans="4:23">
      <c r="D109" s="2">
        <v>0.57199999999999995</v>
      </c>
      <c r="E109" s="38">
        <v>426100</v>
      </c>
      <c r="G109" s="2">
        <v>0.44600000000000001</v>
      </c>
      <c r="H109" s="38">
        <v>1801420</v>
      </c>
      <c r="M109" s="2" t="s">
        <v>70</v>
      </c>
      <c r="N109" s="38">
        <v>2200000</v>
      </c>
      <c r="P109" s="2" t="s">
        <v>642</v>
      </c>
      <c r="Q109" s="38">
        <v>2354598</v>
      </c>
      <c r="V109" s="2">
        <v>7.5899999999999995E-2</v>
      </c>
      <c r="W109" s="38">
        <v>0</v>
      </c>
    </row>
    <row r="110" spans="4:23">
      <c r="D110" s="2">
        <v>0.57399999999999995</v>
      </c>
      <c r="E110" s="38">
        <v>0</v>
      </c>
      <c r="G110" s="2">
        <v>0.44700000000000001</v>
      </c>
      <c r="H110" s="38">
        <v>4900000</v>
      </c>
      <c r="M110" s="2" t="s">
        <v>1326</v>
      </c>
      <c r="N110" s="38">
        <v>2200000</v>
      </c>
      <c r="P110" s="2" t="s">
        <v>1053</v>
      </c>
      <c r="Q110" s="38">
        <v>2300000</v>
      </c>
      <c r="V110" s="2">
        <v>7.6300000000000007E-2</v>
      </c>
      <c r="W110" s="38">
        <v>855500</v>
      </c>
    </row>
    <row r="111" spans="4:23">
      <c r="D111" s="2">
        <v>0.57499999999999996</v>
      </c>
      <c r="E111" s="38">
        <v>45500</v>
      </c>
      <c r="G111" s="2">
        <v>0.45</v>
      </c>
      <c r="H111" s="38">
        <v>1773730</v>
      </c>
      <c r="M111" s="2" t="s">
        <v>1384</v>
      </c>
      <c r="N111" s="38">
        <v>2200000</v>
      </c>
      <c r="P111" s="2" t="s">
        <v>1482</v>
      </c>
      <c r="Q111" s="38">
        <v>2300000</v>
      </c>
      <c r="V111" s="2">
        <v>7.6499999999999999E-2</v>
      </c>
      <c r="W111" s="38">
        <v>66700</v>
      </c>
    </row>
    <row r="112" spans="4:23">
      <c r="D112" s="2">
        <v>0.57699999999999996</v>
      </c>
      <c r="E112" s="38">
        <v>0</v>
      </c>
      <c r="G112" s="2">
        <v>0.45100000000000001</v>
      </c>
      <c r="H112" s="38">
        <v>1700000</v>
      </c>
      <c r="M112" s="2" t="s">
        <v>1821</v>
      </c>
      <c r="N112" s="38">
        <v>2200000</v>
      </c>
      <c r="P112" s="2" t="s">
        <v>1065</v>
      </c>
      <c r="Q112" s="38">
        <v>2300000</v>
      </c>
      <c r="V112" s="2">
        <v>7.6700000000000004E-2</v>
      </c>
      <c r="W112" s="38">
        <v>11000000</v>
      </c>
    </row>
    <row r="113" spans="4:23">
      <c r="D113" s="2">
        <v>0.57799999999999996</v>
      </c>
      <c r="E113" s="38">
        <v>250200</v>
      </c>
      <c r="G113" s="2">
        <v>0.45400000000000001</v>
      </c>
      <c r="H113" s="38">
        <v>6598300</v>
      </c>
      <c r="M113" s="2" t="s">
        <v>1615</v>
      </c>
      <c r="N113" s="38">
        <v>2100003</v>
      </c>
      <c r="P113" s="2" t="s">
        <v>469</v>
      </c>
      <c r="Q113" s="38">
        <v>2242100</v>
      </c>
      <c r="V113" s="2">
        <v>7.6899999999999996E-2</v>
      </c>
      <c r="W113" s="38">
        <v>97800</v>
      </c>
    </row>
    <row r="114" spans="4:23">
      <c r="D114" s="2">
        <v>0.57899999999999996</v>
      </c>
      <c r="E114" s="38">
        <v>126</v>
      </c>
      <c r="G114" s="2">
        <v>0.45600000000000002</v>
      </c>
      <c r="H114" s="38">
        <v>125815</v>
      </c>
      <c r="M114" s="2" t="s">
        <v>1190</v>
      </c>
      <c r="N114" s="38">
        <v>2014100</v>
      </c>
      <c r="P114" s="2" t="s">
        <v>69</v>
      </c>
      <c r="Q114" s="38">
        <v>2200000</v>
      </c>
      <c r="V114" s="2">
        <v>7.7399999999999997E-2</v>
      </c>
      <c r="W114" s="38">
        <v>15162</v>
      </c>
    </row>
    <row r="115" spans="4:23">
      <c r="D115" s="2">
        <v>0.57999999999999996</v>
      </c>
      <c r="E115" s="38">
        <v>644600</v>
      </c>
      <c r="G115" s="2">
        <v>0.45700000000000002</v>
      </c>
      <c r="H115" s="38">
        <v>0</v>
      </c>
      <c r="M115" s="2" t="s">
        <v>184</v>
      </c>
      <c r="N115" s="38">
        <v>2000000</v>
      </c>
      <c r="P115" s="2" t="s">
        <v>1822</v>
      </c>
      <c r="Q115" s="38">
        <v>2200000</v>
      </c>
      <c r="V115" s="2">
        <v>7.7499999999999999E-2</v>
      </c>
      <c r="W115" s="38">
        <v>67</v>
      </c>
    </row>
    <row r="116" spans="4:23">
      <c r="D116" s="2">
        <v>0.58099999999999996</v>
      </c>
      <c r="E116" s="38">
        <v>170</v>
      </c>
      <c r="G116" s="2">
        <v>0.45900000000000002</v>
      </c>
      <c r="H116" s="38">
        <v>1700000</v>
      </c>
      <c r="M116" s="2" t="s">
        <v>997</v>
      </c>
      <c r="N116" s="38">
        <v>2000000</v>
      </c>
      <c r="P116" s="2" t="s">
        <v>432</v>
      </c>
      <c r="Q116" s="38">
        <v>2111200</v>
      </c>
      <c r="V116" s="2">
        <v>7.7799999999999994E-2</v>
      </c>
      <c r="W116" s="38">
        <v>1300000</v>
      </c>
    </row>
    <row r="117" spans="4:23">
      <c r="D117" s="2">
        <v>0.58299999999999996</v>
      </c>
      <c r="E117" s="38">
        <v>825200</v>
      </c>
      <c r="G117" s="2">
        <v>0.46100000000000002</v>
      </c>
      <c r="H117" s="38">
        <v>354900</v>
      </c>
      <c r="M117" s="2" t="s">
        <v>1321</v>
      </c>
      <c r="N117" s="38">
        <v>2000000</v>
      </c>
      <c r="P117" s="2" t="s">
        <v>670</v>
      </c>
      <c r="Q117" s="38">
        <v>2076400</v>
      </c>
      <c r="V117" s="2">
        <v>7.7899999999999997E-2</v>
      </c>
      <c r="W117" s="38">
        <v>0</v>
      </c>
    </row>
    <row r="118" spans="4:23">
      <c r="D118" s="2">
        <v>0.58499999999999996</v>
      </c>
      <c r="E118" s="38">
        <v>1100000</v>
      </c>
      <c r="G118" s="2">
        <v>0.46300000000000002</v>
      </c>
      <c r="H118" s="38">
        <v>1760600</v>
      </c>
      <c r="M118" s="2" t="s">
        <v>836</v>
      </c>
      <c r="N118" s="38">
        <v>2000000</v>
      </c>
      <c r="P118" s="2" t="s">
        <v>849</v>
      </c>
      <c r="Q118" s="38">
        <v>2061618</v>
      </c>
      <c r="V118" s="2">
        <v>7.8100000000000003E-2</v>
      </c>
      <c r="W118" s="38">
        <v>2900000</v>
      </c>
    </row>
    <row r="119" spans="4:23">
      <c r="D119" s="2">
        <v>0.58599999999999997</v>
      </c>
      <c r="E119" s="38">
        <v>3190100</v>
      </c>
      <c r="G119" s="2">
        <v>0.46400000000000002</v>
      </c>
      <c r="H119" s="38">
        <v>8529</v>
      </c>
      <c r="M119" s="2" t="s">
        <v>941</v>
      </c>
      <c r="N119" s="38">
        <v>1983800</v>
      </c>
      <c r="P119" s="2" t="s">
        <v>1191</v>
      </c>
      <c r="Q119" s="38">
        <v>2014100</v>
      </c>
      <c r="V119" s="2">
        <v>7.8299999999999995E-2</v>
      </c>
      <c r="W119" s="38">
        <v>958</v>
      </c>
    </row>
    <row r="120" spans="4:23">
      <c r="D120" s="2">
        <v>0.58799999999999997</v>
      </c>
      <c r="E120" s="38">
        <v>637562</v>
      </c>
      <c r="G120" s="2">
        <v>0.46500000000000002</v>
      </c>
      <c r="H120" s="38">
        <v>709903</v>
      </c>
      <c r="M120" s="2" t="s">
        <v>870</v>
      </c>
      <c r="N120" s="38">
        <v>1900000</v>
      </c>
      <c r="P120" s="2" t="s">
        <v>837</v>
      </c>
      <c r="Q120" s="38">
        <v>2000000</v>
      </c>
      <c r="V120" s="2">
        <v>7.8399999999999997E-2</v>
      </c>
      <c r="W120" s="38">
        <v>3600574</v>
      </c>
    </row>
    <row r="121" spans="4:23">
      <c r="D121" s="2">
        <v>0.59099999999999997</v>
      </c>
      <c r="E121" s="38">
        <v>10998</v>
      </c>
      <c r="G121" s="2">
        <v>0.46800000000000003</v>
      </c>
      <c r="H121" s="38">
        <v>207100</v>
      </c>
      <c r="M121" s="2" t="s">
        <v>1608</v>
      </c>
      <c r="N121" s="38">
        <v>1900000</v>
      </c>
      <c r="P121" s="2" t="s">
        <v>183</v>
      </c>
      <c r="Q121" s="38">
        <v>2000000</v>
      </c>
      <c r="V121" s="2">
        <v>7.85E-2</v>
      </c>
      <c r="W121" s="38">
        <v>231600</v>
      </c>
    </row>
    <row r="122" spans="4:23">
      <c r="D122" s="2">
        <v>0.59199999999999997</v>
      </c>
      <c r="E122" s="38">
        <v>403920</v>
      </c>
      <c r="G122" s="2">
        <v>0.46899999999999997</v>
      </c>
      <c r="H122" s="38">
        <v>112</v>
      </c>
      <c r="M122" s="2" t="s">
        <v>646</v>
      </c>
      <c r="N122" s="38">
        <v>1900000</v>
      </c>
      <c r="P122" s="2" t="s">
        <v>998</v>
      </c>
      <c r="Q122" s="38">
        <v>2000000</v>
      </c>
      <c r="V122" s="2">
        <v>7.9699999999999993E-2</v>
      </c>
      <c r="W122" s="38">
        <v>578</v>
      </c>
    </row>
    <row r="123" spans="4:23">
      <c r="D123" s="2">
        <v>0.59399999999999997</v>
      </c>
      <c r="E123" s="38">
        <v>378900</v>
      </c>
      <c r="G123" s="2">
        <v>0.47</v>
      </c>
      <c r="H123" s="38">
        <v>9230</v>
      </c>
      <c r="M123" s="2" t="s">
        <v>1012</v>
      </c>
      <c r="N123" s="38">
        <v>1836500</v>
      </c>
      <c r="P123" s="2" t="s">
        <v>942</v>
      </c>
      <c r="Q123" s="38">
        <v>1983800</v>
      </c>
      <c r="V123" s="2">
        <v>0.08</v>
      </c>
      <c r="W123" s="38">
        <v>310200</v>
      </c>
    </row>
    <row r="124" spans="4:23">
      <c r="D124" s="2">
        <v>0.59499999999999997</v>
      </c>
      <c r="E124" s="38">
        <v>972201</v>
      </c>
      <c r="G124" s="2">
        <v>0.47099999999999997</v>
      </c>
      <c r="H124" s="38">
        <v>472100</v>
      </c>
      <c r="M124" s="2" t="s">
        <v>1733</v>
      </c>
      <c r="N124" s="38">
        <v>1800000</v>
      </c>
      <c r="P124" s="2" t="s">
        <v>869</v>
      </c>
      <c r="Q124" s="38">
        <v>1900000</v>
      </c>
      <c r="V124" s="2">
        <v>8.0100000000000005E-2</v>
      </c>
      <c r="W124" s="38">
        <v>310500</v>
      </c>
    </row>
    <row r="125" spans="4:23">
      <c r="D125" s="2">
        <v>0.59699999999999998</v>
      </c>
      <c r="E125" s="38">
        <v>271700</v>
      </c>
      <c r="G125" s="2">
        <v>0.47199999999999998</v>
      </c>
      <c r="H125" s="38">
        <v>2000000</v>
      </c>
      <c r="M125" s="2" t="s">
        <v>1245</v>
      </c>
      <c r="N125" s="38">
        <v>1800000</v>
      </c>
      <c r="P125" s="2" t="s">
        <v>1609</v>
      </c>
      <c r="Q125" s="38">
        <v>1900000</v>
      </c>
      <c r="V125" s="2">
        <v>8.0299999999999996E-2</v>
      </c>
      <c r="W125" s="38">
        <v>125400</v>
      </c>
    </row>
    <row r="126" spans="4:23">
      <c r="D126" s="2">
        <v>0.59799999999999998</v>
      </c>
      <c r="E126" s="38">
        <v>5500000</v>
      </c>
      <c r="G126" s="2">
        <v>0.47299999999999998</v>
      </c>
      <c r="H126" s="38">
        <v>130519</v>
      </c>
      <c r="M126" s="2" t="s">
        <v>1106</v>
      </c>
      <c r="N126" s="38">
        <v>1800000</v>
      </c>
      <c r="P126" s="2" t="s">
        <v>647</v>
      </c>
      <c r="Q126" s="38">
        <v>1900000</v>
      </c>
      <c r="V126" s="2">
        <v>8.09E-2</v>
      </c>
      <c r="W126" s="38">
        <v>2018500</v>
      </c>
    </row>
    <row r="127" spans="4:23">
      <c r="D127" s="2">
        <v>0.59899999999999998</v>
      </c>
      <c r="E127" s="38">
        <v>134817</v>
      </c>
      <c r="G127" s="2">
        <v>0.47499999999999998</v>
      </c>
      <c r="H127" s="38">
        <v>15</v>
      </c>
      <c r="M127" s="2" t="s">
        <v>1836</v>
      </c>
      <c r="N127" s="38">
        <v>1800000</v>
      </c>
      <c r="P127" s="2" t="s">
        <v>1246</v>
      </c>
      <c r="Q127" s="38">
        <v>1800000</v>
      </c>
      <c r="V127" s="2">
        <v>8.1299999999999997E-2</v>
      </c>
      <c r="W127" s="38">
        <v>3516</v>
      </c>
    </row>
    <row r="128" spans="4:23">
      <c r="D128" s="2">
        <v>0.6</v>
      </c>
      <c r="E128" s="38">
        <v>18600</v>
      </c>
      <c r="G128" s="2">
        <v>0.47699999999999998</v>
      </c>
      <c r="H128" s="38">
        <v>10600</v>
      </c>
      <c r="M128" s="2" t="s">
        <v>1635</v>
      </c>
      <c r="N128" s="38">
        <v>1800000</v>
      </c>
      <c r="P128" s="2" t="s">
        <v>1241</v>
      </c>
      <c r="Q128" s="38">
        <v>1717400</v>
      </c>
      <c r="V128" s="2">
        <v>8.1600000000000006E-2</v>
      </c>
      <c r="W128" s="38">
        <v>11989</v>
      </c>
    </row>
    <row r="129" spans="4:23">
      <c r="D129" s="2">
        <v>0.60099999999999998</v>
      </c>
      <c r="E129" s="38">
        <v>289006</v>
      </c>
      <c r="G129" s="2">
        <v>0.47899999999999998</v>
      </c>
      <c r="H129" s="38">
        <v>1044600</v>
      </c>
      <c r="M129" s="2" t="s">
        <v>1014</v>
      </c>
      <c r="N129" s="38">
        <v>1765400</v>
      </c>
      <c r="P129" s="2" t="s">
        <v>387</v>
      </c>
      <c r="Q129" s="38">
        <v>1706100</v>
      </c>
      <c r="V129" s="2">
        <v>8.1699999999999995E-2</v>
      </c>
      <c r="W129" s="38">
        <v>149800</v>
      </c>
    </row>
    <row r="130" spans="4:23">
      <c r="D130" s="2">
        <v>0.60199999999999998</v>
      </c>
      <c r="E130" s="38">
        <v>849900</v>
      </c>
      <c r="G130" s="2">
        <v>0.48099999999999998</v>
      </c>
      <c r="H130" s="38">
        <v>606600</v>
      </c>
      <c r="M130" s="2" t="s">
        <v>1125</v>
      </c>
      <c r="N130" s="38">
        <v>1761600</v>
      </c>
      <c r="P130" s="2" t="s">
        <v>1085</v>
      </c>
      <c r="Q130" s="38">
        <v>1704218</v>
      </c>
      <c r="V130" s="2">
        <v>8.2000000000000003E-2</v>
      </c>
      <c r="W130" s="38">
        <v>23100</v>
      </c>
    </row>
    <row r="131" spans="4:23">
      <c r="D131" s="2">
        <v>0.60299999999999998</v>
      </c>
      <c r="E131" s="38">
        <v>4653</v>
      </c>
      <c r="G131" s="2">
        <v>0.48399999999999999</v>
      </c>
      <c r="H131" s="38">
        <v>0</v>
      </c>
      <c r="M131" s="2" t="s">
        <v>1240</v>
      </c>
      <c r="N131" s="38">
        <v>1717400</v>
      </c>
      <c r="P131" s="2" t="s">
        <v>1502</v>
      </c>
      <c r="Q131" s="38">
        <v>1700000</v>
      </c>
      <c r="V131" s="2">
        <v>8.2100000000000006E-2</v>
      </c>
      <c r="W131" s="38">
        <v>153</v>
      </c>
    </row>
    <row r="132" spans="4:23">
      <c r="D132" s="2">
        <v>0.60399999999999998</v>
      </c>
      <c r="E132" s="38">
        <v>1246700</v>
      </c>
      <c r="G132" s="2">
        <v>0.48599999999999999</v>
      </c>
      <c r="H132" s="38">
        <v>7</v>
      </c>
      <c r="M132" s="2" t="s">
        <v>386</v>
      </c>
      <c r="N132" s="38">
        <v>1706100</v>
      </c>
      <c r="P132" s="2" t="s">
        <v>1274</v>
      </c>
      <c r="Q132" s="38">
        <v>1700000</v>
      </c>
      <c r="V132" s="2">
        <v>8.2400000000000001E-2</v>
      </c>
      <c r="W132" s="38">
        <v>7054595</v>
      </c>
    </row>
    <row r="133" spans="4:23">
      <c r="D133" s="2">
        <v>0.60599999999999998</v>
      </c>
      <c r="E133" s="38">
        <v>3200010</v>
      </c>
      <c r="G133" s="2">
        <v>0.48699999999999999</v>
      </c>
      <c r="H133" s="38">
        <v>10</v>
      </c>
      <c r="M133" s="2" t="s">
        <v>1086</v>
      </c>
      <c r="N133" s="38">
        <v>1704218</v>
      </c>
      <c r="P133" s="2" t="s">
        <v>380</v>
      </c>
      <c r="Q133" s="38">
        <v>1700000</v>
      </c>
      <c r="V133" s="2">
        <v>8.2500000000000004E-2</v>
      </c>
      <c r="W133" s="38">
        <v>0</v>
      </c>
    </row>
    <row r="134" spans="4:23">
      <c r="D134" s="2">
        <v>0.60699999999999998</v>
      </c>
      <c r="E134" s="38">
        <v>143300</v>
      </c>
      <c r="G134" s="2">
        <v>0.48799999999999999</v>
      </c>
      <c r="H134" s="38">
        <v>332500</v>
      </c>
      <c r="M134" s="2" t="s">
        <v>1329</v>
      </c>
      <c r="N134" s="38">
        <v>1700007</v>
      </c>
      <c r="P134" s="2" t="s">
        <v>606</v>
      </c>
      <c r="Q134" s="38">
        <v>1672300</v>
      </c>
      <c r="V134" s="2">
        <v>8.2900000000000001E-2</v>
      </c>
      <c r="W134" s="38">
        <v>937</v>
      </c>
    </row>
    <row r="135" spans="4:23">
      <c r="D135" s="2">
        <v>0.60799999999999998</v>
      </c>
      <c r="E135" s="38">
        <v>5281</v>
      </c>
      <c r="G135" s="2">
        <v>0.48899999999999999</v>
      </c>
      <c r="H135" s="38">
        <v>231200</v>
      </c>
      <c r="M135" s="2" t="s">
        <v>1275</v>
      </c>
      <c r="N135" s="38">
        <v>1700000</v>
      </c>
      <c r="P135" s="2" t="s">
        <v>676</v>
      </c>
      <c r="Q135" s="38">
        <v>1651200</v>
      </c>
      <c r="V135" s="2">
        <v>8.3199999999999996E-2</v>
      </c>
      <c r="W135" s="38">
        <v>788500</v>
      </c>
    </row>
    <row r="136" spans="4:23">
      <c r="D136" s="2">
        <v>0.60899999999999999</v>
      </c>
      <c r="E136" s="38">
        <v>1361200</v>
      </c>
      <c r="G136" s="2">
        <v>0.49</v>
      </c>
      <c r="H136" s="38">
        <v>13578522</v>
      </c>
      <c r="M136" s="2" t="s">
        <v>1501</v>
      </c>
      <c r="N136" s="38">
        <v>1700000</v>
      </c>
      <c r="P136" s="2" t="s">
        <v>1540</v>
      </c>
      <c r="Q136" s="38">
        <v>1600000</v>
      </c>
      <c r="V136" s="2">
        <v>8.3299999999999999E-2</v>
      </c>
      <c r="W136" s="38">
        <v>396800</v>
      </c>
    </row>
    <row r="137" spans="4:23">
      <c r="D137" s="2">
        <v>0.61</v>
      </c>
      <c r="E137" s="38">
        <v>5028</v>
      </c>
      <c r="G137" s="2">
        <v>0.49099999999999999</v>
      </c>
      <c r="H137" s="38">
        <v>2500000</v>
      </c>
      <c r="M137" s="2" t="s">
        <v>379</v>
      </c>
      <c r="N137" s="38">
        <v>1700000</v>
      </c>
      <c r="P137" s="2" t="s">
        <v>1436</v>
      </c>
      <c r="Q137" s="38">
        <v>1600000</v>
      </c>
      <c r="V137" s="2">
        <v>8.3599999999999994E-2</v>
      </c>
      <c r="W137" s="38">
        <v>615600</v>
      </c>
    </row>
    <row r="138" spans="4:23">
      <c r="D138" s="2">
        <v>0.61099999999999999</v>
      </c>
      <c r="E138" s="38">
        <v>1157530</v>
      </c>
      <c r="G138" s="2">
        <v>0.49199999999999999</v>
      </c>
      <c r="H138" s="38">
        <v>1617400</v>
      </c>
      <c r="M138" s="2" t="s">
        <v>1374</v>
      </c>
      <c r="N138" s="38">
        <v>1700000</v>
      </c>
      <c r="P138" s="2" t="s">
        <v>515</v>
      </c>
      <c r="Q138" s="38">
        <v>1590900</v>
      </c>
      <c r="V138" s="2">
        <v>8.3900000000000002E-2</v>
      </c>
      <c r="W138" s="38">
        <v>742300</v>
      </c>
    </row>
    <row r="139" spans="4:23">
      <c r="D139" s="2">
        <v>0.61199999999999999</v>
      </c>
      <c r="E139" s="38">
        <v>1046100</v>
      </c>
      <c r="G139" s="2">
        <v>0.49299999999999999</v>
      </c>
      <c r="H139" s="38">
        <v>1636</v>
      </c>
      <c r="M139" s="2" t="s">
        <v>768</v>
      </c>
      <c r="N139" s="38">
        <v>1651200</v>
      </c>
      <c r="P139" s="2" t="s">
        <v>560</v>
      </c>
      <c r="Q139" s="38">
        <v>1518300</v>
      </c>
      <c r="V139" s="2">
        <v>8.4500000000000006E-2</v>
      </c>
      <c r="W139" s="38">
        <v>12322200</v>
      </c>
    </row>
    <row r="140" spans="4:23">
      <c r="D140" s="2">
        <v>0.61299999999999999</v>
      </c>
      <c r="E140" s="38">
        <v>1153621</v>
      </c>
      <c r="G140" s="2">
        <v>0.49399999999999999</v>
      </c>
      <c r="H140" s="38">
        <v>682671</v>
      </c>
      <c r="M140" s="2" t="s">
        <v>1503</v>
      </c>
      <c r="N140" s="38">
        <v>1607600</v>
      </c>
      <c r="P140" s="2" t="s">
        <v>1018</v>
      </c>
      <c r="Q140" s="38">
        <v>1500000</v>
      </c>
      <c r="V140" s="2">
        <v>8.48E-2</v>
      </c>
      <c r="W140" s="38">
        <v>747402</v>
      </c>
    </row>
    <row r="141" spans="4:23">
      <c r="D141" s="2">
        <v>0.61499999999999999</v>
      </c>
      <c r="E141" s="38">
        <v>220</v>
      </c>
      <c r="G141" s="2">
        <v>0.495</v>
      </c>
      <c r="H141" s="38">
        <v>850</v>
      </c>
      <c r="M141" s="2" t="s">
        <v>1539</v>
      </c>
      <c r="N141" s="38">
        <v>1600000</v>
      </c>
      <c r="P141" s="2" t="s">
        <v>721</v>
      </c>
      <c r="Q141" s="38">
        <v>1500000</v>
      </c>
      <c r="V141" s="2">
        <v>8.4900000000000003E-2</v>
      </c>
      <c r="W141" s="38">
        <v>13300</v>
      </c>
    </row>
    <row r="142" spans="4:23">
      <c r="D142" s="2">
        <v>0.61599999999999999</v>
      </c>
      <c r="E142" s="38">
        <v>3396</v>
      </c>
      <c r="G142" s="2">
        <v>0.496</v>
      </c>
      <c r="H142" s="38">
        <v>553400</v>
      </c>
      <c r="M142" s="2" t="s">
        <v>1104</v>
      </c>
      <c r="N142" s="38">
        <v>1600000</v>
      </c>
      <c r="P142" s="2" t="s">
        <v>835</v>
      </c>
      <c r="Q142" s="38">
        <v>1500000</v>
      </c>
      <c r="V142" s="2">
        <v>8.5099999999999995E-2</v>
      </c>
      <c r="W142" s="38">
        <v>9230</v>
      </c>
    </row>
    <row r="143" spans="4:23">
      <c r="D143" s="2">
        <v>0.61699999999999999</v>
      </c>
      <c r="E143" s="38">
        <v>43100</v>
      </c>
      <c r="G143" s="2">
        <v>0.498</v>
      </c>
      <c r="H143" s="38">
        <v>10</v>
      </c>
      <c r="M143" s="2" t="s">
        <v>1437</v>
      </c>
      <c r="N143" s="38">
        <v>1600000</v>
      </c>
      <c r="P143" s="2" t="s">
        <v>1180</v>
      </c>
      <c r="Q143" s="38">
        <v>1459900</v>
      </c>
      <c r="V143" s="2">
        <v>8.5300000000000001E-2</v>
      </c>
      <c r="W143" s="38">
        <v>70</v>
      </c>
    </row>
    <row r="144" spans="4:23">
      <c r="D144" s="2">
        <v>0.61799999999999999</v>
      </c>
      <c r="E144" s="38">
        <v>137400</v>
      </c>
      <c r="G144" s="2">
        <v>0.499</v>
      </c>
      <c r="H144" s="38">
        <v>103986</v>
      </c>
      <c r="M144" s="2" t="s">
        <v>722</v>
      </c>
      <c r="N144" s="38">
        <v>1500000</v>
      </c>
      <c r="P144" s="2" t="s">
        <v>75</v>
      </c>
      <c r="Q144" s="38">
        <v>1416259</v>
      </c>
      <c r="V144" s="2">
        <v>8.5500000000000007E-2</v>
      </c>
      <c r="W144" s="38">
        <v>233</v>
      </c>
    </row>
    <row r="145" spans="4:23">
      <c r="D145" s="2">
        <v>0.61899999999999999</v>
      </c>
      <c r="E145" s="38">
        <v>1501889</v>
      </c>
      <c r="G145" s="2">
        <v>0.5</v>
      </c>
      <c r="H145" s="38">
        <v>25600</v>
      </c>
      <c r="M145" s="2" t="s">
        <v>1019</v>
      </c>
      <c r="N145" s="38">
        <v>1500000</v>
      </c>
      <c r="P145" s="2" t="s">
        <v>1149</v>
      </c>
      <c r="Q145" s="38">
        <v>1400000</v>
      </c>
      <c r="V145" s="2">
        <v>8.5699999999999998E-2</v>
      </c>
      <c r="W145" s="38">
        <v>391761</v>
      </c>
    </row>
    <row r="146" spans="4:23">
      <c r="D146" s="2">
        <v>0.62</v>
      </c>
      <c r="E146" s="38">
        <v>672200</v>
      </c>
      <c r="G146" s="2">
        <v>0.501</v>
      </c>
      <c r="H146" s="38">
        <v>11320134</v>
      </c>
      <c r="M146" s="2" t="s">
        <v>834</v>
      </c>
      <c r="N146" s="38">
        <v>1500000</v>
      </c>
      <c r="P146" s="2" t="s">
        <v>378</v>
      </c>
      <c r="Q146" s="38">
        <v>1400000</v>
      </c>
      <c r="V146" s="2">
        <v>8.6400000000000005E-2</v>
      </c>
      <c r="W146" s="38">
        <v>1361200</v>
      </c>
    </row>
    <row r="147" spans="4:23">
      <c r="D147" s="2">
        <v>0.621</v>
      </c>
      <c r="E147" s="38">
        <v>3743880</v>
      </c>
      <c r="G147" s="2">
        <v>0.503</v>
      </c>
      <c r="H147" s="38">
        <v>3913145</v>
      </c>
      <c r="M147" s="2" t="s">
        <v>1376</v>
      </c>
      <c r="N147" s="38">
        <v>1500000</v>
      </c>
      <c r="P147" s="2" t="s">
        <v>1629</v>
      </c>
      <c r="Q147" s="38">
        <v>1400000</v>
      </c>
      <c r="V147" s="2">
        <v>8.6499999999999994E-2</v>
      </c>
      <c r="W147" s="38">
        <v>0</v>
      </c>
    </row>
    <row r="148" spans="4:23">
      <c r="D148" s="2">
        <v>0.622</v>
      </c>
      <c r="E148" s="38">
        <v>24000</v>
      </c>
      <c r="G148" s="2">
        <v>0.505</v>
      </c>
      <c r="H148" s="38">
        <v>1083</v>
      </c>
      <c r="M148" s="2" t="s">
        <v>1011</v>
      </c>
      <c r="N148" s="38">
        <v>1500000</v>
      </c>
      <c r="P148" s="2" t="s">
        <v>1528</v>
      </c>
      <c r="Q148" s="38">
        <v>1400000</v>
      </c>
      <c r="V148" s="2">
        <v>8.6699999999999999E-2</v>
      </c>
      <c r="W148" s="38">
        <v>2616100</v>
      </c>
    </row>
    <row r="149" spans="4:23">
      <c r="D149" s="2">
        <v>0.624</v>
      </c>
      <c r="E149" s="38">
        <v>11500</v>
      </c>
      <c r="G149" s="2">
        <v>0.50800000000000001</v>
      </c>
      <c r="H149" s="38">
        <v>612814</v>
      </c>
      <c r="M149" s="2" t="s">
        <v>1630</v>
      </c>
      <c r="N149" s="38">
        <v>1400000</v>
      </c>
      <c r="P149" s="2" t="s">
        <v>1386</v>
      </c>
      <c r="Q149" s="38">
        <v>1361200</v>
      </c>
      <c r="V149" s="2">
        <v>8.6900000000000005E-2</v>
      </c>
      <c r="W149" s="38">
        <v>271</v>
      </c>
    </row>
    <row r="150" spans="4:23">
      <c r="D150" s="2">
        <v>0.625</v>
      </c>
      <c r="E150" s="38">
        <v>3</v>
      </c>
      <c r="G150" s="2">
        <v>0.50900000000000001</v>
      </c>
      <c r="H150" s="38">
        <v>3600006</v>
      </c>
      <c r="M150" s="2" t="s">
        <v>848</v>
      </c>
      <c r="N150" s="38">
        <v>1400000</v>
      </c>
      <c r="P150" s="2" t="s">
        <v>54</v>
      </c>
      <c r="Q150" s="38">
        <v>1311200</v>
      </c>
      <c r="V150" s="2">
        <v>8.7099999999999997E-2</v>
      </c>
      <c r="W150" s="38">
        <v>9</v>
      </c>
    </row>
    <row r="151" spans="4:23">
      <c r="D151" s="2">
        <v>0.626</v>
      </c>
      <c r="E151" s="38">
        <v>542296</v>
      </c>
      <c r="G151" s="2">
        <v>0.51100000000000001</v>
      </c>
      <c r="H151" s="38">
        <v>788520</v>
      </c>
      <c r="M151" s="2" t="s">
        <v>1527</v>
      </c>
      <c r="N151" s="38">
        <v>1400000</v>
      </c>
      <c r="P151" s="2" t="s">
        <v>164</v>
      </c>
      <c r="Q151" s="38">
        <v>1300000</v>
      </c>
      <c r="V151" s="2">
        <v>8.7400000000000005E-2</v>
      </c>
      <c r="W151" s="38">
        <v>61000</v>
      </c>
    </row>
    <row r="152" spans="4:23">
      <c r="D152" s="2">
        <v>0.628</v>
      </c>
      <c r="E152" s="38">
        <v>1093100</v>
      </c>
      <c r="G152" s="2">
        <v>0.51200000000000001</v>
      </c>
      <c r="H152" s="38">
        <v>1097100</v>
      </c>
      <c r="M152" s="2" t="s">
        <v>1338</v>
      </c>
      <c r="N152" s="38">
        <v>1400000</v>
      </c>
      <c r="P152" s="2" t="s">
        <v>782</v>
      </c>
      <c r="Q152" s="38">
        <v>1300000</v>
      </c>
      <c r="V152" s="2">
        <v>8.7599999999999997E-2</v>
      </c>
      <c r="W152" s="38">
        <v>356900</v>
      </c>
    </row>
    <row r="153" spans="4:23">
      <c r="D153" s="2">
        <v>0.629</v>
      </c>
      <c r="E153" s="38">
        <v>2830200</v>
      </c>
      <c r="G153" s="2">
        <v>0.51300000000000001</v>
      </c>
      <c r="H153" s="38">
        <v>3606724</v>
      </c>
      <c r="M153" s="2" t="s">
        <v>1148</v>
      </c>
      <c r="N153" s="38">
        <v>1400000</v>
      </c>
      <c r="P153" s="2" t="s">
        <v>124</v>
      </c>
      <c r="Q153" s="38">
        <v>1258642</v>
      </c>
      <c r="V153" s="2">
        <v>8.8099999999999998E-2</v>
      </c>
      <c r="W153" s="38">
        <v>323100</v>
      </c>
    </row>
    <row r="154" spans="4:23">
      <c r="D154" s="2">
        <v>0.63</v>
      </c>
      <c r="E154" s="38">
        <v>338015</v>
      </c>
      <c r="G154" s="2">
        <v>0.51600000000000001</v>
      </c>
      <c r="H154" s="38">
        <v>6400000</v>
      </c>
      <c r="M154" s="2" t="s">
        <v>377</v>
      </c>
      <c r="N154" s="38">
        <v>1400000</v>
      </c>
      <c r="P154" s="2" t="s">
        <v>1036</v>
      </c>
      <c r="Q154" s="38">
        <v>1200000</v>
      </c>
      <c r="V154" s="2">
        <v>8.8400000000000006E-2</v>
      </c>
      <c r="W154" s="38">
        <v>451600</v>
      </c>
    </row>
    <row r="155" spans="4:23">
      <c r="D155" s="2">
        <v>0.63100000000000001</v>
      </c>
      <c r="E155" s="38">
        <v>3600000</v>
      </c>
      <c r="G155" s="2">
        <v>0.51800000000000002</v>
      </c>
      <c r="H155" s="38">
        <v>299295</v>
      </c>
      <c r="M155" s="2" t="s">
        <v>1387</v>
      </c>
      <c r="N155" s="38">
        <v>1361200</v>
      </c>
      <c r="P155" s="2" t="s">
        <v>1267</v>
      </c>
      <c r="Q155" s="38">
        <v>1200000</v>
      </c>
      <c r="V155" s="2">
        <v>8.8700000000000001E-2</v>
      </c>
      <c r="W155" s="38">
        <v>10927200</v>
      </c>
    </row>
    <row r="156" spans="4:23">
      <c r="D156" s="2">
        <v>0.63200000000000001</v>
      </c>
      <c r="E156" s="38">
        <v>415000</v>
      </c>
      <c r="G156" s="2">
        <v>0.51900000000000002</v>
      </c>
      <c r="H156" s="38">
        <v>3635</v>
      </c>
      <c r="M156" s="2" t="s">
        <v>607</v>
      </c>
      <c r="N156" s="38">
        <v>1330300</v>
      </c>
      <c r="P156" s="2" t="s">
        <v>649</v>
      </c>
      <c r="Q156" s="38">
        <v>1200000</v>
      </c>
      <c r="V156" s="2">
        <v>8.8900000000000007E-2</v>
      </c>
      <c r="W156" s="38">
        <v>8</v>
      </c>
    </row>
    <row r="157" spans="4:23">
      <c r="D157" s="2">
        <v>0.63400000000000001</v>
      </c>
      <c r="E157" s="38">
        <v>15400</v>
      </c>
      <c r="G157" s="2">
        <v>0.52100000000000002</v>
      </c>
      <c r="H157" s="38">
        <v>411312</v>
      </c>
      <c r="M157" s="2" t="s">
        <v>561</v>
      </c>
      <c r="N157" s="38">
        <v>1300000</v>
      </c>
      <c r="P157" s="2" t="s">
        <v>1135</v>
      </c>
      <c r="Q157" s="38">
        <v>1197700</v>
      </c>
      <c r="V157" s="2">
        <v>8.8999999999999996E-2</v>
      </c>
      <c r="W157" s="38">
        <v>0</v>
      </c>
    </row>
    <row r="158" spans="4:23">
      <c r="D158" s="2">
        <v>0.63600000000000001</v>
      </c>
      <c r="E158" s="38">
        <v>185700</v>
      </c>
      <c r="G158" s="2">
        <v>0.52200000000000002</v>
      </c>
      <c r="H158" s="38">
        <v>10604697</v>
      </c>
      <c r="M158" s="2" t="s">
        <v>1641</v>
      </c>
      <c r="N158" s="38">
        <v>1300000</v>
      </c>
      <c r="P158" s="2" t="s">
        <v>130</v>
      </c>
      <c r="Q158" s="38">
        <v>1187333</v>
      </c>
      <c r="V158" s="2">
        <v>8.9200000000000002E-2</v>
      </c>
      <c r="W158" s="38">
        <v>2400000</v>
      </c>
    </row>
    <row r="159" spans="4:23">
      <c r="D159" s="2">
        <v>0.63800000000000001</v>
      </c>
      <c r="E159" s="38">
        <v>4682</v>
      </c>
      <c r="G159" s="2">
        <v>0.52300000000000002</v>
      </c>
      <c r="H159" s="38">
        <v>5900000</v>
      </c>
      <c r="M159" s="2" t="s">
        <v>55</v>
      </c>
      <c r="N159" s="38">
        <v>1300000</v>
      </c>
      <c r="P159" s="2" t="s">
        <v>78</v>
      </c>
      <c r="Q159" s="38">
        <v>1172800</v>
      </c>
      <c r="V159" s="2">
        <v>8.9399999999999993E-2</v>
      </c>
      <c r="W159" s="38">
        <v>431300</v>
      </c>
    </row>
    <row r="160" spans="4:23">
      <c r="D160" s="2">
        <v>0.63900000000000001</v>
      </c>
      <c r="E160" s="38">
        <v>0</v>
      </c>
      <c r="G160" s="2">
        <v>0.52400000000000002</v>
      </c>
      <c r="H160" s="38">
        <v>1643300</v>
      </c>
      <c r="M160" s="2" t="s">
        <v>781</v>
      </c>
      <c r="N160" s="38">
        <v>1300000</v>
      </c>
      <c r="P160" s="2" t="s">
        <v>1803</v>
      </c>
      <c r="Q160" s="38">
        <v>1100000</v>
      </c>
      <c r="V160" s="2">
        <v>8.9499999999999996E-2</v>
      </c>
      <c r="W160" s="38">
        <v>225900</v>
      </c>
    </row>
    <row r="161" spans="4:23">
      <c r="D161" s="2">
        <v>0.64</v>
      </c>
      <c r="E161" s="38">
        <v>3766500</v>
      </c>
      <c r="G161" s="2">
        <v>0.52500000000000002</v>
      </c>
      <c r="H161" s="38">
        <v>11362400</v>
      </c>
      <c r="M161" s="2" t="s">
        <v>163</v>
      </c>
      <c r="N161" s="38">
        <v>1300000</v>
      </c>
      <c r="P161" s="2" t="s">
        <v>818</v>
      </c>
      <c r="Q161" s="38">
        <v>1100000</v>
      </c>
      <c r="V161" s="2">
        <v>8.9700000000000002E-2</v>
      </c>
      <c r="W161" s="38">
        <v>3400012</v>
      </c>
    </row>
    <row r="162" spans="4:23">
      <c r="D162" s="2">
        <v>0.64100000000000001</v>
      </c>
      <c r="E162" s="38">
        <v>0</v>
      </c>
      <c r="G162" s="2">
        <v>0.52600000000000002</v>
      </c>
      <c r="H162" s="38">
        <v>5500589</v>
      </c>
      <c r="M162" s="2" t="s">
        <v>1475</v>
      </c>
      <c r="N162" s="38">
        <v>1239400</v>
      </c>
      <c r="P162" s="2" t="s">
        <v>243</v>
      </c>
      <c r="Q162" s="38">
        <v>1046100</v>
      </c>
      <c r="V162" s="2">
        <v>9.01E-2</v>
      </c>
      <c r="W162" s="38">
        <v>87200</v>
      </c>
    </row>
    <row r="163" spans="4:23">
      <c r="D163" s="2">
        <v>0.64200000000000002</v>
      </c>
      <c r="E163" s="38">
        <v>4</v>
      </c>
      <c r="G163" s="2">
        <v>0.52700000000000002</v>
      </c>
      <c r="H163" s="38">
        <v>1100000</v>
      </c>
      <c r="M163" s="2" t="s">
        <v>1266</v>
      </c>
      <c r="N163" s="38">
        <v>1200000</v>
      </c>
      <c r="P163" s="2" t="s">
        <v>541</v>
      </c>
      <c r="Q163" s="38">
        <v>1027200</v>
      </c>
      <c r="V163" s="2">
        <v>9.0200000000000002E-2</v>
      </c>
      <c r="W163" s="38">
        <v>8529</v>
      </c>
    </row>
    <row r="164" spans="4:23">
      <c r="D164" s="2">
        <v>0.64300000000000002</v>
      </c>
      <c r="E164" s="38">
        <v>0</v>
      </c>
      <c r="G164" s="2">
        <v>0.52800000000000002</v>
      </c>
      <c r="H164" s="38">
        <v>30100</v>
      </c>
      <c r="M164" s="2" t="s">
        <v>650</v>
      </c>
      <c r="N164" s="38">
        <v>1200000</v>
      </c>
      <c r="P164" s="2" t="s">
        <v>846</v>
      </c>
      <c r="Q164" s="38">
        <v>1026700</v>
      </c>
      <c r="V164" s="2">
        <v>9.0300000000000005E-2</v>
      </c>
      <c r="W164" s="38">
        <v>1800000</v>
      </c>
    </row>
    <row r="165" spans="4:23">
      <c r="D165" s="2">
        <v>0.64500000000000002</v>
      </c>
      <c r="E165" s="38">
        <v>915658</v>
      </c>
      <c r="G165" s="2">
        <v>0.52900000000000003</v>
      </c>
      <c r="H165" s="38">
        <v>6800000</v>
      </c>
      <c r="M165" s="2" t="s">
        <v>1037</v>
      </c>
      <c r="N165" s="38">
        <v>1200000</v>
      </c>
      <c r="P165" s="2" t="s">
        <v>609</v>
      </c>
      <c r="Q165" s="38">
        <v>1001152</v>
      </c>
      <c r="V165" s="2">
        <v>9.0399999999999994E-2</v>
      </c>
      <c r="W165" s="38">
        <v>19696800</v>
      </c>
    </row>
    <row r="166" spans="4:23">
      <c r="D166" s="2">
        <v>0.64600000000000002</v>
      </c>
      <c r="E166" s="38">
        <v>522389</v>
      </c>
      <c r="G166" s="2">
        <v>0.53</v>
      </c>
      <c r="H166" s="38">
        <v>826000</v>
      </c>
      <c r="M166" s="2" t="s">
        <v>77</v>
      </c>
      <c r="N166" s="38">
        <v>1172800</v>
      </c>
      <c r="P166" s="2" t="s">
        <v>969</v>
      </c>
      <c r="Q166" s="38">
        <v>1000000</v>
      </c>
      <c r="V166" s="2">
        <v>9.06E-2</v>
      </c>
      <c r="W166" s="38">
        <v>1700000</v>
      </c>
    </row>
    <row r="167" spans="4:23">
      <c r="D167" s="2">
        <v>0.64700000000000002</v>
      </c>
      <c r="E167" s="38">
        <v>146900</v>
      </c>
      <c r="G167" s="2">
        <v>0.53100000000000003</v>
      </c>
      <c r="H167" s="38">
        <v>0</v>
      </c>
      <c r="M167" s="2" t="s">
        <v>1051</v>
      </c>
      <c r="N167" s="38">
        <v>1148100</v>
      </c>
      <c r="P167" s="2" t="s">
        <v>404</v>
      </c>
      <c r="Q167" s="38">
        <v>1000000</v>
      </c>
      <c r="V167" s="2">
        <v>9.1200000000000003E-2</v>
      </c>
      <c r="W167" s="38">
        <v>291500</v>
      </c>
    </row>
    <row r="168" spans="4:23">
      <c r="D168" s="2">
        <v>0.64800000000000002</v>
      </c>
      <c r="E168" s="38">
        <v>415600</v>
      </c>
      <c r="G168" s="2">
        <v>0.53200000000000003</v>
      </c>
      <c r="H168" s="38">
        <v>233</v>
      </c>
      <c r="M168" s="2" t="s">
        <v>847</v>
      </c>
      <c r="N168" s="38">
        <v>1127000</v>
      </c>
      <c r="P168" s="2" t="s">
        <v>712</v>
      </c>
      <c r="Q168" s="38">
        <v>1000000</v>
      </c>
      <c r="V168" s="2">
        <v>9.1399999999999995E-2</v>
      </c>
      <c r="W168" s="38">
        <v>2200000</v>
      </c>
    </row>
    <row r="169" spans="4:23">
      <c r="D169" s="2">
        <v>0.64900000000000002</v>
      </c>
      <c r="E169" s="38">
        <v>21194</v>
      </c>
      <c r="G169" s="2">
        <v>0.53500000000000003</v>
      </c>
      <c r="H169" s="38">
        <v>749596</v>
      </c>
      <c r="M169" s="2" t="s">
        <v>1063</v>
      </c>
      <c r="N169" s="38">
        <v>1124700</v>
      </c>
      <c r="P169" s="2" t="s">
        <v>1196</v>
      </c>
      <c r="Q169" s="38">
        <v>1000000</v>
      </c>
      <c r="V169" s="2">
        <v>9.1499999999999998E-2</v>
      </c>
      <c r="W169" s="38">
        <v>29</v>
      </c>
    </row>
    <row r="170" spans="4:23">
      <c r="D170" s="2">
        <v>0.65</v>
      </c>
      <c r="E170" s="38">
        <v>82700</v>
      </c>
      <c r="G170" s="2">
        <v>0.53600000000000003</v>
      </c>
      <c r="H170" s="38">
        <v>106300</v>
      </c>
      <c r="M170" s="2" t="s">
        <v>819</v>
      </c>
      <c r="N170" s="38">
        <v>1100000</v>
      </c>
      <c r="P170" s="2" t="s">
        <v>856</v>
      </c>
      <c r="Q170" s="38">
        <v>1000000</v>
      </c>
      <c r="V170" s="2">
        <v>9.1600000000000001E-2</v>
      </c>
      <c r="W170" s="38">
        <v>10</v>
      </c>
    </row>
    <row r="171" spans="4:23">
      <c r="D171" s="2">
        <v>0.65100000000000002</v>
      </c>
      <c r="E171" s="38">
        <v>7658368</v>
      </c>
      <c r="G171" s="2">
        <v>0.53700000000000003</v>
      </c>
      <c r="H171" s="38">
        <v>1254200</v>
      </c>
      <c r="M171" s="2" t="s">
        <v>1804</v>
      </c>
      <c r="N171" s="38">
        <v>1100000</v>
      </c>
      <c r="P171" s="2" t="s">
        <v>639</v>
      </c>
      <c r="Q171" s="38">
        <v>963400</v>
      </c>
      <c r="V171" s="2">
        <v>9.1700000000000004E-2</v>
      </c>
      <c r="W171" s="38">
        <v>103400</v>
      </c>
    </row>
    <row r="172" spans="4:23">
      <c r="D172" s="2">
        <v>0.65200000000000002</v>
      </c>
      <c r="E172" s="38">
        <v>3800000</v>
      </c>
      <c r="G172" s="2">
        <v>0.53800000000000003</v>
      </c>
      <c r="H172" s="38">
        <v>3847400</v>
      </c>
      <c r="M172" s="2" t="s">
        <v>1136</v>
      </c>
      <c r="N172" s="38">
        <v>1100000</v>
      </c>
      <c r="P172" s="2" t="s">
        <v>821</v>
      </c>
      <c r="Q172" s="38">
        <v>944800</v>
      </c>
      <c r="V172" s="2">
        <v>9.1899999999999996E-2</v>
      </c>
      <c r="W172" s="38">
        <v>9213</v>
      </c>
    </row>
    <row r="173" spans="4:23">
      <c r="D173" s="2">
        <v>0.65300000000000002</v>
      </c>
      <c r="E173" s="38">
        <v>1735000</v>
      </c>
      <c r="G173" s="2">
        <v>0.53900000000000003</v>
      </c>
      <c r="H173" s="38">
        <v>540200</v>
      </c>
      <c r="M173" s="2" t="s">
        <v>392</v>
      </c>
      <c r="N173" s="38">
        <v>1100000</v>
      </c>
      <c r="P173" s="2" t="s">
        <v>546</v>
      </c>
      <c r="Q173" s="38">
        <v>941200</v>
      </c>
      <c r="V173" s="2">
        <v>9.1999999999999998E-2</v>
      </c>
      <c r="W173" s="38">
        <v>509800</v>
      </c>
    </row>
    <row r="174" spans="4:23">
      <c r="D174" s="2">
        <v>0.65400000000000003</v>
      </c>
      <c r="E174" s="38">
        <v>2749100</v>
      </c>
      <c r="G174" s="2">
        <v>0.54</v>
      </c>
      <c r="H174" s="38">
        <v>2014100</v>
      </c>
      <c r="M174" s="2" t="s">
        <v>244</v>
      </c>
      <c r="N174" s="38">
        <v>1046100</v>
      </c>
      <c r="P174" s="2" t="s">
        <v>140</v>
      </c>
      <c r="Q174" s="38">
        <v>930600</v>
      </c>
      <c r="V174" s="2">
        <v>9.2100000000000001E-2</v>
      </c>
      <c r="W174" s="38">
        <v>1851602</v>
      </c>
    </row>
    <row r="175" spans="4:23">
      <c r="D175" s="2">
        <v>0.65500000000000003</v>
      </c>
      <c r="E175" s="38">
        <v>166549</v>
      </c>
      <c r="G175" s="2">
        <v>0.54100000000000004</v>
      </c>
      <c r="H175" s="38">
        <v>238737</v>
      </c>
      <c r="M175" s="2" t="s">
        <v>1320</v>
      </c>
      <c r="N175" s="38">
        <v>1036200</v>
      </c>
      <c r="P175" s="2" t="s">
        <v>1211</v>
      </c>
      <c r="Q175" s="38">
        <v>922000</v>
      </c>
      <c r="V175" s="2">
        <v>9.2200000000000004E-2</v>
      </c>
      <c r="W175" s="38">
        <v>14800</v>
      </c>
    </row>
    <row r="176" spans="4:23">
      <c r="D176" s="2">
        <v>0.65600000000000003</v>
      </c>
      <c r="E176" s="38">
        <v>1700007</v>
      </c>
      <c r="G176" s="2">
        <v>0.54200000000000004</v>
      </c>
      <c r="H176" s="38">
        <v>146219</v>
      </c>
      <c r="M176" s="2" t="s">
        <v>540</v>
      </c>
      <c r="N176" s="38">
        <v>1027200</v>
      </c>
      <c r="P176" s="2" t="s">
        <v>796</v>
      </c>
      <c r="Q176" s="38">
        <v>916900</v>
      </c>
      <c r="V176" s="2">
        <v>9.2399999999999996E-2</v>
      </c>
      <c r="W176" s="38">
        <v>36000</v>
      </c>
    </row>
    <row r="177" spans="4:23">
      <c r="D177" s="2">
        <v>0.65700000000000003</v>
      </c>
      <c r="E177" s="38">
        <v>170096</v>
      </c>
      <c r="G177" s="2">
        <v>0.54300000000000004</v>
      </c>
      <c r="H177" s="38">
        <v>53702</v>
      </c>
      <c r="M177" s="2" t="s">
        <v>855</v>
      </c>
      <c r="N177" s="38">
        <v>1000000</v>
      </c>
      <c r="P177" s="2" t="s">
        <v>894</v>
      </c>
      <c r="Q177" s="38">
        <v>914700</v>
      </c>
      <c r="V177" s="2">
        <v>9.2600000000000002E-2</v>
      </c>
      <c r="W177" s="38">
        <v>1633851</v>
      </c>
    </row>
    <row r="178" spans="4:23">
      <c r="D178" s="2">
        <v>0.65800000000000003</v>
      </c>
      <c r="E178" s="38">
        <v>33128</v>
      </c>
      <c r="G178" s="2">
        <v>0.54400000000000004</v>
      </c>
      <c r="H178" s="38">
        <v>61</v>
      </c>
      <c r="M178" s="2" t="s">
        <v>403</v>
      </c>
      <c r="N178" s="38">
        <v>1000000</v>
      </c>
      <c r="P178" s="2" t="s">
        <v>1115</v>
      </c>
      <c r="Q178" s="38">
        <v>891900</v>
      </c>
      <c r="V178" s="2">
        <v>9.2700000000000005E-2</v>
      </c>
      <c r="W178" s="38">
        <v>3000000</v>
      </c>
    </row>
    <row r="179" spans="4:23">
      <c r="D179" s="2">
        <v>0.65900000000000003</v>
      </c>
      <c r="E179" s="38">
        <v>529528</v>
      </c>
      <c r="G179" s="2">
        <v>0.54600000000000004</v>
      </c>
      <c r="H179" s="38">
        <v>2555</v>
      </c>
      <c r="M179" s="2" t="s">
        <v>1197</v>
      </c>
      <c r="N179" s="38">
        <v>1000000</v>
      </c>
      <c r="P179" s="2" t="s">
        <v>1151</v>
      </c>
      <c r="Q179" s="38">
        <v>875771</v>
      </c>
      <c r="V179" s="2">
        <v>9.2799999999999994E-2</v>
      </c>
      <c r="W179" s="38">
        <v>1000000</v>
      </c>
    </row>
    <row r="180" spans="4:23">
      <c r="D180" s="2">
        <v>0.66</v>
      </c>
      <c r="E180" s="38">
        <v>19553</v>
      </c>
      <c r="G180" s="2">
        <v>0.54700000000000004</v>
      </c>
      <c r="H180" s="38">
        <v>2536000</v>
      </c>
      <c r="M180" s="2" t="s">
        <v>968</v>
      </c>
      <c r="N180" s="38">
        <v>1000000</v>
      </c>
      <c r="P180" s="2" t="s">
        <v>518</v>
      </c>
      <c r="Q180" s="38">
        <v>864200</v>
      </c>
      <c r="V180" s="2">
        <v>9.2999999999999999E-2</v>
      </c>
      <c r="W180" s="38">
        <v>39</v>
      </c>
    </row>
    <row r="181" spans="4:23">
      <c r="D181" s="2">
        <v>0.66200000000000003</v>
      </c>
      <c r="E181" s="38">
        <v>2621400</v>
      </c>
      <c r="G181" s="2">
        <v>0.54800000000000004</v>
      </c>
      <c r="H181" s="38">
        <v>12200000</v>
      </c>
      <c r="M181" s="2" t="s">
        <v>1213</v>
      </c>
      <c r="N181" s="38">
        <v>1000000</v>
      </c>
      <c r="P181" s="2" t="s">
        <v>989</v>
      </c>
      <c r="Q181" s="38">
        <v>855500</v>
      </c>
      <c r="V181" s="2">
        <v>9.3100000000000002E-2</v>
      </c>
      <c r="W181" s="38">
        <v>170700</v>
      </c>
    </row>
    <row r="182" spans="4:23">
      <c r="D182" s="2">
        <v>0.66400000000000003</v>
      </c>
      <c r="E182" s="38">
        <v>1617861</v>
      </c>
      <c r="G182" s="2">
        <v>0.55200000000000005</v>
      </c>
      <c r="H182" s="38">
        <v>151200</v>
      </c>
      <c r="M182" s="2" t="s">
        <v>713</v>
      </c>
      <c r="N182" s="38">
        <v>1000000</v>
      </c>
      <c r="P182" s="2" t="s">
        <v>1067</v>
      </c>
      <c r="Q182" s="38">
        <v>841900</v>
      </c>
      <c r="V182" s="2">
        <v>9.3200000000000005E-2</v>
      </c>
      <c r="W182" s="38">
        <v>2600000</v>
      </c>
    </row>
    <row r="183" spans="4:23">
      <c r="D183" s="2">
        <v>0.66500000000000004</v>
      </c>
      <c r="E183" s="38">
        <v>384723</v>
      </c>
      <c r="G183" s="2">
        <v>0.55300000000000005</v>
      </c>
      <c r="H183" s="38">
        <v>4200000</v>
      </c>
      <c r="M183" s="2" t="s">
        <v>1835</v>
      </c>
      <c r="N183" s="38">
        <v>1000000</v>
      </c>
      <c r="P183" s="2" t="s">
        <v>319</v>
      </c>
      <c r="Q183" s="38">
        <v>826853</v>
      </c>
      <c r="V183" s="2">
        <v>9.35E-2</v>
      </c>
      <c r="W183" s="38">
        <v>42100</v>
      </c>
    </row>
    <row r="184" spans="4:23">
      <c r="D184" s="2">
        <v>0.66600000000000004</v>
      </c>
      <c r="E184" s="38">
        <v>1435</v>
      </c>
      <c r="G184" s="2">
        <v>0.55400000000000005</v>
      </c>
      <c r="H184" s="38">
        <v>5676000</v>
      </c>
      <c r="M184" s="2" t="s">
        <v>1425</v>
      </c>
      <c r="N184" s="38">
        <v>1000000</v>
      </c>
      <c r="P184" s="2" t="s">
        <v>133</v>
      </c>
      <c r="Q184" s="38">
        <v>817862</v>
      </c>
      <c r="V184" s="2">
        <v>9.3600000000000003E-2</v>
      </c>
      <c r="W184" s="38">
        <v>5358100</v>
      </c>
    </row>
    <row r="185" spans="4:23">
      <c r="D185" s="2">
        <v>0.66700000000000004</v>
      </c>
      <c r="E185" s="38">
        <v>355500</v>
      </c>
      <c r="G185" s="2">
        <v>0.55500000000000005</v>
      </c>
      <c r="H185" s="38">
        <v>2700000</v>
      </c>
      <c r="M185" s="2" t="s">
        <v>1227</v>
      </c>
      <c r="N185" s="38">
        <v>972200</v>
      </c>
      <c r="P185" s="2" t="s">
        <v>536</v>
      </c>
      <c r="Q185" s="38">
        <v>788893</v>
      </c>
      <c r="V185" s="2">
        <v>9.3700000000000006E-2</v>
      </c>
      <c r="W185" s="38">
        <v>12</v>
      </c>
    </row>
    <row r="186" spans="4:23">
      <c r="D186" s="2">
        <v>0.66800000000000004</v>
      </c>
      <c r="E186" s="38">
        <v>1056</v>
      </c>
      <c r="G186" s="2">
        <v>0.55600000000000005</v>
      </c>
      <c r="H186" s="38">
        <v>16400554</v>
      </c>
      <c r="M186" s="2" t="s">
        <v>1032</v>
      </c>
      <c r="N186" s="38">
        <v>948400</v>
      </c>
      <c r="P186" s="2" t="s">
        <v>1456</v>
      </c>
      <c r="Q186" s="38">
        <v>777300</v>
      </c>
      <c r="V186" s="2">
        <v>9.3799999999999994E-2</v>
      </c>
      <c r="W186" s="38">
        <v>1704284</v>
      </c>
    </row>
    <row r="187" spans="4:23">
      <c r="D187" s="2">
        <v>0.66900000000000004</v>
      </c>
      <c r="E187" s="38">
        <v>28286</v>
      </c>
      <c r="G187" s="2">
        <v>0.55800000000000005</v>
      </c>
      <c r="H187" s="38">
        <v>6800</v>
      </c>
      <c r="M187" s="2" t="s">
        <v>820</v>
      </c>
      <c r="N187" s="38">
        <v>944800</v>
      </c>
      <c r="P187" s="2" t="s">
        <v>715</v>
      </c>
      <c r="Q187" s="38">
        <v>766300</v>
      </c>
      <c r="V187" s="2">
        <v>9.3899999999999997E-2</v>
      </c>
      <c r="W187" s="38">
        <v>319</v>
      </c>
    </row>
    <row r="188" spans="4:23">
      <c r="D188" s="2">
        <v>0.67</v>
      </c>
      <c r="E188" s="38">
        <v>51</v>
      </c>
      <c r="G188" s="2">
        <v>0.55900000000000005</v>
      </c>
      <c r="H188" s="38">
        <v>790500</v>
      </c>
      <c r="M188" s="2" t="s">
        <v>547</v>
      </c>
      <c r="N188" s="38">
        <v>941200</v>
      </c>
      <c r="P188" s="2" t="s">
        <v>80</v>
      </c>
      <c r="Q188" s="38">
        <v>747400</v>
      </c>
      <c r="V188" s="2">
        <v>9.4E-2</v>
      </c>
      <c r="W188" s="38">
        <v>170700</v>
      </c>
    </row>
    <row r="189" spans="4:23">
      <c r="D189" s="2">
        <v>0.67100000000000004</v>
      </c>
      <c r="E189" s="38">
        <v>4700000</v>
      </c>
      <c r="G189" s="2">
        <v>0.56100000000000005</v>
      </c>
      <c r="H189" s="38">
        <v>5600000</v>
      </c>
      <c r="M189" s="2" t="s">
        <v>139</v>
      </c>
      <c r="N189" s="38">
        <v>930615</v>
      </c>
      <c r="P189" s="2" t="s">
        <v>261</v>
      </c>
      <c r="Q189" s="38">
        <v>746700</v>
      </c>
      <c r="V189" s="2">
        <v>9.4299999999999995E-2</v>
      </c>
      <c r="W189" s="38">
        <v>0</v>
      </c>
    </row>
    <row r="190" spans="4:23">
      <c r="D190" s="2">
        <v>0.67200000000000004</v>
      </c>
      <c r="E190" s="38">
        <v>877</v>
      </c>
      <c r="G190" s="2">
        <v>0.56299999999999994</v>
      </c>
      <c r="H190" s="38">
        <v>668600</v>
      </c>
      <c r="M190" s="2" t="s">
        <v>797</v>
      </c>
      <c r="N190" s="38">
        <v>916900</v>
      </c>
      <c r="P190" s="2" t="s">
        <v>286</v>
      </c>
      <c r="Q190" s="38">
        <v>730731</v>
      </c>
      <c r="V190" s="2">
        <v>9.4399999999999998E-2</v>
      </c>
      <c r="W190" s="38">
        <v>638000</v>
      </c>
    </row>
    <row r="191" spans="4:23">
      <c r="D191" s="2">
        <v>0.67300000000000004</v>
      </c>
      <c r="E191" s="38">
        <v>1</v>
      </c>
      <c r="G191" s="2">
        <v>0.56399999999999995</v>
      </c>
      <c r="H191" s="38">
        <v>61000</v>
      </c>
      <c r="M191" s="2" t="s">
        <v>893</v>
      </c>
      <c r="N191" s="38">
        <v>914700</v>
      </c>
      <c r="P191" s="2" t="s">
        <v>459</v>
      </c>
      <c r="Q191" s="38">
        <v>728100</v>
      </c>
      <c r="V191" s="2">
        <v>9.4600000000000004E-2</v>
      </c>
      <c r="W191" s="38">
        <v>384541</v>
      </c>
    </row>
    <row r="192" spans="4:23">
      <c r="D192" s="2">
        <v>0.67400000000000004</v>
      </c>
      <c r="E192" s="38">
        <v>729587</v>
      </c>
      <c r="G192" s="2">
        <v>0.56799999999999995</v>
      </c>
      <c r="H192" s="38">
        <v>1598400</v>
      </c>
      <c r="M192" s="2" t="s">
        <v>1369</v>
      </c>
      <c r="N192" s="38">
        <v>909700</v>
      </c>
      <c r="P192" s="2" t="s">
        <v>1042</v>
      </c>
      <c r="Q192" s="38">
        <v>728100</v>
      </c>
      <c r="V192" s="2">
        <v>9.4799999999999995E-2</v>
      </c>
      <c r="W192" s="38">
        <v>42443</v>
      </c>
    </row>
    <row r="193" spans="4:23">
      <c r="D193" s="2">
        <v>0.67500000000000004</v>
      </c>
      <c r="E193" s="38">
        <v>572</v>
      </c>
      <c r="G193" s="2">
        <v>0.57299999999999995</v>
      </c>
      <c r="H193" s="38">
        <v>17610261</v>
      </c>
      <c r="M193" s="2" t="s">
        <v>1116</v>
      </c>
      <c r="N193" s="38">
        <v>891900</v>
      </c>
      <c r="P193" s="2" t="s">
        <v>1653</v>
      </c>
      <c r="Q193" s="38">
        <v>725400</v>
      </c>
      <c r="V193" s="2">
        <v>9.4899999999999998E-2</v>
      </c>
      <c r="W193" s="38">
        <v>3500000</v>
      </c>
    </row>
    <row r="194" spans="4:23">
      <c r="D194" s="2">
        <v>0.67600000000000005</v>
      </c>
      <c r="E194" s="38">
        <v>1408616</v>
      </c>
      <c r="G194" s="2">
        <v>0.57399999999999995</v>
      </c>
      <c r="H194" s="38">
        <v>6796</v>
      </c>
      <c r="M194" s="2" t="s">
        <v>1198</v>
      </c>
      <c r="N194" s="38">
        <v>875500</v>
      </c>
      <c r="P194" s="2" t="s">
        <v>1161</v>
      </c>
      <c r="Q194" s="38">
        <v>722400</v>
      </c>
      <c r="V194" s="2">
        <v>9.5100000000000004E-2</v>
      </c>
      <c r="W194" s="38">
        <v>2000000</v>
      </c>
    </row>
    <row r="195" spans="4:23">
      <c r="D195" s="2">
        <v>0.67700000000000005</v>
      </c>
      <c r="E195" s="38">
        <v>32</v>
      </c>
      <c r="G195" s="2">
        <v>0.57499999999999996</v>
      </c>
      <c r="H195" s="38">
        <v>18700</v>
      </c>
      <c r="M195" s="2" t="s">
        <v>1464</v>
      </c>
      <c r="N195" s="38">
        <v>867200</v>
      </c>
      <c r="P195" s="2" t="s">
        <v>1468</v>
      </c>
      <c r="Q195" s="38">
        <v>704600</v>
      </c>
      <c r="V195" s="2">
        <v>9.5200000000000007E-2</v>
      </c>
      <c r="W195" s="38">
        <v>1899400</v>
      </c>
    </row>
    <row r="196" spans="4:23">
      <c r="D196" s="2">
        <v>0.67900000000000005</v>
      </c>
      <c r="E196" s="38">
        <v>47400</v>
      </c>
      <c r="G196" s="2">
        <v>0.57599999999999996</v>
      </c>
      <c r="H196" s="38">
        <v>0</v>
      </c>
      <c r="M196" s="2" t="s">
        <v>519</v>
      </c>
      <c r="N196" s="38">
        <v>864200</v>
      </c>
      <c r="P196" s="2" t="s">
        <v>251</v>
      </c>
      <c r="Q196" s="38">
        <v>702245</v>
      </c>
      <c r="V196" s="2">
        <v>9.5299999999999996E-2</v>
      </c>
      <c r="W196" s="38">
        <v>525600</v>
      </c>
    </row>
    <row r="197" spans="4:23">
      <c r="D197" s="2">
        <v>0.68</v>
      </c>
      <c r="E197" s="38">
        <v>8944079</v>
      </c>
      <c r="G197" s="2">
        <v>0.57699999999999996</v>
      </c>
      <c r="H197" s="38">
        <v>149800</v>
      </c>
      <c r="M197" s="2" t="s">
        <v>1729</v>
      </c>
      <c r="N197" s="38">
        <v>863100</v>
      </c>
      <c r="P197" s="2" t="s">
        <v>1833</v>
      </c>
      <c r="Q197" s="38">
        <v>682400</v>
      </c>
      <c r="V197" s="2">
        <v>9.5399999999999999E-2</v>
      </c>
      <c r="W197" s="38">
        <v>7</v>
      </c>
    </row>
    <row r="198" spans="4:23">
      <c r="D198" s="2">
        <v>0.68100000000000005</v>
      </c>
      <c r="E198" s="38">
        <v>8</v>
      </c>
      <c r="G198" s="2">
        <v>0.57799999999999996</v>
      </c>
      <c r="H198" s="38">
        <v>859500</v>
      </c>
      <c r="M198" s="2" t="s">
        <v>988</v>
      </c>
      <c r="N198" s="38">
        <v>855500</v>
      </c>
      <c r="P198" s="2" t="s">
        <v>1494</v>
      </c>
      <c r="Q198" s="38">
        <v>658300</v>
      </c>
      <c r="V198" s="2">
        <v>9.5699999999999993E-2</v>
      </c>
      <c r="W198" s="38">
        <v>11372</v>
      </c>
    </row>
    <row r="199" spans="4:23">
      <c r="D199" s="2">
        <v>0.68200000000000005</v>
      </c>
      <c r="E199" s="38">
        <v>423400</v>
      </c>
      <c r="G199" s="2">
        <v>0.57899999999999996</v>
      </c>
      <c r="H199" s="38">
        <v>108000</v>
      </c>
      <c r="M199" s="2" t="s">
        <v>1066</v>
      </c>
      <c r="N199" s="38">
        <v>841900</v>
      </c>
      <c r="P199" s="2" t="s">
        <v>1072</v>
      </c>
      <c r="Q199" s="38">
        <v>653100</v>
      </c>
      <c r="V199" s="2">
        <v>9.6000000000000002E-2</v>
      </c>
      <c r="W199" s="38">
        <v>28200000</v>
      </c>
    </row>
    <row r="200" spans="4:23">
      <c r="D200" s="2">
        <v>0.68300000000000005</v>
      </c>
      <c r="E200" s="38">
        <v>1</v>
      </c>
      <c r="G200" s="2">
        <v>0.57999999999999996</v>
      </c>
      <c r="H200" s="38">
        <v>192900</v>
      </c>
      <c r="M200" s="2" t="s">
        <v>534</v>
      </c>
      <c r="N200" s="38">
        <v>826000</v>
      </c>
      <c r="P200" s="2" t="s">
        <v>1417</v>
      </c>
      <c r="Q200" s="38">
        <v>650300</v>
      </c>
      <c r="V200" s="2">
        <v>9.6299999999999997E-2</v>
      </c>
      <c r="W200" s="38">
        <v>329800</v>
      </c>
    </row>
    <row r="201" spans="4:23">
      <c r="D201" s="2">
        <v>0.68400000000000005</v>
      </c>
      <c r="E201" s="38">
        <v>105300</v>
      </c>
      <c r="G201" s="2">
        <v>0.58099999999999996</v>
      </c>
      <c r="H201" s="38">
        <v>669800</v>
      </c>
      <c r="M201" s="2" t="s">
        <v>1331</v>
      </c>
      <c r="N201" s="38">
        <v>825200</v>
      </c>
      <c r="P201" s="2" t="s">
        <v>1511</v>
      </c>
      <c r="Q201" s="38">
        <v>645600</v>
      </c>
      <c r="V201" s="2">
        <v>9.64E-2</v>
      </c>
      <c r="W201" s="38">
        <v>1300000</v>
      </c>
    </row>
    <row r="202" spans="4:23">
      <c r="D202" s="2">
        <v>0.68500000000000005</v>
      </c>
      <c r="E202" s="38">
        <v>120432</v>
      </c>
      <c r="G202" s="2">
        <v>0.58199999999999996</v>
      </c>
      <c r="H202" s="38">
        <v>728100</v>
      </c>
      <c r="M202" s="2" t="s">
        <v>132</v>
      </c>
      <c r="N202" s="38">
        <v>790500</v>
      </c>
      <c r="P202" s="2" t="s">
        <v>1662</v>
      </c>
      <c r="Q202" s="38">
        <v>644600</v>
      </c>
      <c r="V202" s="2">
        <v>9.6500000000000002E-2</v>
      </c>
      <c r="W202" s="38">
        <v>3278000</v>
      </c>
    </row>
    <row r="203" spans="4:23">
      <c r="D203" s="2">
        <v>0.68600000000000005</v>
      </c>
      <c r="E203" s="38">
        <v>1937149</v>
      </c>
      <c r="G203" s="2">
        <v>0.58299999999999996</v>
      </c>
      <c r="H203" s="38">
        <v>312400</v>
      </c>
      <c r="M203" s="2" t="s">
        <v>535</v>
      </c>
      <c r="N203" s="38">
        <v>788800</v>
      </c>
      <c r="P203" s="2" t="s">
        <v>1787</v>
      </c>
      <c r="Q203" s="38">
        <v>638000</v>
      </c>
      <c r="V203" s="2">
        <v>9.6699999999999994E-2</v>
      </c>
      <c r="W203" s="38">
        <v>10</v>
      </c>
    </row>
    <row r="204" spans="4:23">
      <c r="D204" s="2">
        <v>0.68700000000000006</v>
      </c>
      <c r="E204" s="38">
        <v>8935</v>
      </c>
      <c r="G204" s="2">
        <v>0.58499999999999996</v>
      </c>
      <c r="H204" s="38">
        <v>457700</v>
      </c>
      <c r="M204" s="2" t="s">
        <v>1616</v>
      </c>
      <c r="N204" s="38">
        <v>788500</v>
      </c>
      <c r="P204" s="2" t="s">
        <v>1165</v>
      </c>
      <c r="Q204" s="38">
        <v>624600</v>
      </c>
      <c r="V204" s="2">
        <v>9.6799999999999997E-2</v>
      </c>
      <c r="W204" s="38">
        <v>3002</v>
      </c>
    </row>
    <row r="205" spans="4:23">
      <c r="D205" s="2">
        <v>0.68799999999999994</v>
      </c>
      <c r="E205" s="38">
        <v>1853912</v>
      </c>
      <c r="G205" s="2">
        <v>0.58599999999999997</v>
      </c>
      <c r="H205" s="38">
        <v>2812222</v>
      </c>
      <c r="M205" s="2" t="s">
        <v>554</v>
      </c>
      <c r="N205" s="38">
        <v>783300</v>
      </c>
      <c r="P205" s="2" t="s">
        <v>447</v>
      </c>
      <c r="Q205" s="38">
        <v>620700</v>
      </c>
      <c r="V205" s="2">
        <v>9.7000000000000003E-2</v>
      </c>
      <c r="W205" s="38">
        <v>404000</v>
      </c>
    </row>
    <row r="206" spans="4:23">
      <c r="D206" s="2">
        <v>0.68899999999999995</v>
      </c>
      <c r="E206" s="38">
        <v>6981664</v>
      </c>
      <c r="G206" s="2">
        <v>0.58799999999999997</v>
      </c>
      <c r="H206" s="38">
        <v>75500</v>
      </c>
      <c r="M206" s="2" t="s">
        <v>1688</v>
      </c>
      <c r="N206" s="38">
        <v>780300</v>
      </c>
      <c r="P206" s="2" t="s">
        <v>322</v>
      </c>
      <c r="Q206" s="38">
        <v>616200</v>
      </c>
      <c r="V206" s="2">
        <v>9.7199999999999995E-2</v>
      </c>
      <c r="W206" s="38">
        <v>1</v>
      </c>
    </row>
    <row r="207" spans="4:23">
      <c r="D207" s="2">
        <v>0.69</v>
      </c>
      <c r="E207" s="38">
        <v>3326262</v>
      </c>
      <c r="G207" s="2">
        <v>0.58899999999999997</v>
      </c>
      <c r="H207" s="38">
        <v>229100</v>
      </c>
      <c r="M207" s="2" t="s">
        <v>1107</v>
      </c>
      <c r="N207" s="38">
        <v>778000</v>
      </c>
      <c r="P207" s="2" t="s">
        <v>1422</v>
      </c>
      <c r="Q207" s="38">
        <v>615600</v>
      </c>
      <c r="V207" s="2">
        <v>9.7500000000000003E-2</v>
      </c>
      <c r="W207" s="38">
        <v>20</v>
      </c>
    </row>
    <row r="208" spans="4:23">
      <c r="D208" s="2">
        <v>0.69099999999999995</v>
      </c>
      <c r="E208" s="38">
        <v>3553500</v>
      </c>
      <c r="G208" s="2">
        <v>0.59</v>
      </c>
      <c r="H208" s="38">
        <v>1647500</v>
      </c>
      <c r="M208" s="2" t="s">
        <v>1457</v>
      </c>
      <c r="N208" s="38">
        <v>777300</v>
      </c>
      <c r="P208" s="2" t="s">
        <v>150</v>
      </c>
      <c r="Q208" s="38">
        <v>611500</v>
      </c>
      <c r="V208" s="2">
        <v>9.7799999999999998E-2</v>
      </c>
      <c r="W208" s="38">
        <v>875510</v>
      </c>
    </row>
    <row r="209" spans="4:23">
      <c r="D209" s="2">
        <v>0.69199999999999995</v>
      </c>
      <c r="E209" s="38">
        <v>5</v>
      </c>
      <c r="G209" s="2">
        <v>0.59099999999999997</v>
      </c>
      <c r="H209" s="38">
        <v>16600000</v>
      </c>
      <c r="M209" s="2" t="s">
        <v>716</v>
      </c>
      <c r="N209" s="38">
        <v>766300</v>
      </c>
      <c r="P209" s="2" t="s">
        <v>1806</v>
      </c>
      <c r="Q209" s="38">
        <v>607800</v>
      </c>
      <c r="V209" s="2">
        <v>9.7900000000000001E-2</v>
      </c>
      <c r="W209" s="38">
        <v>169000</v>
      </c>
    </row>
    <row r="210" spans="4:23">
      <c r="D210" s="2">
        <v>0.69399999999999995</v>
      </c>
      <c r="E210" s="38">
        <v>103</v>
      </c>
      <c r="G210" s="2">
        <v>0.59199999999999997</v>
      </c>
      <c r="H210" s="38">
        <v>2300051</v>
      </c>
      <c r="M210" s="2" t="s">
        <v>81</v>
      </c>
      <c r="N210" s="38">
        <v>747400</v>
      </c>
      <c r="P210" s="2" t="s">
        <v>810</v>
      </c>
      <c r="Q210" s="38">
        <v>601830</v>
      </c>
      <c r="V210" s="2">
        <v>9.8100000000000007E-2</v>
      </c>
      <c r="W210" s="38">
        <v>12100</v>
      </c>
    </row>
    <row r="211" spans="4:23">
      <c r="D211" s="2">
        <v>0.69499999999999995</v>
      </c>
      <c r="E211" s="38">
        <v>5744300</v>
      </c>
      <c r="G211" s="2">
        <v>0.59399999999999997</v>
      </c>
      <c r="H211" s="38">
        <v>779400</v>
      </c>
      <c r="M211" s="2" t="s">
        <v>671</v>
      </c>
      <c r="N211" s="38">
        <v>747300</v>
      </c>
      <c r="P211" s="2" t="s">
        <v>629</v>
      </c>
      <c r="Q211" s="38">
        <v>598400</v>
      </c>
      <c r="V211" s="2">
        <v>9.8199999999999996E-2</v>
      </c>
      <c r="W211" s="38">
        <v>214400</v>
      </c>
    </row>
    <row r="212" spans="4:23">
      <c r="D212" s="2">
        <v>0.69599999999999995</v>
      </c>
      <c r="E212" s="38">
        <v>984502</v>
      </c>
      <c r="G212" s="2">
        <v>0.59499999999999997</v>
      </c>
      <c r="H212" s="38">
        <v>1431470</v>
      </c>
      <c r="M212" s="2" t="s">
        <v>260</v>
      </c>
      <c r="N212" s="38">
        <v>746700</v>
      </c>
      <c r="P212" s="2" t="s">
        <v>1442</v>
      </c>
      <c r="Q212" s="38">
        <v>584200</v>
      </c>
      <c r="V212" s="2">
        <v>9.8699999999999996E-2</v>
      </c>
      <c r="W212" s="38">
        <v>57200</v>
      </c>
    </row>
    <row r="213" spans="4:23">
      <c r="D213" s="2">
        <v>0.69699999999999995</v>
      </c>
      <c r="E213" s="38">
        <v>1</v>
      </c>
      <c r="G213" s="2">
        <v>0.59699999999999998</v>
      </c>
      <c r="H213" s="38">
        <v>1819700</v>
      </c>
      <c r="M213" s="2" t="s">
        <v>1383</v>
      </c>
      <c r="N213" s="38">
        <v>742300</v>
      </c>
      <c r="P213" s="2" t="s">
        <v>1092</v>
      </c>
      <c r="Q213" s="38">
        <v>561700</v>
      </c>
      <c r="V213" s="2">
        <v>9.8900000000000002E-2</v>
      </c>
      <c r="W213" s="38">
        <v>1644700</v>
      </c>
    </row>
    <row r="214" spans="4:23">
      <c r="D214" s="2">
        <v>0.69799999999999995</v>
      </c>
      <c r="E214" s="38">
        <v>149512</v>
      </c>
      <c r="G214" s="2">
        <v>0.59899999999999998</v>
      </c>
      <c r="H214" s="38">
        <v>855500</v>
      </c>
      <c r="M214" s="2" t="s">
        <v>1043</v>
      </c>
      <c r="N214" s="38">
        <v>728100</v>
      </c>
      <c r="P214" s="2" t="s">
        <v>1077</v>
      </c>
      <c r="Q214" s="38">
        <v>555600</v>
      </c>
      <c r="V214" s="2">
        <v>9.9599999999999994E-2</v>
      </c>
      <c r="W214" s="38">
        <v>13895300</v>
      </c>
    </row>
    <row r="215" spans="4:23">
      <c r="D215" s="2">
        <v>0.69899999999999995</v>
      </c>
      <c r="E215" s="38">
        <v>7509600</v>
      </c>
      <c r="G215" s="2">
        <v>0.60099999999999998</v>
      </c>
      <c r="H215" s="38">
        <v>3760200</v>
      </c>
      <c r="M215" s="2" t="s">
        <v>460</v>
      </c>
      <c r="N215" s="38">
        <v>728100</v>
      </c>
      <c r="P215" s="2" t="s">
        <v>437</v>
      </c>
      <c r="Q215" s="38">
        <v>553400</v>
      </c>
      <c r="V215" s="2">
        <v>0.1</v>
      </c>
      <c r="W215" s="38">
        <v>2403819</v>
      </c>
    </row>
    <row r="216" spans="4:23">
      <c r="D216" s="2">
        <v>0.7</v>
      </c>
      <c r="E216" s="38">
        <v>16019100</v>
      </c>
      <c r="G216" s="2">
        <v>0.60199999999999998</v>
      </c>
      <c r="H216" s="38">
        <v>111</v>
      </c>
      <c r="M216" s="2" t="s">
        <v>1652</v>
      </c>
      <c r="N216" s="38">
        <v>725400</v>
      </c>
      <c r="P216" s="2" t="s">
        <v>679</v>
      </c>
      <c r="Q216" s="38">
        <v>541800</v>
      </c>
      <c r="V216" s="2">
        <v>0.10100000000000001</v>
      </c>
      <c r="W216" s="38">
        <v>7139305</v>
      </c>
    </row>
    <row r="217" spans="4:23">
      <c r="D217" s="2">
        <v>0.70099999999999996</v>
      </c>
      <c r="E217" s="38">
        <v>4200002</v>
      </c>
      <c r="G217" s="2">
        <v>0.60299999999999998</v>
      </c>
      <c r="H217" s="38">
        <v>344642</v>
      </c>
      <c r="M217" s="2" t="s">
        <v>1160</v>
      </c>
      <c r="N217" s="38">
        <v>722400</v>
      </c>
      <c r="P217" s="2" t="s">
        <v>1466</v>
      </c>
      <c r="Q217" s="38">
        <v>537500</v>
      </c>
      <c r="V217" s="2">
        <v>0.10199999999999999</v>
      </c>
      <c r="W217" s="38">
        <v>6284767</v>
      </c>
    </row>
    <row r="218" spans="4:23">
      <c r="D218" s="2">
        <v>0.70199999999999996</v>
      </c>
      <c r="E218" s="38">
        <v>2338300</v>
      </c>
      <c r="G218" s="2">
        <v>0.60399999999999998</v>
      </c>
      <c r="H218" s="38">
        <v>1280700</v>
      </c>
      <c r="M218" s="2" t="s">
        <v>1307</v>
      </c>
      <c r="N218" s="38">
        <v>720800</v>
      </c>
      <c r="P218" s="2" t="s">
        <v>978</v>
      </c>
      <c r="Q218" s="38">
        <v>531900</v>
      </c>
      <c r="V218" s="2">
        <v>0.10299999999999999</v>
      </c>
      <c r="W218" s="38">
        <v>113391</v>
      </c>
    </row>
    <row r="219" spans="4:23">
      <c r="D219" s="2">
        <v>0.70299999999999996</v>
      </c>
      <c r="E219" s="38">
        <v>720300</v>
      </c>
      <c r="G219" s="2">
        <v>0.60499999999999998</v>
      </c>
      <c r="H219" s="38">
        <v>11783300</v>
      </c>
      <c r="M219" s="2" t="s">
        <v>1467</v>
      </c>
      <c r="N219" s="38">
        <v>704600</v>
      </c>
      <c r="P219" s="2" t="s">
        <v>229</v>
      </c>
      <c r="Q219" s="38">
        <v>531800</v>
      </c>
      <c r="V219" s="2">
        <v>0.104</v>
      </c>
      <c r="W219" s="38">
        <v>226871</v>
      </c>
    </row>
    <row r="220" spans="4:23">
      <c r="D220" s="2">
        <v>0.70399999999999996</v>
      </c>
      <c r="E220" s="38">
        <v>0</v>
      </c>
      <c r="G220" s="2">
        <v>0.60699999999999998</v>
      </c>
      <c r="H220" s="38">
        <v>50100</v>
      </c>
      <c r="M220" s="2" t="s">
        <v>724</v>
      </c>
      <c r="N220" s="38">
        <v>689100</v>
      </c>
      <c r="P220" s="2" t="s">
        <v>1030</v>
      </c>
      <c r="Q220" s="38">
        <v>525600</v>
      </c>
      <c r="V220" s="2">
        <v>0.105</v>
      </c>
      <c r="W220" s="38">
        <v>5338852</v>
      </c>
    </row>
    <row r="221" spans="4:23">
      <c r="D221" s="2">
        <v>0.70499999999999996</v>
      </c>
      <c r="E221" s="38">
        <v>2600000</v>
      </c>
      <c r="G221" s="2">
        <v>0.60899999999999999</v>
      </c>
      <c r="H221" s="38">
        <v>2005672</v>
      </c>
      <c r="M221" s="2" t="s">
        <v>1834</v>
      </c>
      <c r="N221" s="38">
        <v>682400</v>
      </c>
      <c r="P221" s="2" t="s">
        <v>1049</v>
      </c>
      <c r="Q221" s="38">
        <v>521400</v>
      </c>
      <c r="V221" s="2">
        <v>0.106</v>
      </c>
      <c r="W221" s="38">
        <v>5291368</v>
      </c>
    </row>
    <row r="222" spans="4:23">
      <c r="D222" s="2">
        <v>0.70599999999999996</v>
      </c>
      <c r="E222" s="38">
        <v>1498700</v>
      </c>
      <c r="G222" s="2">
        <v>0.61</v>
      </c>
      <c r="H222" s="38">
        <v>941233</v>
      </c>
      <c r="M222" s="2" t="s">
        <v>1083</v>
      </c>
      <c r="N222" s="38">
        <v>669800</v>
      </c>
      <c r="P222" s="2" t="s">
        <v>1040</v>
      </c>
      <c r="Q222" s="38">
        <v>521000</v>
      </c>
      <c r="V222" s="2">
        <v>0.107</v>
      </c>
      <c r="W222" s="38">
        <v>6043152</v>
      </c>
    </row>
    <row r="223" spans="4:23">
      <c r="D223" s="2">
        <v>0.70699999999999996</v>
      </c>
      <c r="E223" s="38">
        <v>1158512</v>
      </c>
      <c r="G223" s="2">
        <v>0.61099999999999999</v>
      </c>
      <c r="H223" s="38">
        <v>2893500</v>
      </c>
      <c r="M223" s="2" t="s">
        <v>1493</v>
      </c>
      <c r="N223" s="38">
        <v>658300</v>
      </c>
      <c r="P223" s="2" t="s">
        <v>1263</v>
      </c>
      <c r="Q223" s="38">
        <v>518000</v>
      </c>
      <c r="V223" s="2">
        <v>0.108</v>
      </c>
      <c r="W223" s="38">
        <v>7356635</v>
      </c>
    </row>
    <row r="224" spans="4:23">
      <c r="D224" s="2">
        <v>0.70799999999999996</v>
      </c>
      <c r="E224" s="38">
        <v>3400541</v>
      </c>
      <c r="G224" s="2">
        <v>0.61199999999999999</v>
      </c>
      <c r="H224" s="38">
        <v>1145500</v>
      </c>
      <c r="M224" s="2" t="s">
        <v>1071</v>
      </c>
      <c r="N224" s="38">
        <v>653100</v>
      </c>
      <c r="P224" s="2" t="s">
        <v>373</v>
      </c>
      <c r="Q224" s="38">
        <v>509800</v>
      </c>
      <c r="V224" s="2">
        <v>0.109</v>
      </c>
      <c r="W224" s="38">
        <v>4810669</v>
      </c>
    </row>
    <row r="225" spans="4:23">
      <c r="D225" s="2">
        <v>0.70899999999999996</v>
      </c>
      <c r="E225" s="38">
        <v>12200000</v>
      </c>
      <c r="G225" s="2">
        <v>0.61299999999999999</v>
      </c>
      <c r="H225" s="38">
        <v>9931</v>
      </c>
      <c r="M225" s="2" t="s">
        <v>1416</v>
      </c>
      <c r="N225" s="38">
        <v>650300</v>
      </c>
      <c r="P225" s="2" t="s">
        <v>110</v>
      </c>
      <c r="Q225" s="38">
        <v>509500</v>
      </c>
      <c r="V225" s="2">
        <v>0.11</v>
      </c>
      <c r="W225" s="38">
        <v>8463230</v>
      </c>
    </row>
    <row r="226" spans="4:23">
      <c r="D226" s="2">
        <v>0.71</v>
      </c>
      <c r="E226" s="38">
        <v>4125600</v>
      </c>
      <c r="G226" s="2">
        <v>0.61399999999999999</v>
      </c>
      <c r="H226" s="38">
        <v>0</v>
      </c>
      <c r="M226" s="2" t="s">
        <v>1512</v>
      </c>
      <c r="N226" s="38">
        <v>645600</v>
      </c>
      <c r="P226" s="2" t="s">
        <v>1811</v>
      </c>
      <c r="Q226" s="38">
        <v>502900</v>
      </c>
      <c r="V226" s="2">
        <v>0.111</v>
      </c>
      <c r="W226" s="38">
        <v>6216961</v>
      </c>
    </row>
    <row r="227" spans="4:23">
      <c r="D227" s="2">
        <v>0.71099999999999997</v>
      </c>
      <c r="E227" s="38">
        <v>2316500</v>
      </c>
      <c r="G227" s="2">
        <v>0.61499999999999999</v>
      </c>
      <c r="H227" s="38">
        <v>426000</v>
      </c>
      <c r="M227" s="2" t="s">
        <v>1661</v>
      </c>
      <c r="N227" s="38">
        <v>644600</v>
      </c>
      <c r="P227" s="2" t="s">
        <v>740</v>
      </c>
      <c r="Q227" s="38">
        <v>500800</v>
      </c>
      <c r="V227" s="2">
        <v>0.112</v>
      </c>
      <c r="W227" s="38">
        <v>3973045</v>
      </c>
    </row>
    <row r="228" spans="4:23">
      <c r="D228" s="2">
        <v>0.71199999999999997</v>
      </c>
      <c r="E228" s="38">
        <v>297551</v>
      </c>
      <c r="G228" s="2">
        <v>0.61599999999999999</v>
      </c>
      <c r="H228" s="38">
        <v>3000000</v>
      </c>
      <c r="M228" s="2" t="s">
        <v>1788</v>
      </c>
      <c r="N228" s="38">
        <v>638000</v>
      </c>
      <c r="P228" s="2" t="s">
        <v>414</v>
      </c>
      <c r="Q228" s="38">
        <v>499700</v>
      </c>
      <c r="V228" s="2">
        <v>0.113</v>
      </c>
      <c r="W228" s="38">
        <v>11680546</v>
      </c>
    </row>
    <row r="229" spans="4:23">
      <c r="D229" s="2">
        <v>0.71299999999999997</v>
      </c>
      <c r="E229" s="38">
        <v>158300</v>
      </c>
      <c r="G229" s="2">
        <v>0.61699999999999999</v>
      </c>
      <c r="H229" s="38">
        <v>485191</v>
      </c>
      <c r="M229" s="2" t="s">
        <v>1377</v>
      </c>
      <c r="N229" s="38">
        <v>629900</v>
      </c>
      <c r="P229" s="2" t="s">
        <v>698</v>
      </c>
      <c r="Q229" s="38">
        <v>495300</v>
      </c>
      <c r="V229" s="2">
        <v>0.114</v>
      </c>
      <c r="W229" s="38">
        <v>5755915</v>
      </c>
    </row>
    <row r="230" spans="4:23">
      <c r="D230" s="2">
        <v>0.71399999999999997</v>
      </c>
      <c r="E230" s="38">
        <v>20229659</v>
      </c>
      <c r="G230" s="2">
        <v>0.61799999999999999</v>
      </c>
      <c r="H230" s="38">
        <v>167</v>
      </c>
      <c r="M230" s="2" t="s">
        <v>1166</v>
      </c>
      <c r="N230" s="38">
        <v>624600</v>
      </c>
      <c r="P230" s="2" t="s">
        <v>910</v>
      </c>
      <c r="Q230" s="38">
        <v>488000</v>
      </c>
      <c r="V230" s="2">
        <v>0.115</v>
      </c>
      <c r="W230" s="38">
        <v>4894433</v>
      </c>
    </row>
    <row r="231" spans="4:23">
      <c r="D231" s="2">
        <v>0.71499999999999997</v>
      </c>
      <c r="E231" s="38">
        <v>525087</v>
      </c>
      <c r="G231" s="2">
        <v>0.62</v>
      </c>
      <c r="H231" s="38">
        <v>37939400</v>
      </c>
      <c r="M231" s="2" t="s">
        <v>448</v>
      </c>
      <c r="N231" s="38">
        <v>620700</v>
      </c>
      <c r="P231" s="2" t="s">
        <v>890</v>
      </c>
      <c r="Q231" s="38">
        <v>484000</v>
      </c>
      <c r="V231" s="2">
        <v>0.11600000000000001</v>
      </c>
      <c r="W231" s="38">
        <v>2722411</v>
      </c>
    </row>
    <row r="232" spans="4:23">
      <c r="D232" s="2">
        <v>0.71599999999999997</v>
      </c>
      <c r="E232" s="38">
        <v>1000000</v>
      </c>
      <c r="G232" s="2">
        <v>0.621</v>
      </c>
      <c r="H232" s="38">
        <v>2422200</v>
      </c>
      <c r="M232" s="2" t="s">
        <v>321</v>
      </c>
      <c r="N232" s="38">
        <v>616200</v>
      </c>
      <c r="P232" s="2" t="s">
        <v>416</v>
      </c>
      <c r="Q232" s="38">
        <v>483700</v>
      </c>
      <c r="V232" s="2">
        <v>0.11700000000000001</v>
      </c>
      <c r="W232" s="38">
        <v>62006900</v>
      </c>
    </row>
    <row r="233" spans="4:23">
      <c r="D233" s="2">
        <v>0.71699999999999997</v>
      </c>
      <c r="E233" s="38">
        <v>134201</v>
      </c>
      <c r="G233" s="2">
        <v>0.624</v>
      </c>
      <c r="H233" s="38">
        <v>1202300</v>
      </c>
      <c r="M233" s="2" t="s">
        <v>1423</v>
      </c>
      <c r="N233" s="38">
        <v>615600</v>
      </c>
      <c r="P233" s="2" t="s">
        <v>1612</v>
      </c>
      <c r="Q233" s="38">
        <v>482900</v>
      </c>
      <c r="V233" s="2">
        <v>0.11799999999999999</v>
      </c>
      <c r="W233" s="38">
        <v>4054082</v>
      </c>
    </row>
    <row r="234" spans="4:23">
      <c r="D234" s="2">
        <v>0.71799999999999997</v>
      </c>
      <c r="E234" s="38">
        <v>4543400</v>
      </c>
      <c r="G234" s="2">
        <v>0.626</v>
      </c>
      <c r="H234" s="38">
        <v>323100</v>
      </c>
      <c r="M234" s="2" t="s">
        <v>149</v>
      </c>
      <c r="N234" s="38">
        <v>611500</v>
      </c>
      <c r="P234" s="2" t="s">
        <v>1005</v>
      </c>
      <c r="Q234" s="38">
        <v>472400</v>
      </c>
      <c r="V234" s="2">
        <v>0.11899999999999999</v>
      </c>
      <c r="W234" s="38">
        <v>25</v>
      </c>
    </row>
    <row r="235" spans="4:23">
      <c r="D235" s="2">
        <v>0.71899999999999997</v>
      </c>
      <c r="E235" s="38">
        <v>1741900</v>
      </c>
      <c r="G235" s="2">
        <v>0.627</v>
      </c>
      <c r="H235" s="38">
        <v>15000335</v>
      </c>
      <c r="M235" s="2" t="s">
        <v>1805</v>
      </c>
      <c r="N235" s="38">
        <v>607800</v>
      </c>
      <c r="P235" s="2" t="s">
        <v>1722</v>
      </c>
      <c r="Q235" s="38">
        <v>472100</v>
      </c>
      <c r="V235" s="2">
        <v>0.12</v>
      </c>
      <c r="W235" s="38">
        <v>2001358</v>
      </c>
    </row>
    <row r="236" spans="4:23">
      <c r="D236" s="2">
        <v>0.72</v>
      </c>
      <c r="E236" s="38">
        <v>806636</v>
      </c>
      <c r="G236" s="2">
        <v>0.628</v>
      </c>
      <c r="H236" s="38">
        <v>3744</v>
      </c>
      <c r="M236" s="2" t="s">
        <v>1068</v>
      </c>
      <c r="N236" s="38">
        <v>606600</v>
      </c>
      <c r="P236" s="2" t="s">
        <v>759</v>
      </c>
      <c r="Q236" s="38">
        <v>449100</v>
      </c>
      <c r="V236" s="2">
        <v>0.121</v>
      </c>
      <c r="W236" s="38">
        <v>140450</v>
      </c>
    </row>
    <row r="237" spans="4:23">
      <c r="D237" s="2">
        <v>0.72099999999999997</v>
      </c>
      <c r="E237" s="38">
        <v>97909</v>
      </c>
      <c r="G237" s="2">
        <v>0.63</v>
      </c>
      <c r="H237" s="38">
        <v>1500000</v>
      </c>
      <c r="M237" s="2" t="s">
        <v>809</v>
      </c>
      <c r="N237" s="38">
        <v>601700</v>
      </c>
      <c r="P237" s="2" t="s">
        <v>779</v>
      </c>
      <c r="Q237" s="38">
        <v>441400</v>
      </c>
      <c r="V237" s="2">
        <v>0.122</v>
      </c>
      <c r="W237" s="38">
        <v>486862</v>
      </c>
    </row>
    <row r="238" spans="4:23">
      <c r="D238" s="2">
        <v>0.72199999999999998</v>
      </c>
      <c r="E238" s="38">
        <v>3</v>
      </c>
      <c r="G238" s="2">
        <v>0.63100000000000001</v>
      </c>
      <c r="H238" s="38">
        <v>23200007</v>
      </c>
      <c r="M238" s="2" t="s">
        <v>628</v>
      </c>
      <c r="N238" s="38">
        <v>598400</v>
      </c>
      <c r="P238" s="2" t="s">
        <v>83</v>
      </c>
      <c r="Q238" s="38">
        <v>440800</v>
      </c>
      <c r="V238" s="2">
        <v>0.123</v>
      </c>
      <c r="W238" s="38">
        <v>17703678</v>
      </c>
    </row>
    <row r="239" spans="4:23">
      <c r="D239" s="2">
        <v>0.72299999999999998</v>
      </c>
      <c r="E239" s="38">
        <v>115500</v>
      </c>
      <c r="G239" s="2">
        <v>0.63200000000000001</v>
      </c>
      <c r="H239" s="38">
        <v>329100</v>
      </c>
      <c r="M239" s="2" t="s">
        <v>1443</v>
      </c>
      <c r="N239" s="38">
        <v>584200</v>
      </c>
      <c r="P239" s="2" t="s">
        <v>1142</v>
      </c>
      <c r="Q239" s="38">
        <v>426100</v>
      </c>
      <c r="V239" s="2">
        <v>0.124</v>
      </c>
      <c r="W239" s="38">
        <v>9314610</v>
      </c>
    </row>
    <row r="240" spans="4:23">
      <c r="D240" s="2">
        <v>0.72399999999999998</v>
      </c>
      <c r="E240" s="38">
        <v>1100012</v>
      </c>
      <c r="G240" s="2">
        <v>0.63300000000000001</v>
      </c>
      <c r="H240" s="38">
        <v>349800</v>
      </c>
      <c r="M240" s="2" t="s">
        <v>1657</v>
      </c>
      <c r="N240" s="38">
        <v>577801</v>
      </c>
      <c r="P240" s="2" t="s">
        <v>830</v>
      </c>
      <c r="Q240" s="38">
        <v>423200</v>
      </c>
      <c r="V240" s="2">
        <v>0.125</v>
      </c>
      <c r="W240" s="38">
        <v>601470</v>
      </c>
    </row>
    <row r="241" spans="4:23">
      <c r="D241" s="2">
        <v>0.72499999999999998</v>
      </c>
      <c r="E241" s="38">
        <v>2587200</v>
      </c>
      <c r="G241" s="2">
        <v>0.63400000000000001</v>
      </c>
      <c r="H241" s="38">
        <v>12628</v>
      </c>
      <c r="M241" s="2" t="s">
        <v>516</v>
      </c>
      <c r="N241" s="38">
        <v>566500</v>
      </c>
      <c r="P241" s="2" t="s">
        <v>558</v>
      </c>
      <c r="Q241" s="38">
        <v>418900</v>
      </c>
      <c r="V241" s="2">
        <v>0.126</v>
      </c>
      <c r="W241" s="38">
        <v>5568700</v>
      </c>
    </row>
    <row r="242" spans="4:23">
      <c r="D242" s="2">
        <v>0.72599999999999998</v>
      </c>
      <c r="E242" s="38">
        <v>8200000</v>
      </c>
      <c r="G242" s="2">
        <v>0.63500000000000001</v>
      </c>
      <c r="H242" s="38">
        <v>2780741</v>
      </c>
      <c r="M242" s="2" t="s">
        <v>1091</v>
      </c>
      <c r="N242" s="38">
        <v>561700</v>
      </c>
      <c r="P242" s="2" t="s">
        <v>770</v>
      </c>
      <c r="Q242" s="38">
        <v>415600</v>
      </c>
      <c r="V242" s="2">
        <v>0.127</v>
      </c>
      <c r="W242" s="38">
        <v>5226744</v>
      </c>
    </row>
    <row r="243" spans="4:23">
      <c r="D243" s="2">
        <v>0.72699999999999998</v>
      </c>
      <c r="E243" s="38">
        <v>8288342</v>
      </c>
      <c r="G243" s="2">
        <v>0.63600000000000001</v>
      </c>
      <c r="H243" s="38">
        <v>1</v>
      </c>
      <c r="M243" s="2" t="s">
        <v>1070</v>
      </c>
      <c r="N243" s="38">
        <v>560500</v>
      </c>
      <c r="P243" s="2" t="s">
        <v>268</v>
      </c>
      <c r="Q243" s="38">
        <v>411300</v>
      </c>
      <c r="V243" s="2">
        <v>0.128</v>
      </c>
      <c r="W243" s="38">
        <v>4034341</v>
      </c>
    </row>
    <row r="244" spans="4:23">
      <c r="D244" s="2">
        <v>0.72799999999999998</v>
      </c>
      <c r="E244" s="38">
        <v>13703400</v>
      </c>
      <c r="G244" s="2">
        <v>0.63700000000000001</v>
      </c>
      <c r="H244" s="38">
        <v>2300000</v>
      </c>
      <c r="M244" s="2" t="s">
        <v>1078</v>
      </c>
      <c r="N244" s="38">
        <v>555600</v>
      </c>
      <c r="P244" s="2" t="s">
        <v>116</v>
      </c>
      <c r="Q244" s="38">
        <v>404000</v>
      </c>
      <c r="V244" s="2">
        <v>0.129</v>
      </c>
      <c r="W244" s="38">
        <v>1279986</v>
      </c>
    </row>
    <row r="245" spans="4:23">
      <c r="D245" s="2">
        <v>0.72899999999999998</v>
      </c>
      <c r="E245" s="38">
        <v>302500</v>
      </c>
      <c r="G245" s="2">
        <v>0.63800000000000001</v>
      </c>
      <c r="H245" s="38">
        <v>129200</v>
      </c>
      <c r="M245" s="2" t="s">
        <v>438</v>
      </c>
      <c r="N245" s="38">
        <v>553400</v>
      </c>
      <c r="P245" s="2" t="s">
        <v>1639</v>
      </c>
      <c r="Q245" s="38">
        <v>403900</v>
      </c>
      <c r="V245" s="2">
        <v>0.13</v>
      </c>
      <c r="W245" s="38">
        <v>586422</v>
      </c>
    </row>
    <row r="246" spans="4:23">
      <c r="D246" s="2">
        <v>0.73</v>
      </c>
      <c r="E246" s="38">
        <v>1772900</v>
      </c>
      <c r="G246" s="2">
        <v>0.63900000000000001</v>
      </c>
      <c r="H246" s="38">
        <v>425754</v>
      </c>
      <c r="M246" s="2" t="s">
        <v>816</v>
      </c>
      <c r="N246" s="38">
        <v>534500</v>
      </c>
      <c r="P246" s="2" t="s">
        <v>484</v>
      </c>
      <c r="Q246" s="38">
        <v>391800</v>
      </c>
      <c r="V246" s="2">
        <v>0.13100000000000001</v>
      </c>
      <c r="W246" s="38">
        <v>3205249</v>
      </c>
    </row>
    <row r="247" spans="4:23">
      <c r="D247" s="2">
        <v>0.73099999999999998</v>
      </c>
      <c r="E247" s="38">
        <v>658300</v>
      </c>
      <c r="G247" s="2">
        <v>0.64</v>
      </c>
      <c r="H247" s="38">
        <v>1762</v>
      </c>
      <c r="M247" s="2" t="s">
        <v>979</v>
      </c>
      <c r="N247" s="38">
        <v>531900</v>
      </c>
      <c r="P247" s="2" t="s">
        <v>652</v>
      </c>
      <c r="Q247" s="38">
        <v>389200</v>
      </c>
      <c r="V247" s="2">
        <v>0.13200000000000001</v>
      </c>
      <c r="W247" s="38">
        <v>2588200</v>
      </c>
    </row>
    <row r="248" spans="4:23">
      <c r="D248" s="2">
        <v>0.73199999999999998</v>
      </c>
      <c r="E248" s="38">
        <v>1542142</v>
      </c>
      <c r="G248" s="2">
        <v>0.64100000000000001</v>
      </c>
      <c r="H248" s="38">
        <v>1420</v>
      </c>
      <c r="M248" s="2" t="s">
        <v>230</v>
      </c>
      <c r="N248" s="38">
        <v>531800</v>
      </c>
      <c r="P248" s="2" t="s">
        <v>398</v>
      </c>
      <c r="Q248" s="38">
        <v>385600</v>
      </c>
      <c r="V248" s="2">
        <v>0.13300000000000001</v>
      </c>
      <c r="W248" s="38">
        <v>12210600</v>
      </c>
    </row>
    <row r="249" spans="4:23">
      <c r="D249" s="2">
        <v>0.73299999999999998</v>
      </c>
      <c r="E249" s="38">
        <v>937</v>
      </c>
      <c r="G249" s="2">
        <v>0.64200000000000002</v>
      </c>
      <c r="H249" s="38">
        <v>4785600</v>
      </c>
      <c r="M249" s="2" t="s">
        <v>1031</v>
      </c>
      <c r="N249" s="38">
        <v>525600</v>
      </c>
      <c r="P249" s="2" t="s">
        <v>47</v>
      </c>
      <c r="Q249" s="38">
        <v>382100</v>
      </c>
      <c r="V249" s="2">
        <v>0.13400000000000001</v>
      </c>
      <c r="W249" s="38">
        <v>2162600</v>
      </c>
    </row>
    <row r="250" spans="4:23">
      <c r="D250" s="2">
        <v>0.73399999999999999</v>
      </c>
      <c r="E250" s="38">
        <v>2255635</v>
      </c>
      <c r="G250" s="2">
        <v>0.64300000000000002</v>
      </c>
      <c r="H250" s="38">
        <v>873</v>
      </c>
      <c r="M250" s="2" t="s">
        <v>1828</v>
      </c>
      <c r="N250" s="38">
        <v>524600</v>
      </c>
      <c r="P250" s="2" t="s">
        <v>142</v>
      </c>
      <c r="Q250" s="38">
        <v>379457</v>
      </c>
      <c r="V250" s="2">
        <v>0.13500000000000001</v>
      </c>
      <c r="W250" s="38">
        <v>4920800</v>
      </c>
    </row>
    <row r="251" spans="4:23">
      <c r="D251" s="2">
        <v>0.73499999999999999</v>
      </c>
      <c r="E251" s="38">
        <v>1152</v>
      </c>
      <c r="G251" s="2">
        <v>0.64400000000000002</v>
      </c>
      <c r="H251" s="38">
        <v>730200</v>
      </c>
      <c r="M251" s="2" t="s">
        <v>1050</v>
      </c>
      <c r="N251" s="38">
        <v>521400</v>
      </c>
      <c r="P251" s="2" t="s">
        <v>1250</v>
      </c>
      <c r="Q251" s="38">
        <v>378900</v>
      </c>
      <c r="V251" s="2">
        <v>0.13600000000000001</v>
      </c>
      <c r="W251" s="38">
        <v>3</v>
      </c>
    </row>
    <row r="252" spans="4:23">
      <c r="D252" s="2">
        <v>0.73599999999999999</v>
      </c>
      <c r="E252" s="38">
        <v>41197142</v>
      </c>
      <c r="G252" s="2">
        <v>0.64800000000000002</v>
      </c>
      <c r="H252" s="38">
        <v>725400</v>
      </c>
      <c r="M252" s="2" t="s">
        <v>734</v>
      </c>
      <c r="N252" s="38">
        <v>520000</v>
      </c>
      <c r="P252" s="2" t="s">
        <v>138</v>
      </c>
      <c r="Q252" s="38">
        <v>373500</v>
      </c>
      <c r="V252" s="2">
        <v>0.13700000000000001</v>
      </c>
      <c r="W252" s="38">
        <v>3617500</v>
      </c>
    </row>
    <row r="253" spans="4:23">
      <c r="D253" s="2">
        <v>0.73699999999999999</v>
      </c>
      <c r="E253" s="38">
        <v>1206900</v>
      </c>
      <c r="G253" s="2">
        <v>0.64900000000000002</v>
      </c>
      <c r="H253" s="38">
        <v>29601</v>
      </c>
      <c r="M253" s="2" t="s">
        <v>1660</v>
      </c>
      <c r="N253" s="38">
        <v>518600</v>
      </c>
      <c r="P253" s="2" t="s">
        <v>1323</v>
      </c>
      <c r="Q253" s="38">
        <v>365000</v>
      </c>
      <c r="V253" s="2">
        <v>0.13800000000000001</v>
      </c>
      <c r="W253" s="38">
        <v>250024</v>
      </c>
    </row>
    <row r="254" spans="4:23">
      <c r="D254" s="2">
        <v>0.73799999999999999</v>
      </c>
      <c r="E254" s="38">
        <v>3157227</v>
      </c>
      <c r="G254" s="2">
        <v>0.65</v>
      </c>
      <c r="H254" s="38">
        <v>4000937</v>
      </c>
      <c r="M254" s="2" t="s">
        <v>1264</v>
      </c>
      <c r="N254" s="38">
        <v>518000</v>
      </c>
      <c r="P254" s="2" t="s">
        <v>1238</v>
      </c>
      <c r="Q254" s="38">
        <v>358924</v>
      </c>
      <c r="V254" s="2">
        <v>0.13900000000000001</v>
      </c>
      <c r="W254" s="38">
        <v>346466</v>
      </c>
    </row>
    <row r="255" spans="4:23">
      <c r="D255" s="2">
        <v>0.73899999999999999</v>
      </c>
      <c r="E255" s="38">
        <v>2</v>
      </c>
      <c r="G255" s="2">
        <v>0.65200000000000002</v>
      </c>
      <c r="H255" s="38">
        <v>2404600</v>
      </c>
      <c r="M255" s="2" t="s">
        <v>374</v>
      </c>
      <c r="N255" s="38">
        <v>509800</v>
      </c>
      <c r="P255" s="2" t="s">
        <v>981</v>
      </c>
      <c r="Q255" s="38">
        <v>356900</v>
      </c>
      <c r="V255" s="2">
        <v>0.14000000000000001</v>
      </c>
      <c r="W255" s="38">
        <v>5700172</v>
      </c>
    </row>
    <row r="256" spans="4:23">
      <c r="D256" s="2">
        <v>0.74</v>
      </c>
      <c r="E256" s="38">
        <v>793700</v>
      </c>
      <c r="G256" s="2">
        <v>0.65300000000000002</v>
      </c>
      <c r="H256" s="38">
        <v>2800088</v>
      </c>
      <c r="M256" s="2" t="s">
        <v>294</v>
      </c>
      <c r="N256" s="38">
        <v>504900</v>
      </c>
      <c r="P256" s="2" t="s">
        <v>1627</v>
      </c>
      <c r="Q256" s="38">
        <v>347000</v>
      </c>
      <c r="V256" s="2">
        <v>0.14099999999999999</v>
      </c>
      <c r="W256" s="38">
        <v>1000000</v>
      </c>
    </row>
    <row r="257" spans="4:23">
      <c r="D257" s="2">
        <v>0.74099999999999999</v>
      </c>
      <c r="E257" s="38">
        <v>15</v>
      </c>
      <c r="G257" s="2">
        <v>0.65400000000000003</v>
      </c>
      <c r="H257" s="38">
        <v>353900</v>
      </c>
      <c r="M257" s="2" t="s">
        <v>1812</v>
      </c>
      <c r="N257" s="38">
        <v>502900</v>
      </c>
      <c r="P257" s="2" t="s">
        <v>1566</v>
      </c>
      <c r="Q257" s="38">
        <v>335000</v>
      </c>
      <c r="V257" s="2">
        <v>0.14199999999999999</v>
      </c>
      <c r="W257" s="38">
        <v>746700</v>
      </c>
    </row>
    <row r="258" spans="4:23">
      <c r="D258" s="2">
        <v>0.74199999999999999</v>
      </c>
      <c r="E258" s="38">
        <v>2743400</v>
      </c>
      <c r="G258" s="2">
        <v>0.65500000000000003</v>
      </c>
      <c r="H258" s="38">
        <v>201712</v>
      </c>
      <c r="M258" s="2" t="s">
        <v>741</v>
      </c>
      <c r="N258" s="38">
        <v>500800</v>
      </c>
      <c r="P258" s="2" t="s">
        <v>731</v>
      </c>
      <c r="Q258" s="38">
        <v>334600</v>
      </c>
      <c r="V258" s="2">
        <v>0.14299999999999999</v>
      </c>
      <c r="W258" s="38">
        <v>3808366</v>
      </c>
    </row>
    <row r="259" spans="4:23">
      <c r="D259" s="2">
        <v>0.74399999999999999</v>
      </c>
      <c r="E259" s="38">
        <v>2400138</v>
      </c>
      <c r="G259" s="2">
        <v>0.65600000000000003</v>
      </c>
      <c r="H259" s="38">
        <v>5300011</v>
      </c>
      <c r="M259" s="2" t="s">
        <v>413</v>
      </c>
      <c r="N259" s="38">
        <v>499700</v>
      </c>
      <c r="P259" s="2" t="s">
        <v>688</v>
      </c>
      <c r="Q259" s="38">
        <v>334553</v>
      </c>
      <c r="V259" s="2">
        <v>0.14399999999999999</v>
      </c>
      <c r="W259" s="38">
        <v>356568</v>
      </c>
    </row>
    <row r="260" spans="4:23">
      <c r="D260" s="2">
        <v>0.745</v>
      </c>
      <c r="E260" s="38">
        <v>19587601</v>
      </c>
      <c r="G260" s="2">
        <v>0.65700000000000003</v>
      </c>
      <c r="H260" s="38">
        <v>716300</v>
      </c>
      <c r="M260" s="2" t="s">
        <v>697</v>
      </c>
      <c r="N260" s="38">
        <v>495300</v>
      </c>
      <c r="P260" s="2" t="s">
        <v>424</v>
      </c>
      <c r="Q260" s="38">
        <v>321800</v>
      </c>
      <c r="V260" s="2">
        <v>0.14499999999999999</v>
      </c>
      <c r="W260" s="38">
        <v>2108324</v>
      </c>
    </row>
    <row r="261" spans="4:23">
      <c r="D261" s="2">
        <v>0.746</v>
      </c>
      <c r="E261" s="38">
        <v>4844276</v>
      </c>
      <c r="G261" s="2">
        <v>0.65800000000000003</v>
      </c>
      <c r="H261" s="38">
        <v>1710864</v>
      </c>
      <c r="M261" s="2" t="s">
        <v>909</v>
      </c>
      <c r="N261" s="38">
        <v>488000</v>
      </c>
      <c r="P261" s="2" t="s">
        <v>767</v>
      </c>
      <c r="Q261" s="38">
        <v>319700</v>
      </c>
      <c r="V261" s="2">
        <v>0.14599999999999999</v>
      </c>
      <c r="W261" s="38">
        <v>14500</v>
      </c>
    </row>
    <row r="262" spans="4:23">
      <c r="D262" s="2">
        <v>0.747</v>
      </c>
      <c r="E262" s="38">
        <v>276000</v>
      </c>
      <c r="G262" s="2">
        <v>0.65900000000000003</v>
      </c>
      <c r="H262" s="38">
        <v>340</v>
      </c>
      <c r="M262" s="2" t="s">
        <v>889</v>
      </c>
      <c r="N262" s="38">
        <v>484000</v>
      </c>
      <c r="P262" s="2" t="s">
        <v>215</v>
      </c>
      <c r="Q262" s="38">
        <v>319200</v>
      </c>
      <c r="V262" s="2">
        <v>0.14699999999999999</v>
      </c>
      <c r="W262" s="38">
        <v>0</v>
      </c>
    </row>
    <row r="263" spans="4:23">
      <c r="D263" s="2">
        <v>0.748</v>
      </c>
      <c r="E263" s="38">
        <v>163203</v>
      </c>
      <c r="G263" s="2">
        <v>0.66</v>
      </c>
      <c r="H263" s="38">
        <v>1659589</v>
      </c>
      <c r="M263" s="2" t="s">
        <v>417</v>
      </c>
      <c r="N263" s="38">
        <v>483700</v>
      </c>
      <c r="P263" s="2" t="s">
        <v>1314</v>
      </c>
      <c r="Q263" s="38">
        <v>312400</v>
      </c>
      <c r="V263" s="2">
        <v>0.14799999999999999</v>
      </c>
      <c r="W263" s="38">
        <v>221300</v>
      </c>
    </row>
    <row r="264" spans="4:23">
      <c r="D264" s="2">
        <v>0.749</v>
      </c>
      <c r="E264" s="38">
        <v>214400</v>
      </c>
      <c r="G264" s="2">
        <v>0.66100000000000003</v>
      </c>
      <c r="H264" s="38">
        <v>0</v>
      </c>
      <c r="M264" s="2" t="s">
        <v>1611</v>
      </c>
      <c r="N264" s="38">
        <v>482900</v>
      </c>
      <c r="P264" s="2" t="s">
        <v>743</v>
      </c>
      <c r="Q264" s="38">
        <v>312400</v>
      </c>
      <c r="V264" s="2">
        <v>0.14899999999999999</v>
      </c>
      <c r="W264" s="38">
        <v>285700</v>
      </c>
    </row>
    <row r="265" spans="4:23">
      <c r="D265" s="2">
        <v>0.75</v>
      </c>
      <c r="E265" s="38">
        <v>30</v>
      </c>
      <c r="G265" s="2">
        <v>0.66300000000000003</v>
      </c>
      <c r="H265" s="38">
        <v>101000</v>
      </c>
      <c r="M265" s="2" t="s">
        <v>1004</v>
      </c>
      <c r="N265" s="38">
        <v>472400</v>
      </c>
      <c r="P265" s="2" t="s">
        <v>464</v>
      </c>
      <c r="Q265" s="38">
        <v>307000</v>
      </c>
      <c r="V265" s="2">
        <v>0.15</v>
      </c>
      <c r="W265" s="38">
        <v>25208005</v>
      </c>
    </row>
    <row r="266" spans="4:23">
      <c r="D266" s="2">
        <v>0.751</v>
      </c>
      <c r="E266" s="38">
        <v>18100</v>
      </c>
      <c r="G266" s="2">
        <v>0.66400000000000003</v>
      </c>
      <c r="H266" s="38">
        <v>211300</v>
      </c>
      <c r="M266" s="2" t="s">
        <v>1721</v>
      </c>
      <c r="N266" s="38">
        <v>472100</v>
      </c>
      <c r="P266" s="2" t="s">
        <v>1411</v>
      </c>
      <c r="Q266" s="38">
        <v>305900</v>
      </c>
      <c r="V266" s="2">
        <v>0.152</v>
      </c>
      <c r="W266" s="38">
        <v>4278300</v>
      </c>
    </row>
    <row r="267" spans="4:23">
      <c r="D267" s="2">
        <v>0.752</v>
      </c>
      <c r="E267" s="38">
        <v>175671</v>
      </c>
      <c r="G267" s="2">
        <v>0.66500000000000004</v>
      </c>
      <c r="H267" s="38">
        <v>97300</v>
      </c>
      <c r="M267" s="2" t="s">
        <v>1712</v>
      </c>
      <c r="N267" s="38">
        <v>471400</v>
      </c>
      <c r="P267" s="2" t="s">
        <v>757</v>
      </c>
      <c r="Q267" s="38">
        <v>297300</v>
      </c>
      <c r="V267" s="2">
        <v>0.153</v>
      </c>
      <c r="W267" s="38">
        <v>150</v>
      </c>
    </row>
    <row r="268" spans="4:23">
      <c r="D268" s="2">
        <v>0.753</v>
      </c>
      <c r="E268" s="38">
        <v>615667</v>
      </c>
      <c r="G268" s="2">
        <v>0.66600000000000004</v>
      </c>
      <c r="H268" s="38">
        <v>207</v>
      </c>
      <c r="M268" s="2" t="s">
        <v>760</v>
      </c>
      <c r="N268" s="38">
        <v>449100</v>
      </c>
      <c r="P268" s="2" t="s">
        <v>1554</v>
      </c>
      <c r="Q268" s="38">
        <v>293000</v>
      </c>
      <c r="V268" s="2">
        <v>0.154</v>
      </c>
      <c r="W268" s="38">
        <v>27300</v>
      </c>
    </row>
    <row r="269" spans="4:23">
      <c r="D269" s="2">
        <v>0.754</v>
      </c>
      <c r="E269" s="38">
        <v>3087830</v>
      </c>
      <c r="G269" s="2">
        <v>0.66700000000000004</v>
      </c>
      <c r="H269" s="38">
        <v>123000</v>
      </c>
      <c r="M269" s="2" t="s">
        <v>82</v>
      </c>
      <c r="N269" s="38">
        <v>440800</v>
      </c>
      <c r="P269" s="2" t="s">
        <v>1590</v>
      </c>
      <c r="Q269" s="38">
        <v>289000</v>
      </c>
      <c r="V269" s="2">
        <v>0.155</v>
      </c>
      <c r="W269" s="38">
        <v>577223</v>
      </c>
    </row>
    <row r="270" spans="4:23">
      <c r="D270" s="2">
        <v>0.755</v>
      </c>
      <c r="E270" s="38">
        <v>141600</v>
      </c>
      <c r="G270" s="2">
        <v>0.66800000000000004</v>
      </c>
      <c r="H270" s="38">
        <v>501729</v>
      </c>
      <c r="M270" s="2" t="s">
        <v>640</v>
      </c>
      <c r="N270" s="38">
        <v>438800</v>
      </c>
      <c r="P270" s="2" t="s">
        <v>603</v>
      </c>
      <c r="Q270" s="38">
        <v>285700</v>
      </c>
      <c r="V270" s="2">
        <v>0.156</v>
      </c>
      <c r="W270" s="38">
        <v>2438103</v>
      </c>
    </row>
    <row r="271" spans="4:23">
      <c r="D271" s="2">
        <v>0.75600000000000001</v>
      </c>
      <c r="E271" s="38">
        <v>97700</v>
      </c>
      <c r="G271" s="2">
        <v>0.66900000000000004</v>
      </c>
      <c r="H271" s="38">
        <v>12</v>
      </c>
      <c r="M271" s="2" t="s">
        <v>369</v>
      </c>
      <c r="N271" s="38">
        <v>431300</v>
      </c>
      <c r="P271" s="2" t="s">
        <v>524</v>
      </c>
      <c r="Q271" s="38">
        <v>281000</v>
      </c>
      <c r="V271" s="2">
        <v>0.157</v>
      </c>
      <c r="W271" s="38">
        <v>297100</v>
      </c>
    </row>
    <row r="272" spans="4:23">
      <c r="D272" s="2">
        <v>0.75700000000000001</v>
      </c>
      <c r="E272" s="38">
        <v>27557</v>
      </c>
      <c r="G272" s="2">
        <v>0.67</v>
      </c>
      <c r="H272" s="38">
        <v>624604</v>
      </c>
      <c r="M272" s="2" t="s">
        <v>895</v>
      </c>
      <c r="N272" s="38">
        <v>430200</v>
      </c>
      <c r="P272" s="2" t="s">
        <v>1109</v>
      </c>
      <c r="Q272" s="38">
        <v>276000</v>
      </c>
      <c r="V272" s="2">
        <v>0.158</v>
      </c>
      <c r="W272" s="38">
        <v>1152</v>
      </c>
    </row>
    <row r="273" spans="4:23">
      <c r="D273" s="2">
        <v>0.75800000000000001</v>
      </c>
      <c r="E273" s="38">
        <v>1288000</v>
      </c>
      <c r="G273" s="2">
        <v>0.67100000000000004</v>
      </c>
      <c r="H273" s="38">
        <v>390500</v>
      </c>
      <c r="M273" s="2" t="s">
        <v>1141</v>
      </c>
      <c r="N273" s="38">
        <v>426100</v>
      </c>
      <c r="P273" s="2" t="s">
        <v>466</v>
      </c>
      <c r="Q273" s="38">
        <v>269000</v>
      </c>
      <c r="V273" s="2">
        <v>0.159</v>
      </c>
      <c r="W273" s="38">
        <v>8</v>
      </c>
    </row>
    <row r="274" spans="4:23">
      <c r="D274" s="2">
        <v>0.75900000000000001</v>
      </c>
      <c r="E274" s="38">
        <v>1709931</v>
      </c>
      <c r="G274" s="2">
        <v>0.67300000000000004</v>
      </c>
      <c r="H274" s="38">
        <v>24300039</v>
      </c>
      <c r="M274" s="2" t="s">
        <v>831</v>
      </c>
      <c r="N274" s="38">
        <v>423200</v>
      </c>
      <c r="P274" s="2" t="s">
        <v>1489</v>
      </c>
      <c r="Q274" s="38">
        <v>266381</v>
      </c>
      <c r="V274" s="2">
        <v>0.161</v>
      </c>
      <c r="W274" s="38">
        <v>8200000</v>
      </c>
    </row>
    <row r="275" spans="4:23">
      <c r="D275" s="2">
        <v>0.76</v>
      </c>
      <c r="E275" s="38">
        <v>726900</v>
      </c>
      <c r="G275" s="2">
        <v>0.67400000000000004</v>
      </c>
      <c r="H275" s="38">
        <v>1049950</v>
      </c>
      <c r="M275" s="2" t="s">
        <v>769</v>
      </c>
      <c r="N275" s="38">
        <v>415600</v>
      </c>
      <c r="P275" s="2" t="s">
        <v>1293</v>
      </c>
      <c r="Q275" s="38">
        <v>266100</v>
      </c>
      <c r="V275" s="2">
        <v>0.16200000000000001</v>
      </c>
      <c r="W275" s="38">
        <v>531500</v>
      </c>
    </row>
    <row r="276" spans="4:23">
      <c r="D276" s="2">
        <v>0.76100000000000001</v>
      </c>
      <c r="E276" s="38">
        <v>1717400</v>
      </c>
      <c r="G276" s="2">
        <v>0.67500000000000004</v>
      </c>
      <c r="H276" s="38">
        <v>530500</v>
      </c>
      <c r="M276" s="2" t="s">
        <v>269</v>
      </c>
      <c r="N276" s="38">
        <v>411300</v>
      </c>
      <c r="P276" s="2" t="s">
        <v>1485</v>
      </c>
      <c r="Q276" s="38">
        <v>265400</v>
      </c>
      <c r="V276" s="2">
        <v>0.16300000000000001</v>
      </c>
      <c r="W276" s="38">
        <v>6459900</v>
      </c>
    </row>
    <row r="277" spans="4:23">
      <c r="D277" s="2">
        <v>0.76200000000000001</v>
      </c>
      <c r="E277" s="38">
        <v>5383700</v>
      </c>
      <c r="G277" s="2">
        <v>0.67600000000000005</v>
      </c>
      <c r="H277" s="38">
        <v>902800</v>
      </c>
      <c r="M277" s="2" t="s">
        <v>117</v>
      </c>
      <c r="N277" s="38">
        <v>404000</v>
      </c>
      <c r="P277" s="2" t="s">
        <v>863</v>
      </c>
      <c r="Q277" s="38">
        <v>265300</v>
      </c>
      <c r="V277" s="2">
        <v>0.16400000000000001</v>
      </c>
      <c r="W277" s="38">
        <v>1848</v>
      </c>
    </row>
    <row r="278" spans="4:23">
      <c r="D278" s="2">
        <v>0.76300000000000001</v>
      </c>
      <c r="E278" s="38">
        <v>58800</v>
      </c>
      <c r="G278" s="2">
        <v>0.67700000000000005</v>
      </c>
      <c r="H278" s="38">
        <v>19799</v>
      </c>
      <c r="M278" s="2" t="s">
        <v>1638</v>
      </c>
      <c r="N278" s="38">
        <v>403900</v>
      </c>
      <c r="P278" s="2" t="s">
        <v>454</v>
      </c>
      <c r="Q278" s="38">
        <v>260200</v>
      </c>
      <c r="V278" s="2">
        <v>0.16500000000000001</v>
      </c>
      <c r="W278" s="38">
        <v>11948500</v>
      </c>
    </row>
    <row r="279" spans="4:23">
      <c r="D279" s="2">
        <v>0.76400000000000001</v>
      </c>
      <c r="E279" s="38">
        <v>2031600</v>
      </c>
      <c r="G279" s="2">
        <v>0.67800000000000005</v>
      </c>
      <c r="H279" s="38">
        <v>2926300</v>
      </c>
      <c r="M279" s="2" t="s">
        <v>131</v>
      </c>
      <c r="N279" s="38">
        <v>403800</v>
      </c>
      <c r="P279" s="2" t="s">
        <v>1667</v>
      </c>
      <c r="Q279" s="38">
        <v>256600</v>
      </c>
      <c r="V279" s="2">
        <v>0.16600000000000001</v>
      </c>
      <c r="W279" s="38">
        <v>870900</v>
      </c>
    </row>
    <row r="280" spans="4:23">
      <c r="D280" s="2">
        <v>0.76500000000000001</v>
      </c>
      <c r="E280" s="38">
        <v>132400</v>
      </c>
      <c r="G280" s="2">
        <v>0.67900000000000005</v>
      </c>
      <c r="H280" s="38">
        <v>96435</v>
      </c>
      <c r="M280" s="2" t="s">
        <v>320</v>
      </c>
      <c r="N280" s="38">
        <v>397200</v>
      </c>
      <c r="P280" s="2" t="s">
        <v>1392</v>
      </c>
      <c r="Q280" s="38">
        <v>252000</v>
      </c>
      <c r="V280" s="2">
        <v>0.16700000000000001</v>
      </c>
      <c r="W280" s="38">
        <v>611100</v>
      </c>
    </row>
    <row r="281" spans="4:23">
      <c r="D281" s="2">
        <v>0.76600000000000001</v>
      </c>
      <c r="E281" s="38">
        <v>1762</v>
      </c>
      <c r="G281" s="2">
        <v>0.68</v>
      </c>
      <c r="H281" s="38">
        <v>3600000</v>
      </c>
      <c r="M281" s="2" t="s">
        <v>485</v>
      </c>
      <c r="N281" s="38">
        <v>391800</v>
      </c>
      <c r="P281" s="2" t="s">
        <v>963</v>
      </c>
      <c r="Q281" s="38">
        <v>247000</v>
      </c>
      <c r="V281" s="2">
        <v>0.16800000000000001</v>
      </c>
      <c r="W281" s="38">
        <v>3547</v>
      </c>
    </row>
    <row r="282" spans="4:23">
      <c r="D282" s="2">
        <v>0.76700000000000002</v>
      </c>
      <c r="E282" s="38">
        <v>607349</v>
      </c>
      <c r="G282" s="2">
        <v>0.68100000000000005</v>
      </c>
      <c r="H282" s="38">
        <v>2201128</v>
      </c>
      <c r="M282" s="2" t="s">
        <v>651</v>
      </c>
      <c r="N282" s="38">
        <v>389200</v>
      </c>
      <c r="P282" s="2" t="s">
        <v>376</v>
      </c>
      <c r="Q282" s="38">
        <v>246000</v>
      </c>
      <c r="V282" s="2">
        <v>0.16900000000000001</v>
      </c>
      <c r="W282" s="38">
        <v>1700000</v>
      </c>
    </row>
    <row r="283" spans="4:23">
      <c r="D283" s="2">
        <v>0.76800000000000002</v>
      </c>
      <c r="E283" s="38">
        <v>9895500</v>
      </c>
      <c r="G283" s="2">
        <v>0.68200000000000005</v>
      </c>
      <c r="H283" s="38">
        <v>2403624</v>
      </c>
      <c r="M283" s="2" t="s">
        <v>399</v>
      </c>
      <c r="N283" s="38">
        <v>385600</v>
      </c>
      <c r="P283" s="2" t="s">
        <v>1470</v>
      </c>
      <c r="Q283" s="38">
        <v>243300</v>
      </c>
      <c r="V283" s="2">
        <v>0.17</v>
      </c>
      <c r="W283" s="38">
        <v>1534200</v>
      </c>
    </row>
    <row r="284" spans="4:23">
      <c r="D284" s="2">
        <v>0.76900000000000002</v>
      </c>
      <c r="E284" s="38">
        <v>1382509</v>
      </c>
      <c r="G284" s="2">
        <v>0.68300000000000005</v>
      </c>
      <c r="H284" s="38">
        <v>1492300</v>
      </c>
      <c r="M284" s="2" t="s">
        <v>455</v>
      </c>
      <c r="N284" s="38">
        <v>382100</v>
      </c>
      <c r="P284" s="2" t="s">
        <v>960</v>
      </c>
      <c r="Q284" s="38">
        <v>240900</v>
      </c>
      <c r="V284" s="2">
        <v>0.17199999999999999</v>
      </c>
      <c r="W284" s="38">
        <v>6796</v>
      </c>
    </row>
    <row r="285" spans="4:23">
      <c r="D285" s="2">
        <v>0.77</v>
      </c>
      <c r="E285" s="38">
        <v>2011400</v>
      </c>
      <c r="G285" s="2">
        <v>0.68500000000000005</v>
      </c>
      <c r="H285" s="38">
        <v>20</v>
      </c>
      <c r="M285" s="2" t="s">
        <v>706</v>
      </c>
      <c r="N285" s="38">
        <v>381500</v>
      </c>
      <c r="P285" s="2" t="s">
        <v>477</v>
      </c>
      <c r="Q285" s="38">
        <v>234200</v>
      </c>
      <c r="V285" s="2">
        <v>0.17299999999999999</v>
      </c>
      <c r="W285" s="38">
        <v>3980300</v>
      </c>
    </row>
    <row r="286" spans="4:23">
      <c r="D286" s="2">
        <v>0.77100000000000002</v>
      </c>
      <c r="E286" s="38">
        <v>1861911</v>
      </c>
      <c r="G286" s="2">
        <v>0.68700000000000006</v>
      </c>
      <c r="H286" s="38">
        <v>1207529</v>
      </c>
      <c r="M286" s="2" t="s">
        <v>143</v>
      </c>
      <c r="N286" s="38">
        <v>379457</v>
      </c>
      <c r="P286" s="2" t="s">
        <v>1480</v>
      </c>
      <c r="Q286" s="38">
        <v>231600</v>
      </c>
      <c r="V286" s="2">
        <v>0.17399999999999999</v>
      </c>
      <c r="W286" s="38">
        <v>627200</v>
      </c>
    </row>
    <row r="287" spans="4:23">
      <c r="D287" s="2">
        <v>0.77200000000000002</v>
      </c>
      <c r="E287" s="38">
        <v>1300574</v>
      </c>
      <c r="G287" s="2">
        <v>0.68799999999999994</v>
      </c>
      <c r="H287" s="38">
        <v>601700</v>
      </c>
      <c r="M287" s="2" t="s">
        <v>1251</v>
      </c>
      <c r="N287" s="38">
        <v>378900</v>
      </c>
      <c r="P287" s="2" t="s">
        <v>362</v>
      </c>
      <c r="Q287" s="38">
        <v>231200</v>
      </c>
      <c r="V287" s="2">
        <v>0.17499999999999999</v>
      </c>
      <c r="W287" s="38">
        <v>11200</v>
      </c>
    </row>
    <row r="288" spans="4:23">
      <c r="D288" s="2">
        <v>0.77300000000000002</v>
      </c>
      <c r="E288" s="38">
        <v>28635</v>
      </c>
      <c r="G288" s="2">
        <v>0.68899999999999995</v>
      </c>
      <c r="H288" s="38">
        <v>987000</v>
      </c>
      <c r="M288" s="2" t="s">
        <v>137</v>
      </c>
      <c r="N288" s="38">
        <v>373500</v>
      </c>
      <c r="P288" s="2" t="s">
        <v>793</v>
      </c>
      <c r="Q288" s="38">
        <v>225900</v>
      </c>
      <c r="V288" s="2">
        <v>0.17599999999999999</v>
      </c>
      <c r="W288" s="38">
        <v>615200</v>
      </c>
    </row>
    <row r="289" spans="4:23">
      <c r="D289" s="2">
        <v>0.77400000000000002</v>
      </c>
      <c r="E289" s="38">
        <v>1200000</v>
      </c>
      <c r="G289" s="2">
        <v>0.69</v>
      </c>
      <c r="H289" s="38">
        <v>1372500</v>
      </c>
      <c r="M289" s="2" t="s">
        <v>422</v>
      </c>
      <c r="N289" s="38">
        <v>373000</v>
      </c>
      <c r="P289" s="2" t="s">
        <v>1827</v>
      </c>
      <c r="Q289" s="38">
        <v>223900</v>
      </c>
      <c r="V289" s="2">
        <v>0.17799999999999999</v>
      </c>
      <c r="W289" s="38">
        <v>341200</v>
      </c>
    </row>
    <row r="290" spans="4:23">
      <c r="D290" s="2">
        <v>0.77500000000000002</v>
      </c>
      <c r="E290" s="38">
        <v>5420000</v>
      </c>
      <c r="G290" s="2">
        <v>0.69099999999999995</v>
      </c>
      <c r="H290" s="38">
        <v>163500</v>
      </c>
      <c r="M290" s="2" t="s">
        <v>1322</v>
      </c>
      <c r="N290" s="38">
        <v>365000</v>
      </c>
      <c r="P290" s="2" t="s">
        <v>253</v>
      </c>
      <c r="Q290" s="38">
        <v>223400</v>
      </c>
      <c r="V290" s="2">
        <v>0.18</v>
      </c>
      <c r="W290" s="38">
        <v>18900</v>
      </c>
    </row>
    <row r="291" spans="4:23">
      <c r="D291" s="2">
        <v>0.77600000000000002</v>
      </c>
      <c r="E291" s="38">
        <v>3613156</v>
      </c>
      <c r="G291" s="2">
        <v>0.69199999999999995</v>
      </c>
      <c r="H291" s="38">
        <v>3775229</v>
      </c>
      <c r="M291" s="2" t="s">
        <v>1513</v>
      </c>
      <c r="N291" s="38">
        <v>356900</v>
      </c>
      <c r="P291" s="2" t="s">
        <v>1248</v>
      </c>
      <c r="Q291" s="38">
        <v>221300</v>
      </c>
      <c r="V291" s="2">
        <v>0.18099999999999999</v>
      </c>
      <c r="W291" s="38">
        <v>0</v>
      </c>
    </row>
    <row r="292" spans="4:23">
      <c r="D292" s="2">
        <v>0.77700000000000002</v>
      </c>
      <c r="E292" s="38">
        <v>3523</v>
      </c>
      <c r="G292" s="2">
        <v>0.69299999999999995</v>
      </c>
      <c r="H292" s="38">
        <v>780300</v>
      </c>
      <c r="M292" s="2" t="s">
        <v>1547</v>
      </c>
      <c r="N292" s="38">
        <v>355500</v>
      </c>
      <c r="P292" s="2" t="s">
        <v>263</v>
      </c>
      <c r="Q292" s="38">
        <v>219100</v>
      </c>
      <c r="V292" s="2">
        <v>0.183</v>
      </c>
      <c r="W292" s="38">
        <v>571621</v>
      </c>
    </row>
    <row r="293" spans="4:23">
      <c r="D293" s="2">
        <v>0.77800000000000002</v>
      </c>
      <c r="E293" s="38">
        <v>13464100</v>
      </c>
      <c r="G293" s="2">
        <v>0.69399999999999995</v>
      </c>
      <c r="H293" s="38">
        <v>147920</v>
      </c>
      <c r="M293" s="2" t="s">
        <v>1270</v>
      </c>
      <c r="N293" s="38">
        <v>355300</v>
      </c>
      <c r="P293" s="2" t="s">
        <v>435</v>
      </c>
      <c r="Q293" s="38">
        <v>217400</v>
      </c>
      <c r="V293" s="2">
        <v>0.184</v>
      </c>
      <c r="W293" s="38">
        <v>59660</v>
      </c>
    </row>
    <row r="294" spans="4:23">
      <c r="D294" s="2">
        <v>0.77900000000000003</v>
      </c>
      <c r="E294" s="38">
        <v>2500000</v>
      </c>
      <c r="G294" s="2">
        <v>0.69499999999999995</v>
      </c>
      <c r="H294" s="38">
        <v>13234768</v>
      </c>
      <c r="M294" s="2" t="s">
        <v>976</v>
      </c>
      <c r="N294" s="38">
        <v>353900</v>
      </c>
      <c r="P294" s="2" t="s">
        <v>490</v>
      </c>
      <c r="Q294" s="38">
        <v>212066</v>
      </c>
      <c r="V294" s="2">
        <v>0.186</v>
      </c>
      <c r="W294" s="38">
        <v>5266</v>
      </c>
    </row>
    <row r="295" spans="4:23">
      <c r="D295" s="2">
        <v>0.78</v>
      </c>
      <c r="E295" s="38">
        <v>2600000</v>
      </c>
      <c r="G295" s="2">
        <v>0.69599999999999995</v>
      </c>
      <c r="H295" s="38">
        <v>10008641</v>
      </c>
      <c r="M295" s="2" t="s">
        <v>1626</v>
      </c>
      <c r="N295" s="38">
        <v>347000</v>
      </c>
      <c r="P295" s="2" t="s">
        <v>1025</v>
      </c>
      <c r="Q295" s="38">
        <v>207100</v>
      </c>
      <c r="V295" s="2">
        <v>0.19</v>
      </c>
      <c r="W295" s="38">
        <v>1100000</v>
      </c>
    </row>
    <row r="296" spans="4:23">
      <c r="D296" s="2">
        <v>0.78100000000000003</v>
      </c>
      <c r="E296" s="38">
        <v>51600</v>
      </c>
      <c r="G296" s="2">
        <v>0.69699999999999995</v>
      </c>
      <c r="H296" s="38">
        <v>97700</v>
      </c>
      <c r="M296" s="2" t="s">
        <v>1308</v>
      </c>
      <c r="N296" s="38">
        <v>341400</v>
      </c>
      <c r="P296" s="2" t="s">
        <v>1691</v>
      </c>
      <c r="Q296" s="38">
        <v>202500</v>
      </c>
      <c r="V296" s="2">
        <v>0.191</v>
      </c>
      <c r="W296" s="38">
        <v>891300</v>
      </c>
    </row>
    <row r="297" spans="4:23">
      <c r="D297" s="2">
        <v>0.78200000000000003</v>
      </c>
      <c r="E297" s="38">
        <v>2133</v>
      </c>
      <c r="G297" s="2">
        <v>0.69799999999999995</v>
      </c>
      <c r="H297" s="38">
        <v>58344</v>
      </c>
      <c r="M297" s="2" t="s">
        <v>1565</v>
      </c>
      <c r="N297" s="38">
        <v>335000</v>
      </c>
      <c r="P297" s="2" t="s">
        <v>703</v>
      </c>
      <c r="Q297" s="38">
        <v>201600</v>
      </c>
      <c r="V297" s="2">
        <v>0.192</v>
      </c>
      <c r="W297" s="38">
        <v>7746</v>
      </c>
    </row>
    <row r="298" spans="4:23">
      <c r="D298" s="2">
        <v>0.78300000000000003</v>
      </c>
      <c r="E298" s="38">
        <v>413</v>
      </c>
      <c r="G298" s="2">
        <v>0.7</v>
      </c>
      <c r="H298" s="38">
        <v>516351</v>
      </c>
      <c r="M298" s="2" t="s">
        <v>732</v>
      </c>
      <c r="N298" s="38">
        <v>334600</v>
      </c>
      <c r="P298" s="2" t="s">
        <v>59</v>
      </c>
      <c r="Q298" s="38">
        <v>195600</v>
      </c>
      <c r="V298" s="2">
        <v>0.193</v>
      </c>
      <c r="W298" s="38">
        <v>210091</v>
      </c>
    </row>
    <row r="299" spans="4:23">
      <c r="D299" s="2">
        <v>0.78400000000000003</v>
      </c>
      <c r="E299" s="38">
        <v>2215800</v>
      </c>
      <c r="G299" s="2">
        <v>0.70099999999999996</v>
      </c>
      <c r="H299" s="38">
        <v>3321400</v>
      </c>
      <c r="M299" s="2" t="s">
        <v>687</v>
      </c>
      <c r="N299" s="38">
        <v>329800</v>
      </c>
      <c r="P299" s="2" t="s">
        <v>276</v>
      </c>
      <c r="Q299" s="38">
        <v>194300</v>
      </c>
      <c r="V299" s="2">
        <v>0.19400000000000001</v>
      </c>
      <c r="W299" s="38">
        <v>930600</v>
      </c>
    </row>
    <row r="300" spans="4:23">
      <c r="D300" s="2">
        <v>0.78500000000000003</v>
      </c>
      <c r="E300" s="38">
        <v>6642562</v>
      </c>
      <c r="G300" s="2">
        <v>0.70299999999999996</v>
      </c>
      <c r="H300" s="38">
        <v>211600</v>
      </c>
      <c r="M300" s="2" t="s">
        <v>1034</v>
      </c>
      <c r="N300" s="38">
        <v>329100</v>
      </c>
      <c r="P300" s="2" t="s">
        <v>549</v>
      </c>
      <c r="Q300" s="38">
        <v>192900</v>
      </c>
      <c r="V300" s="2">
        <v>0.19600000000000001</v>
      </c>
      <c r="W300" s="38">
        <v>16600000</v>
      </c>
    </row>
    <row r="301" spans="4:23">
      <c r="D301" s="2">
        <v>0.78600000000000003</v>
      </c>
      <c r="E301" s="38">
        <v>2254</v>
      </c>
      <c r="G301" s="2">
        <v>0.70399999999999996</v>
      </c>
      <c r="H301" s="38">
        <v>1700007</v>
      </c>
      <c r="M301" s="2" t="s">
        <v>1771</v>
      </c>
      <c r="N301" s="38">
        <v>323100</v>
      </c>
      <c r="P301" s="2" t="s">
        <v>1061</v>
      </c>
      <c r="Q301" s="38">
        <v>190100</v>
      </c>
      <c r="V301" s="2">
        <v>0.19800000000000001</v>
      </c>
      <c r="W301" s="38">
        <v>194240</v>
      </c>
    </row>
    <row r="302" spans="4:23">
      <c r="D302" s="2">
        <v>0.78700000000000003</v>
      </c>
      <c r="E302" s="38">
        <v>19600000</v>
      </c>
      <c r="G302" s="2">
        <v>0.70499999999999996</v>
      </c>
      <c r="H302" s="38">
        <v>2914700</v>
      </c>
      <c r="M302" s="2" t="s">
        <v>425</v>
      </c>
      <c r="N302" s="38">
        <v>321800</v>
      </c>
      <c r="P302" s="2" t="s">
        <v>211</v>
      </c>
      <c r="Q302" s="38">
        <v>185700</v>
      </c>
      <c r="V302" s="2">
        <v>0.19900000000000001</v>
      </c>
      <c r="W302" s="38">
        <v>128964</v>
      </c>
    </row>
    <row r="303" spans="4:23">
      <c r="D303" s="2">
        <v>0.78800000000000003</v>
      </c>
      <c r="E303" s="38">
        <v>1000122</v>
      </c>
      <c r="G303" s="2">
        <v>0.70599999999999996</v>
      </c>
      <c r="H303" s="38">
        <v>621401</v>
      </c>
      <c r="M303" s="2" t="s">
        <v>766</v>
      </c>
      <c r="N303" s="38">
        <v>319700</v>
      </c>
      <c r="P303" s="2" t="s">
        <v>803</v>
      </c>
      <c r="Q303" s="38">
        <v>182000</v>
      </c>
      <c r="V303" s="2">
        <v>0.2</v>
      </c>
      <c r="W303" s="38">
        <v>629900</v>
      </c>
    </row>
    <row r="304" spans="4:23">
      <c r="D304" s="2">
        <v>0.78900000000000003</v>
      </c>
      <c r="E304" s="38">
        <v>761400</v>
      </c>
      <c r="G304" s="2">
        <v>0.70699999999999996</v>
      </c>
      <c r="H304" s="38">
        <v>150</v>
      </c>
      <c r="M304" s="2" t="s">
        <v>216</v>
      </c>
      <c r="N304" s="38">
        <v>319200</v>
      </c>
      <c r="P304" s="2" t="s">
        <v>682</v>
      </c>
      <c r="Q304" s="38">
        <v>177900</v>
      </c>
      <c r="V304" s="2">
        <v>0.20100000000000001</v>
      </c>
      <c r="W304" s="38">
        <v>15400</v>
      </c>
    </row>
    <row r="305" spans="4:23">
      <c r="D305" s="2">
        <v>0.79100000000000004</v>
      </c>
      <c r="E305" s="38">
        <v>59900</v>
      </c>
      <c r="G305" s="2">
        <v>0.71</v>
      </c>
      <c r="H305" s="38">
        <v>1400032</v>
      </c>
      <c r="M305" s="2" t="s">
        <v>742</v>
      </c>
      <c r="N305" s="38">
        <v>312400</v>
      </c>
      <c r="P305" s="2" t="s">
        <v>971</v>
      </c>
      <c r="Q305" s="38">
        <v>177900</v>
      </c>
      <c r="V305" s="2">
        <v>0.20200000000000001</v>
      </c>
      <c r="W305" s="38">
        <v>1148100</v>
      </c>
    </row>
    <row r="306" spans="4:23">
      <c r="D306" s="2">
        <v>0.79200000000000004</v>
      </c>
      <c r="E306" s="38">
        <v>7014481</v>
      </c>
      <c r="G306" s="2">
        <v>0.71099999999999997</v>
      </c>
      <c r="H306" s="38">
        <v>357023</v>
      </c>
      <c r="M306" s="2" t="s">
        <v>1313</v>
      </c>
      <c r="N306" s="38">
        <v>312400</v>
      </c>
      <c r="P306" s="2" t="s">
        <v>1188</v>
      </c>
      <c r="Q306" s="38">
        <v>173600</v>
      </c>
      <c r="V306" s="2">
        <v>0.20300000000000001</v>
      </c>
      <c r="W306" s="38">
        <v>1400000</v>
      </c>
    </row>
    <row r="307" spans="4:23">
      <c r="D307" s="2">
        <v>0.79300000000000004</v>
      </c>
      <c r="E307" s="38">
        <v>266100</v>
      </c>
      <c r="G307" s="2">
        <v>0.71199999999999997</v>
      </c>
      <c r="H307" s="38">
        <v>223554</v>
      </c>
      <c r="M307" s="2" t="s">
        <v>463</v>
      </c>
      <c r="N307" s="38">
        <v>307000</v>
      </c>
      <c r="P307" s="2" t="s">
        <v>1498</v>
      </c>
      <c r="Q307" s="38">
        <v>169000</v>
      </c>
      <c r="V307" s="2">
        <v>0.20499999999999999</v>
      </c>
      <c r="W307" s="38">
        <v>1861616</v>
      </c>
    </row>
    <row r="308" spans="4:23">
      <c r="D308" s="2">
        <v>0.79400000000000004</v>
      </c>
      <c r="E308" s="38">
        <v>1838136</v>
      </c>
      <c r="G308" s="2">
        <v>0.71299999999999997</v>
      </c>
      <c r="H308" s="38">
        <v>54200</v>
      </c>
      <c r="M308" s="2" t="s">
        <v>1412</v>
      </c>
      <c r="N308" s="38">
        <v>305900</v>
      </c>
      <c r="P308" s="2" t="s">
        <v>256</v>
      </c>
      <c r="Q308" s="38">
        <v>168700</v>
      </c>
      <c r="V308" s="2">
        <v>0.20599999999999999</v>
      </c>
      <c r="W308" s="38">
        <v>1000000</v>
      </c>
    </row>
    <row r="309" spans="4:23">
      <c r="D309" s="2">
        <v>0.79500000000000004</v>
      </c>
      <c r="E309" s="38">
        <v>29</v>
      </c>
      <c r="G309" s="2">
        <v>0.71399999999999997</v>
      </c>
      <c r="H309" s="38">
        <v>45500</v>
      </c>
      <c r="M309" s="2" t="s">
        <v>1041</v>
      </c>
      <c r="N309" s="38">
        <v>303400</v>
      </c>
      <c r="P309" s="2" t="s">
        <v>1405</v>
      </c>
      <c r="Q309" s="38">
        <v>166100</v>
      </c>
      <c r="V309" s="2">
        <v>0.20699999999999999</v>
      </c>
      <c r="W309" s="38">
        <v>585800</v>
      </c>
    </row>
    <row r="310" spans="4:23">
      <c r="D310" s="2">
        <v>0.79600000000000004</v>
      </c>
      <c r="E310" s="38">
        <v>23</v>
      </c>
      <c r="G310" s="2">
        <v>0.71499999999999997</v>
      </c>
      <c r="H310" s="38">
        <v>47400</v>
      </c>
      <c r="M310" s="2" t="s">
        <v>1269</v>
      </c>
      <c r="N310" s="38">
        <v>298200</v>
      </c>
      <c r="P310" s="2" t="s">
        <v>97</v>
      </c>
      <c r="Q310" s="38">
        <v>163800</v>
      </c>
      <c r="V310" s="2">
        <v>0.20899999999999999</v>
      </c>
      <c r="W310" s="38">
        <v>329112</v>
      </c>
    </row>
    <row r="311" spans="4:23">
      <c r="D311" s="2">
        <v>0.79700000000000004</v>
      </c>
      <c r="E311" s="38">
        <v>66</v>
      </c>
      <c r="G311" s="2">
        <v>0.71599999999999997</v>
      </c>
      <c r="H311" s="38">
        <v>14238695</v>
      </c>
      <c r="M311" s="2" t="s">
        <v>756</v>
      </c>
      <c r="N311" s="38">
        <v>297300</v>
      </c>
      <c r="P311" s="2" t="s">
        <v>907</v>
      </c>
      <c r="Q311" s="38">
        <v>163500</v>
      </c>
      <c r="V311" s="2">
        <v>0.21199999999999999</v>
      </c>
      <c r="W311" s="38">
        <v>190100</v>
      </c>
    </row>
    <row r="312" spans="4:23">
      <c r="D312" s="2">
        <v>0.79800000000000004</v>
      </c>
      <c r="E312" s="38">
        <v>1670790</v>
      </c>
      <c r="G312" s="2">
        <v>0.71699999999999997</v>
      </c>
      <c r="H312" s="38">
        <v>548000</v>
      </c>
      <c r="M312" s="2" t="s">
        <v>1553</v>
      </c>
      <c r="N312" s="38">
        <v>293000</v>
      </c>
      <c r="P312" s="2" t="s">
        <v>1398</v>
      </c>
      <c r="Q312" s="38">
        <v>163300</v>
      </c>
      <c r="V312" s="2">
        <v>0.21299999999999999</v>
      </c>
      <c r="W312" s="38">
        <v>867200</v>
      </c>
    </row>
    <row r="313" spans="4:23">
      <c r="D313" s="2">
        <v>0.79900000000000004</v>
      </c>
      <c r="E313" s="38">
        <v>1790089</v>
      </c>
      <c r="G313" s="2">
        <v>0.71799999999999997</v>
      </c>
      <c r="H313" s="38">
        <v>2600000</v>
      </c>
      <c r="M313" s="2" t="s">
        <v>900</v>
      </c>
      <c r="N313" s="38">
        <v>291500</v>
      </c>
      <c r="P313" s="2" t="s">
        <v>445</v>
      </c>
      <c r="Q313" s="38">
        <v>163200</v>
      </c>
      <c r="V313" s="2">
        <v>0.214</v>
      </c>
      <c r="W313" s="38">
        <v>353900</v>
      </c>
    </row>
    <row r="314" spans="4:23">
      <c r="D314" s="2">
        <v>0.8</v>
      </c>
      <c r="E314" s="38">
        <v>96800</v>
      </c>
      <c r="G314" s="2">
        <v>0.71899999999999997</v>
      </c>
      <c r="H314" s="38">
        <v>355504</v>
      </c>
      <c r="M314" s="2" t="s">
        <v>1589</v>
      </c>
      <c r="N314" s="38">
        <v>289000</v>
      </c>
      <c r="P314" s="2" t="s">
        <v>685</v>
      </c>
      <c r="Q314" s="38">
        <v>154700</v>
      </c>
      <c r="V314" s="2">
        <v>0.215</v>
      </c>
      <c r="W314" s="38">
        <v>18515</v>
      </c>
    </row>
    <row r="315" spans="4:23">
      <c r="D315" s="2">
        <v>0.80100000000000005</v>
      </c>
      <c r="E315" s="38">
        <v>287982</v>
      </c>
      <c r="G315" s="2">
        <v>0.72</v>
      </c>
      <c r="H315" s="38">
        <v>12700</v>
      </c>
      <c r="M315" s="2" t="s">
        <v>371</v>
      </c>
      <c r="N315" s="38">
        <v>286400</v>
      </c>
      <c r="P315" s="2" t="s">
        <v>556</v>
      </c>
      <c r="Q315" s="38">
        <v>154600</v>
      </c>
      <c r="V315" s="2">
        <v>0.216</v>
      </c>
      <c r="W315" s="38">
        <v>2300000</v>
      </c>
    </row>
    <row r="316" spans="4:23">
      <c r="D316" s="2">
        <v>0.80200000000000005</v>
      </c>
      <c r="E316" s="38">
        <v>16600006</v>
      </c>
      <c r="G316" s="2">
        <v>0.72099999999999997</v>
      </c>
      <c r="H316" s="38">
        <v>51638</v>
      </c>
      <c r="M316" s="2" t="s">
        <v>604</v>
      </c>
      <c r="N316" s="38">
        <v>285700</v>
      </c>
      <c r="P316" s="2" t="s">
        <v>858</v>
      </c>
      <c r="Q316" s="38">
        <v>150600</v>
      </c>
      <c r="V316" s="2">
        <v>0.217</v>
      </c>
      <c r="W316" s="38">
        <v>415600</v>
      </c>
    </row>
    <row r="317" spans="4:23">
      <c r="D317" s="2">
        <v>0.80300000000000005</v>
      </c>
      <c r="E317" s="38">
        <v>1086</v>
      </c>
      <c r="G317" s="2">
        <v>0.72199999999999998</v>
      </c>
      <c r="H317" s="38">
        <v>5200000</v>
      </c>
      <c r="M317" s="2" t="s">
        <v>1108</v>
      </c>
      <c r="N317" s="38">
        <v>276000</v>
      </c>
      <c r="P317" s="2" t="s">
        <v>367</v>
      </c>
      <c r="Q317" s="38">
        <v>150379</v>
      </c>
      <c r="V317" s="2">
        <v>0.221</v>
      </c>
      <c r="W317" s="38">
        <v>203400</v>
      </c>
    </row>
    <row r="318" spans="4:23">
      <c r="D318" s="2">
        <v>0.80400000000000005</v>
      </c>
      <c r="E318" s="38">
        <v>923100</v>
      </c>
      <c r="G318" s="2">
        <v>0.72399999999999998</v>
      </c>
      <c r="H318" s="38">
        <v>1953200</v>
      </c>
      <c r="M318" s="2" t="s">
        <v>1127</v>
      </c>
      <c r="N318" s="38">
        <v>271700</v>
      </c>
      <c r="P318" s="2" t="s">
        <v>462</v>
      </c>
      <c r="Q318" s="38">
        <v>149800</v>
      </c>
      <c r="V318" s="2">
        <v>0.224</v>
      </c>
      <c r="W318" s="38">
        <v>10383808</v>
      </c>
    </row>
    <row r="319" spans="4:23">
      <c r="D319" s="2">
        <v>0.80500000000000005</v>
      </c>
      <c r="E319" s="38">
        <v>884</v>
      </c>
      <c r="G319" s="2">
        <v>0.72499999999999998</v>
      </c>
      <c r="H319" s="38">
        <v>3</v>
      </c>
      <c r="M319" s="2" t="s">
        <v>467</v>
      </c>
      <c r="N319" s="38">
        <v>269000</v>
      </c>
      <c r="P319" s="2" t="s">
        <v>1782</v>
      </c>
      <c r="Q319" s="38">
        <v>148200</v>
      </c>
      <c r="V319" s="2">
        <v>0.22500000000000001</v>
      </c>
      <c r="W319" s="38">
        <v>3466</v>
      </c>
    </row>
    <row r="320" spans="4:23">
      <c r="D320" s="2">
        <v>0.80600000000000005</v>
      </c>
      <c r="E320" s="38">
        <v>4902555</v>
      </c>
      <c r="G320" s="2">
        <v>0.72699999999999998</v>
      </c>
      <c r="H320" s="38">
        <v>390379</v>
      </c>
      <c r="M320" s="2" t="s">
        <v>1117</v>
      </c>
      <c r="N320" s="38">
        <v>266500</v>
      </c>
      <c r="P320" s="2" t="s">
        <v>1291</v>
      </c>
      <c r="Q320" s="38">
        <v>143400</v>
      </c>
      <c r="V320" s="2">
        <v>0.22800000000000001</v>
      </c>
      <c r="W320" s="38">
        <v>4543200</v>
      </c>
    </row>
    <row r="321" spans="4:23">
      <c r="D321" s="2">
        <v>0.80700000000000005</v>
      </c>
      <c r="E321" s="38">
        <v>3300321</v>
      </c>
      <c r="G321" s="2">
        <v>0.72799999999999998</v>
      </c>
      <c r="H321" s="38">
        <v>3553</v>
      </c>
      <c r="M321" s="2" t="s">
        <v>1294</v>
      </c>
      <c r="N321" s="38">
        <v>266100</v>
      </c>
      <c r="P321" s="2" t="s">
        <v>232</v>
      </c>
      <c r="Q321" s="38">
        <v>143300</v>
      </c>
      <c r="V321" s="2">
        <v>0.22900000000000001</v>
      </c>
      <c r="W321" s="38">
        <v>2800000</v>
      </c>
    </row>
    <row r="322" spans="4:23">
      <c r="D322" s="2">
        <v>0.80800000000000005</v>
      </c>
      <c r="E322" s="38">
        <v>2200946</v>
      </c>
      <c r="G322" s="2">
        <v>0.72899999999999998</v>
      </c>
      <c r="H322" s="38">
        <v>10161642</v>
      </c>
      <c r="M322" s="2" t="s">
        <v>1484</v>
      </c>
      <c r="N322" s="38">
        <v>265400</v>
      </c>
      <c r="P322" s="2" t="s">
        <v>993</v>
      </c>
      <c r="Q322" s="38">
        <v>143200</v>
      </c>
      <c r="V322" s="2">
        <v>0.23</v>
      </c>
      <c r="W322" s="38">
        <v>11300</v>
      </c>
    </row>
    <row r="323" spans="4:23">
      <c r="D323" s="2">
        <v>0.81</v>
      </c>
      <c r="E323" s="38">
        <v>2788500</v>
      </c>
      <c r="G323" s="2">
        <v>0.73</v>
      </c>
      <c r="H323" s="38">
        <v>4800000</v>
      </c>
      <c r="M323" s="2" t="s">
        <v>1633</v>
      </c>
      <c r="N323" s="38">
        <v>261800</v>
      </c>
      <c r="P323" s="2" t="s">
        <v>91</v>
      </c>
      <c r="Q323" s="38">
        <v>143000</v>
      </c>
      <c r="V323" s="2">
        <v>0.23200000000000001</v>
      </c>
      <c r="W323" s="38">
        <v>1400000</v>
      </c>
    </row>
    <row r="324" spans="4:23">
      <c r="D324" s="2">
        <v>0.81100000000000005</v>
      </c>
      <c r="E324" s="38">
        <v>371100</v>
      </c>
      <c r="G324" s="2">
        <v>0.73099999999999998</v>
      </c>
      <c r="H324" s="38">
        <v>698200</v>
      </c>
      <c r="M324" s="2" t="s">
        <v>453</v>
      </c>
      <c r="N324" s="38">
        <v>260200</v>
      </c>
      <c r="P324" s="2" t="s">
        <v>494</v>
      </c>
      <c r="Q324" s="38">
        <v>139600</v>
      </c>
      <c r="V324" s="2">
        <v>0.23400000000000001</v>
      </c>
      <c r="W324" s="38">
        <v>4682</v>
      </c>
    </row>
    <row r="325" spans="4:23">
      <c r="D325" s="2">
        <v>0.81200000000000006</v>
      </c>
      <c r="E325" s="38">
        <v>4400088</v>
      </c>
      <c r="G325" s="2">
        <v>0.73199999999999998</v>
      </c>
      <c r="H325" s="38">
        <v>119064</v>
      </c>
      <c r="M325" s="2" t="s">
        <v>1668</v>
      </c>
      <c r="N325" s="38">
        <v>256600</v>
      </c>
      <c r="P325" s="2" t="s">
        <v>1258</v>
      </c>
      <c r="Q325" s="38">
        <v>138100</v>
      </c>
      <c r="V325" s="2">
        <v>0.23499999999999999</v>
      </c>
      <c r="W325" s="38">
        <v>26300</v>
      </c>
    </row>
    <row r="326" spans="4:23">
      <c r="D326" s="2">
        <v>0.81299999999999994</v>
      </c>
      <c r="E326" s="38">
        <v>3460200</v>
      </c>
      <c r="G326" s="2">
        <v>0.73299999999999998</v>
      </c>
      <c r="H326" s="38">
        <v>798817</v>
      </c>
      <c r="M326" s="2" t="s">
        <v>940</v>
      </c>
      <c r="N326" s="38">
        <v>252500</v>
      </c>
      <c r="P326" s="2" t="s">
        <v>966</v>
      </c>
      <c r="Q326" s="38">
        <v>137700</v>
      </c>
      <c r="V326" s="2">
        <v>0.23599999999999999</v>
      </c>
      <c r="W326" s="38">
        <v>2254</v>
      </c>
    </row>
    <row r="327" spans="4:23">
      <c r="D327" s="2">
        <v>0.81399999999999995</v>
      </c>
      <c r="E327" s="38">
        <v>2400120</v>
      </c>
      <c r="G327" s="2">
        <v>0.73399999999999999</v>
      </c>
      <c r="H327" s="38">
        <v>566502</v>
      </c>
      <c r="M327" s="2" t="s">
        <v>1393</v>
      </c>
      <c r="N327" s="38">
        <v>252000</v>
      </c>
      <c r="P327" s="2" t="s">
        <v>599</v>
      </c>
      <c r="Q327" s="38">
        <v>137400</v>
      </c>
      <c r="V327" s="2">
        <v>0.23699999999999999</v>
      </c>
      <c r="W327" s="38">
        <v>10214</v>
      </c>
    </row>
    <row r="328" spans="4:23">
      <c r="D328" s="2">
        <v>0.81499999999999995</v>
      </c>
      <c r="E328" s="38">
        <v>62200</v>
      </c>
      <c r="G328" s="2">
        <v>0.73499999999999999</v>
      </c>
      <c r="H328" s="38">
        <v>7199</v>
      </c>
      <c r="M328" s="2" t="s">
        <v>964</v>
      </c>
      <c r="N328" s="38">
        <v>247000</v>
      </c>
      <c r="P328" s="2" t="s">
        <v>1419</v>
      </c>
      <c r="Q328" s="38">
        <v>134800</v>
      </c>
      <c r="V328" s="2">
        <v>0.23899999999999999</v>
      </c>
      <c r="W328" s="38">
        <v>391803</v>
      </c>
    </row>
    <row r="329" spans="4:23">
      <c r="D329" s="2">
        <v>0.81599999999999995</v>
      </c>
      <c r="E329" s="38">
        <v>1287993</v>
      </c>
      <c r="G329" s="2">
        <v>0.73599999999999999</v>
      </c>
      <c r="H329" s="38">
        <v>2200000</v>
      </c>
      <c r="M329" s="2" t="s">
        <v>375</v>
      </c>
      <c r="N329" s="38">
        <v>246000</v>
      </c>
      <c r="P329" s="2" t="s">
        <v>1696</v>
      </c>
      <c r="Q329" s="38">
        <v>134200</v>
      </c>
      <c r="V329" s="2">
        <v>0.24</v>
      </c>
      <c r="W329" s="38">
        <v>1151</v>
      </c>
    </row>
    <row r="330" spans="4:23">
      <c r="D330" s="2">
        <v>0.81699999999999995</v>
      </c>
      <c r="E330" s="38">
        <v>11230</v>
      </c>
      <c r="G330" s="2">
        <v>0.73699999999999999</v>
      </c>
      <c r="H330" s="38">
        <v>129900</v>
      </c>
      <c r="M330" s="2" t="s">
        <v>1469</v>
      </c>
      <c r="N330" s="38">
        <v>243300</v>
      </c>
      <c r="P330" s="2" t="s">
        <v>181</v>
      </c>
      <c r="Q330" s="38">
        <v>130200</v>
      </c>
      <c r="V330" s="2">
        <v>0.24099999999999999</v>
      </c>
      <c r="W330" s="38">
        <v>1031574</v>
      </c>
    </row>
    <row r="331" spans="4:23">
      <c r="D331" s="2">
        <v>0.81799999999999995</v>
      </c>
      <c r="E331" s="38">
        <v>50</v>
      </c>
      <c r="G331" s="2">
        <v>0.73799999999999999</v>
      </c>
      <c r="H331" s="38">
        <v>2163034</v>
      </c>
      <c r="M331" s="2" t="s">
        <v>961</v>
      </c>
      <c r="N331" s="38">
        <v>240900</v>
      </c>
      <c r="P331" s="2" t="s">
        <v>107</v>
      </c>
      <c r="Q331" s="38">
        <v>129200</v>
      </c>
      <c r="V331" s="2">
        <v>0.24199999999999999</v>
      </c>
      <c r="W331" s="38">
        <v>472574</v>
      </c>
    </row>
    <row r="332" spans="4:23">
      <c r="D332" s="2">
        <v>0.81899999999999995</v>
      </c>
      <c r="E332" s="38">
        <v>1922900</v>
      </c>
      <c r="G332" s="2">
        <v>0.73899999999999999</v>
      </c>
      <c r="H332" s="38">
        <v>12863300</v>
      </c>
      <c r="M332" s="2" t="s">
        <v>1016</v>
      </c>
      <c r="N332" s="38">
        <v>240600</v>
      </c>
      <c r="P332" s="2" t="s">
        <v>1796</v>
      </c>
      <c r="Q332" s="38">
        <v>125800</v>
      </c>
      <c r="V332" s="2">
        <v>0.24299999999999999</v>
      </c>
      <c r="W332" s="38">
        <v>0</v>
      </c>
    </row>
    <row r="333" spans="4:23">
      <c r="D333" s="2">
        <v>0.82</v>
      </c>
      <c r="E333" s="38">
        <v>2000000</v>
      </c>
      <c r="G333" s="2">
        <v>0.74</v>
      </c>
      <c r="H333" s="38">
        <v>5377605</v>
      </c>
      <c r="M333" s="2" t="s">
        <v>433</v>
      </c>
      <c r="N333" s="38">
        <v>235700</v>
      </c>
      <c r="P333" s="2" t="s">
        <v>1305</v>
      </c>
      <c r="Q333" s="38">
        <v>125400</v>
      </c>
      <c r="V333" s="2">
        <v>0.245</v>
      </c>
      <c r="W333" s="38">
        <v>6</v>
      </c>
    </row>
    <row r="334" spans="4:23">
      <c r="D334" s="2">
        <v>0.82199999999999995</v>
      </c>
      <c r="E334" s="38">
        <v>385486</v>
      </c>
      <c r="G334" s="2">
        <v>0.74099999999999999</v>
      </c>
      <c r="H334" s="38">
        <v>29778656</v>
      </c>
      <c r="M334" s="2" t="s">
        <v>478</v>
      </c>
      <c r="N334" s="38">
        <v>234200</v>
      </c>
      <c r="P334" s="2" t="s">
        <v>790</v>
      </c>
      <c r="Q334" s="38">
        <v>121300</v>
      </c>
      <c r="V334" s="2">
        <v>0.246</v>
      </c>
      <c r="W334" s="38">
        <v>35</v>
      </c>
    </row>
    <row r="335" spans="4:23">
      <c r="D335" s="2">
        <v>0.82299999999999995</v>
      </c>
      <c r="E335" s="38">
        <v>207200</v>
      </c>
      <c r="G335" s="2">
        <v>0.74199999999999999</v>
      </c>
      <c r="H335" s="38">
        <v>404633</v>
      </c>
      <c r="M335" s="2" t="s">
        <v>1479</v>
      </c>
      <c r="N335" s="38">
        <v>231600</v>
      </c>
      <c r="P335" s="2" t="s">
        <v>1157</v>
      </c>
      <c r="Q335" s="38">
        <v>120400</v>
      </c>
      <c r="V335" s="2">
        <v>0.247</v>
      </c>
      <c r="W335" s="38">
        <v>587000</v>
      </c>
    </row>
    <row r="336" spans="4:23">
      <c r="D336" s="2">
        <v>0.82399999999999995</v>
      </c>
      <c r="E336" s="38">
        <v>50908600</v>
      </c>
      <c r="G336" s="2">
        <v>0.74299999999999999</v>
      </c>
      <c r="H336" s="38">
        <v>1800803</v>
      </c>
      <c r="M336" s="2" t="s">
        <v>363</v>
      </c>
      <c r="N336" s="38">
        <v>231200</v>
      </c>
      <c r="P336" s="2" t="s">
        <v>235</v>
      </c>
      <c r="Q336" s="38">
        <v>117800</v>
      </c>
      <c r="V336" s="2">
        <v>0.248</v>
      </c>
      <c r="W336" s="38">
        <v>592800</v>
      </c>
    </row>
    <row r="337" spans="4:23">
      <c r="D337" s="2">
        <v>0.82599999999999996</v>
      </c>
      <c r="E337" s="38">
        <v>4535600</v>
      </c>
      <c r="G337" s="2">
        <v>0.74399999999999999</v>
      </c>
      <c r="H337" s="38">
        <v>261800</v>
      </c>
      <c r="M337" s="2" t="s">
        <v>1132</v>
      </c>
      <c r="N337" s="38">
        <v>229100</v>
      </c>
      <c r="P337" s="2" t="s">
        <v>1348</v>
      </c>
      <c r="Q337" s="38">
        <v>111400</v>
      </c>
      <c r="V337" s="2">
        <v>0.25</v>
      </c>
      <c r="W337" s="38">
        <v>751300</v>
      </c>
    </row>
    <row r="338" spans="4:23">
      <c r="D338" s="2">
        <v>0.82699999999999996</v>
      </c>
      <c r="E338" s="38">
        <v>125800</v>
      </c>
      <c r="G338" s="2">
        <v>0.745</v>
      </c>
      <c r="H338" s="38">
        <v>0</v>
      </c>
      <c r="M338" s="2" t="s">
        <v>794</v>
      </c>
      <c r="N338" s="38">
        <v>225900</v>
      </c>
      <c r="P338" s="2" t="s">
        <v>1122</v>
      </c>
      <c r="Q338" s="38">
        <v>111000</v>
      </c>
      <c r="V338" s="2">
        <v>0.251</v>
      </c>
      <c r="W338" s="38">
        <v>752300</v>
      </c>
    </row>
    <row r="339" spans="4:23">
      <c r="D339" s="2">
        <v>0.82799999999999996</v>
      </c>
      <c r="E339" s="38">
        <v>122200</v>
      </c>
      <c r="G339" s="2">
        <v>0.747</v>
      </c>
      <c r="H339" s="38">
        <v>201753</v>
      </c>
      <c r="M339" s="2" t="s">
        <v>1826</v>
      </c>
      <c r="N339" s="38">
        <v>223900</v>
      </c>
      <c r="P339" s="2" t="s">
        <v>745</v>
      </c>
      <c r="Q339" s="38">
        <v>110900</v>
      </c>
      <c r="V339" s="2">
        <v>0.253</v>
      </c>
      <c r="W339" s="38">
        <v>844700</v>
      </c>
    </row>
    <row r="340" spans="4:23">
      <c r="D340" s="2">
        <v>0.82899999999999996</v>
      </c>
      <c r="E340" s="38">
        <v>1774</v>
      </c>
      <c r="G340" s="2">
        <v>0.748</v>
      </c>
      <c r="H340" s="38">
        <v>0</v>
      </c>
      <c r="M340" s="2" t="s">
        <v>946</v>
      </c>
      <c r="N340" s="38">
        <v>222300</v>
      </c>
      <c r="P340" s="2" t="s">
        <v>1830</v>
      </c>
      <c r="Q340" s="38">
        <v>110500</v>
      </c>
      <c r="V340" s="2">
        <v>0.254</v>
      </c>
      <c r="W340" s="38">
        <v>365001</v>
      </c>
    </row>
    <row r="341" spans="4:23">
      <c r="D341" s="2">
        <v>0.83</v>
      </c>
      <c r="E341" s="38">
        <v>2960900</v>
      </c>
      <c r="G341" s="2">
        <v>0.75</v>
      </c>
      <c r="H341" s="38">
        <v>19467</v>
      </c>
      <c r="M341" s="2" t="s">
        <v>1247</v>
      </c>
      <c r="N341" s="38">
        <v>221300</v>
      </c>
      <c r="P341" s="2" t="s">
        <v>457</v>
      </c>
      <c r="Q341" s="38">
        <v>108122</v>
      </c>
      <c r="V341" s="2">
        <v>0.255</v>
      </c>
      <c r="W341" s="38">
        <v>1103700</v>
      </c>
    </row>
    <row r="342" spans="4:23">
      <c r="D342" s="2">
        <v>0.83099999999999996</v>
      </c>
      <c r="E342" s="38">
        <v>4335427</v>
      </c>
      <c r="G342" s="2">
        <v>0.751</v>
      </c>
      <c r="H342" s="38">
        <v>5900000</v>
      </c>
      <c r="M342" s="2" t="s">
        <v>395</v>
      </c>
      <c r="N342" s="38">
        <v>220600</v>
      </c>
      <c r="P342" s="2" t="s">
        <v>1095</v>
      </c>
      <c r="Q342" s="38">
        <v>106677</v>
      </c>
      <c r="V342" s="2">
        <v>0.25600000000000001</v>
      </c>
      <c r="W342" s="38">
        <v>4753</v>
      </c>
    </row>
    <row r="343" spans="4:23">
      <c r="D343" s="2">
        <v>0.83399999999999996</v>
      </c>
      <c r="E343" s="38">
        <v>3001000</v>
      </c>
      <c r="G343" s="2">
        <v>0.752</v>
      </c>
      <c r="H343" s="38">
        <v>3000000</v>
      </c>
      <c r="M343" s="2" t="s">
        <v>262</v>
      </c>
      <c r="N343" s="38">
        <v>219100</v>
      </c>
      <c r="P343" s="2" t="s">
        <v>221</v>
      </c>
      <c r="Q343" s="38">
        <v>105800</v>
      </c>
      <c r="V343" s="2">
        <v>0.25900000000000001</v>
      </c>
      <c r="W343" s="38">
        <v>393897</v>
      </c>
    </row>
    <row r="344" spans="4:23">
      <c r="D344" s="2">
        <v>0.83599999999999997</v>
      </c>
      <c r="E344" s="38">
        <v>1800000</v>
      </c>
      <c r="G344" s="2">
        <v>0.753</v>
      </c>
      <c r="H344" s="38">
        <v>366</v>
      </c>
      <c r="M344" s="2" t="s">
        <v>1303</v>
      </c>
      <c r="N344" s="38">
        <v>217600</v>
      </c>
      <c r="P344" s="2" t="s">
        <v>1256</v>
      </c>
      <c r="Q344" s="38">
        <v>105300</v>
      </c>
      <c r="V344" s="2">
        <v>0.26</v>
      </c>
      <c r="W344" s="38">
        <v>562034</v>
      </c>
    </row>
    <row r="345" spans="4:23">
      <c r="D345" s="2">
        <v>0.83899999999999997</v>
      </c>
      <c r="E345" s="38">
        <v>1000319</v>
      </c>
      <c r="G345" s="2">
        <v>0.754</v>
      </c>
      <c r="H345" s="38">
        <v>2560474</v>
      </c>
      <c r="M345" s="2" t="s">
        <v>434</v>
      </c>
      <c r="N345" s="38">
        <v>217400</v>
      </c>
      <c r="P345" s="2" t="s">
        <v>656</v>
      </c>
      <c r="Q345" s="38">
        <v>104400</v>
      </c>
      <c r="V345" s="2">
        <v>0.26100000000000001</v>
      </c>
      <c r="W345" s="38">
        <v>0</v>
      </c>
    </row>
    <row r="346" spans="4:23">
      <c r="D346" s="2">
        <v>0.84</v>
      </c>
      <c r="E346" s="38">
        <v>1800000</v>
      </c>
      <c r="G346" s="2">
        <v>0.75600000000000001</v>
      </c>
      <c r="H346" s="38">
        <v>66700</v>
      </c>
      <c r="M346" s="2" t="s">
        <v>1465</v>
      </c>
      <c r="N346" s="38">
        <v>214400</v>
      </c>
      <c r="P346" s="2" t="s">
        <v>411</v>
      </c>
      <c r="Q346" s="38">
        <v>103400</v>
      </c>
      <c r="V346" s="2">
        <v>0.26200000000000001</v>
      </c>
      <c r="W346" s="38">
        <v>13800</v>
      </c>
    </row>
    <row r="347" spans="4:23">
      <c r="D347" s="2">
        <v>0.84199999999999997</v>
      </c>
      <c r="E347" s="38">
        <v>1500003</v>
      </c>
      <c r="G347" s="2">
        <v>0.75800000000000001</v>
      </c>
      <c r="H347" s="38">
        <v>749</v>
      </c>
      <c r="M347" s="2" t="s">
        <v>1649</v>
      </c>
      <c r="N347" s="38">
        <v>208600</v>
      </c>
      <c r="P347" s="2" t="s">
        <v>1500</v>
      </c>
      <c r="Q347" s="38">
        <v>103000</v>
      </c>
      <c r="V347" s="2">
        <v>0.26300000000000001</v>
      </c>
      <c r="W347" s="38">
        <v>59100</v>
      </c>
    </row>
    <row r="348" spans="4:23">
      <c r="D348" s="2">
        <v>0.84299999999999997</v>
      </c>
      <c r="E348" s="38">
        <v>31800151</v>
      </c>
      <c r="G348" s="2">
        <v>0.76100000000000001</v>
      </c>
      <c r="H348" s="38">
        <v>746700</v>
      </c>
      <c r="M348" s="2" t="s">
        <v>1603</v>
      </c>
      <c r="N348" s="38">
        <v>207200</v>
      </c>
      <c r="P348" s="2" t="s">
        <v>577</v>
      </c>
      <c r="Q348" s="38">
        <v>101400</v>
      </c>
      <c r="V348" s="2">
        <v>0.26600000000000001</v>
      </c>
      <c r="W348" s="38">
        <v>11</v>
      </c>
    </row>
    <row r="349" spans="4:23">
      <c r="D349" s="2">
        <v>0.84399999999999997</v>
      </c>
      <c r="E349" s="38">
        <v>4230200</v>
      </c>
      <c r="G349" s="2">
        <v>0.76300000000000001</v>
      </c>
      <c r="H349" s="38">
        <v>87200</v>
      </c>
      <c r="M349" s="2" t="s">
        <v>1026</v>
      </c>
      <c r="N349" s="38">
        <v>207100</v>
      </c>
      <c r="P349" s="2" t="s">
        <v>1345</v>
      </c>
      <c r="Q349" s="38">
        <v>99400</v>
      </c>
      <c r="V349" s="2">
        <v>0.26700000000000002</v>
      </c>
      <c r="W349" s="38">
        <v>4581</v>
      </c>
    </row>
    <row r="350" spans="4:23">
      <c r="D350" s="2">
        <v>0.84499999999999997</v>
      </c>
      <c r="E350" s="38">
        <v>788112</v>
      </c>
      <c r="G350" s="2">
        <v>0.76400000000000001</v>
      </c>
      <c r="H350" s="38">
        <v>3810998</v>
      </c>
      <c r="M350" s="2" t="s">
        <v>634</v>
      </c>
      <c r="N350" s="38">
        <v>206300</v>
      </c>
      <c r="P350" s="2" t="s">
        <v>659</v>
      </c>
      <c r="Q350" s="38">
        <v>97800</v>
      </c>
      <c r="V350" s="2">
        <v>0.26800000000000002</v>
      </c>
      <c r="W350" s="38">
        <v>58</v>
      </c>
    </row>
    <row r="351" spans="4:23">
      <c r="D351" s="2">
        <v>0.84699999999999998</v>
      </c>
      <c r="E351" s="38">
        <v>18900042</v>
      </c>
      <c r="G351" s="2">
        <v>0.76500000000000001</v>
      </c>
      <c r="H351" s="38">
        <v>269008</v>
      </c>
      <c r="M351" s="2" t="s">
        <v>1045</v>
      </c>
      <c r="N351" s="38">
        <v>203400</v>
      </c>
      <c r="P351" s="2" t="s">
        <v>265</v>
      </c>
      <c r="Q351" s="38">
        <v>97100</v>
      </c>
      <c r="V351" s="2">
        <v>0.26900000000000002</v>
      </c>
      <c r="W351" s="38">
        <v>606601</v>
      </c>
    </row>
    <row r="352" spans="4:23">
      <c r="D352" s="2">
        <v>0.84799999999999998</v>
      </c>
      <c r="E352" s="38">
        <v>220</v>
      </c>
      <c r="G352" s="2">
        <v>0.76600000000000001</v>
      </c>
      <c r="H352" s="38">
        <v>4701982</v>
      </c>
      <c r="M352" s="2" t="s">
        <v>1690</v>
      </c>
      <c r="N352" s="38">
        <v>202500</v>
      </c>
      <c r="P352" s="2" t="s">
        <v>1400</v>
      </c>
      <c r="Q352" s="38">
        <v>88300</v>
      </c>
      <c r="V352" s="2">
        <v>0.27100000000000002</v>
      </c>
      <c r="W352" s="38">
        <v>47400</v>
      </c>
    </row>
    <row r="353" spans="4:23">
      <c r="D353" s="2">
        <v>0.84899999999999998</v>
      </c>
      <c r="E353" s="38">
        <v>1024200</v>
      </c>
      <c r="G353" s="2">
        <v>0.77100000000000002</v>
      </c>
      <c r="H353" s="38">
        <v>225900</v>
      </c>
      <c r="M353" s="2" t="s">
        <v>704</v>
      </c>
      <c r="N353" s="38">
        <v>201600</v>
      </c>
      <c r="P353" s="2" t="s">
        <v>788</v>
      </c>
      <c r="Q353" s="38">
        <v>83700</v>
      </c>
      <c r="V353" s="2">
        <v>0.27200000000000002</v>
      </c>
      <c r="W353" s="38">
        <v>5640834</v>
      </c>
    </row>
    <row r="354" spans="4:23">
      <c r="D354" s="2">
        <v>0.85</v>
      </c>
      <c r="E354" s="38">
        <v>192900</v>
      </c>
      <c r="G354" s="2">
        <v>0.77200000000000002</v>
      </c>
      <c r="H354" s="38">
        <v>115500</v>
      </c>
      <c r="M354" s="2" t="s">
        <v>1318</v>
      </c>
      <c r="N354" s="38">
        <v>198900</v>
      </c>
      <c r="P354" s="2" t="s">
        <v>958</v>
      </c>
      <c r="Q354" s="38">
        <v>83400</v>
      </c>
      <c r="V354" s="2">
        <v>0.27300000000000002</v>
      </c>
      <c r="W354" s="38">
        <v>563200</v>
      </c>
    </row>
    <row r="355" spans="4:23">
      <c r="D355" s="2">
        <v>0.85099999999999998</v>
      </c>
      <c r="E355" s="38">
        <v>142</v>
      </c>
      <c r="G355" s="2">
        <v>0.77300000000000002</v>
      </c>
      <c r="H355" s="38">
        <v>9257</v>
      </c>
      <c r="M355" s="2" t="s">
        <v>58</v>
      </c>
      <c r="N355" s="38">
        <v>195600</v>
      </c>
      <c r="P355" s="2" t="s">
        <v>509</v>
      </c>
      <c r="Q355" s="38">
        <v>83200</v>
      </c>
      <c r="V355" s="2">
        <v>0.27400000000000002</v>
      </c>
      <c r="W355" s="38">
        <v>2918700</v>
      </c>
    </row>
    <row r="356" spans="4:23">
      <c r="D356" s="2">
        <v>0.85299999999999998</v>
      </c>
      <c r="E356" s="38">
        <v>0</v>
      </c>
      <c r="G356" s="2">
        <v>0.77400000000000002</v>
      </c>
      <c r="H356" s="38">
        <v>651787</v>
      </c>
      <c r="M356" s="2" t="s">
        <v>548</v>
      </c>
      <c r="N356" s="38">
        <v>192900</v>
      </c>
      <c r="P356" s="2" t="s">
        <v>1288</v>
      </c>
      <c r="Q356" s="38">
        <v>81637</v>
      </c>
      <c r="V356" s="2">
        <v>0.27700000000000002</v>
      </c>
      <c r="W356" s="38">
        <v>148200</v>
      </c>
    </row>
    <row r="357" spans="4:23">
      <c r="D357" s="2">
        <v>0.85499999999999998</v>
      </c>
      <c r="E357" s="38">
        <v>861700</v>
      </c>
      <c r="G357" s="2">
        <v>0.77600000000000002</v>
      </c>
      <c r="H357" s="38">
        <v>1200000</v>
      </c>
      <c r="M357" s="2" t="s">
        <v>1175</v>
      </c>
      <c r="N357" s="38">
        <v>192900</v>
      </c>
      <c r="P357" s="2" t="s">
        <v>1576</v>
      </c>
      <c r="Q357" s="38">
        <v>79000</v>
      </c>
      <c r="V357" s="2">
        <v>0.27800000000000002</v>
      </c>
      <c r="W357" s="38">
        <v>0</v>
      </c>
    </row>
    <row r="358" spans="4:23">
      <c r="D358" s="2">
        <v>0.85599999999999998</v>
      </c>
      <c r="E358" s="38">
        <v>1420</v>
      </c>
      <c r="G358" s="2">
        <v>0.77700000000000002</v>
      </c>
      <c r="H358" s="38">
        <v>0</v>
      </c>
      <c r="M358" s="2" t="s">
        <v>1062</v>
      </c>
      <c r="N358" s="38">
        <v>190100</v>
      </c>
      <c r="P358" s="2" t="s">
        <v>1552</v>
      </c>
      <c r="Q358" s="38">
        <v>78300</v>
      </c>
      <c r="V358" s="2">
        <v>0.27900000000000003</v>
      </c>
      <c r="W358" s="38">
        <v>340</v>
      </c>
    </row>
    <row r="359" spans="4:23">
      <c r="D359" s="2">
        <v>0.85699999999999998</v>
      </c>
      <c r="E359" s="38">
        <v>18700</v>
      </c>
      <c r="G359" s="2">
        <v>0.77800000000000002</v>
      </c>
      <c r="H359" s="38">
        <v>168868</v>
      </c>
      <c r="M359" s="2" t="s">
        <v>686</v>
      </c>
      <c r="N359" s="38">
        <v>187451</v>
      </c>
      <c r="P359" s="2" t="s">
        <v>580</v>
      </c>
      <c r="Q359" s="38">
        <v>70300</v>
      </c>
      <c r="V359" s="2">
        <v>0.28100000000000003</v>
      </c>
      <c r="W359" s="38">
        <v>1000049</v>
      </c>
    </row>
    <row r="360" spans="4:23">
      <c r="D360" s="2">
        <v>0.85899999999999999</v>
      </c>
      <c r="E360" s="38">
        <v>6686180</v>
      </c>
      <c r="G360" s="2">
        <v>0.78</v>
      </c>
      <c r="H360" s="38">
        <v>385177</v>
      </c>
      <c r="M360" s="2" t="s">
        <v>210</v>
      </c>
      <c r="N360" s="38">
        <v>185700</v>
      </c>
      <c r="P360" s="2" t="s">
        <v>1003</v>
      </c>
      <c r="Q360" s="38">
        <v>66700</v>
      </c>
      <c r="V360" s="2">
        <v>0.28299999999999997</v>
      </c>
      <c r="W360" s="38">
        <v>868600</v>
      </c>
    </row>
    <row r="361" spans="4:23">
      <c r="D361" s="2">
        <v>0.86099999999999999</v>
      </c>
      <c r="E361" s="38">
        <v>561707</v>
      </c>
      <c r="G361" s="2">
        <v>0.78100000000000003</v>
      </c>
      <c r="H361" s="38">
        <v>1291</v>
      </c>
      <c r="M361" s="2" t="s">
        <v>864</v>
      </c>
      <c r="N361" s="38">
        <v>183800</v>
      </c>
      <c r="P361" s="2" t="s">
        <v>506</v>
      </c>
      <c r="Q361" s="38">
        <v>62900</v>
      </c>
      <c r="V361" s="2">
        <v>0.28499999999999998</v>
      </c>
      <c r="W361" s="38">
        <v>6800000</v>
      </c>
    </row>
    <row r="362" spans="4:23">
      <c r="D362" s="2">
        <v>0.86199999999999999</v>
      </c>
      <c r="E362" s="38">
        <v>5200000</v>
      </c>
      <c r="G362" s="2">
        <v>0.78200000000000003</v>
      </c>
      <c r="H362" s="38">
        <v>6000895</v>
      </c>
      <c r="M362" s="2" t="s">
        <v>683</v>
      </c>
      <c r="N362" s="38">
        <v>177900</v>
      </c>
      <c r="P362" s="2" t="s">
        <v>1518</v>
      </c>
      <c r="Q362" s="38">
        <v>62200</v>
      </c>
      <c r="V362" s="2">
        <v>0.28599999999999998</v>
      </c>
      <c r="W362" s="38">
        <v>1243000</v>
      </c>
    </row>
    <row r="363" spans="4:23">
      <c r="D363" s="2">
        <v>0.86299999999999999</v>
      </c>
      <c r="E363" s="38">
        <v>5422135</v>
      </c>
      <c r="G363" s="2">
        <v>0.78300000000000003</v>
      </c>
      <c r="H363" s="38">
        <v>156821</v>
      </c>
      <c r="M363" s="2" t="s">
        <v>972</v>
      </c>
      <c r="N363" s="38">
        <v>177900</v>
      </c>
      <c r="P363" s="2" t="s">
        <v>708</v>
      </c>
      <c r="Q363" s="38">
        <v>61000</v>
      </c>
      <c r="V363" s="2">
        <v>0.28899999999999998</v>
      </c>
      <c r="W363" s="38">
        <v>2601336</v>
      </c>
    </row>
    <row r="364" spans="4:23">
      <c r="D364" s="2">
        <v>0.86399999999999999</v>
      </c>
      <c r="E364" s="38">
        <v>8300000</v>
      </c>
      <c r="G364" s="2">
        <v>0.78500000000000003</v>
      </c>
      <c r="H364" s="38">
        <v>120</v>
      </c>
      <c r="M364" s="2" t="s">
        <v>1532</v>
      </c>
      <c r="N364" s="38">
        <v>175400</v>
      </c>
      <c r="P364" s="2" t="s">
        <v>357</v>
      </c>
      <c r="Q364" s="38">
        <v>59100</v>
      </c>
      <c r="V364" s="2">
        <v>0.28999999999999998</v>
      </c>
      <c r="W364" s="38">
        <v>948400</v>
      </c>
    </row>
    <row r="365" spans="4:23">
      <c r="D365" s="2">
        <v>0.86499999999999999</v>
      </c>
      <c r="E365" s="38">
        <v>2030</v>
      </c>
      <c r="G365" s="2">
        <v>0.78600000000000003</v>
      </c>
      <c r="H365" s="38">
        <v>578</v>
      </c>
      <c r="M365" s="2" t="s">
        <v>1189</v>
      </c>
      <c r="N365" s="38">
        <v>173600</v>
      </c>
      <c r="P365" s="2" t="s">
        <v>785</v>
      </c>
      <c r="Q365" s="38">
        <v>58800</v>
      </c>
      <c r="V365" s="2">
        <v>0.29099999999999998</v>
      </c>
      <c r="W365" s="38">
        <v>29500</v>
      </c>
    </row>
    <row r="366" spans="4:23">
      <c r="D366" s="2">
        <v>0.86599999999999999</v>
      </c>
      <c r="E366" s="38">
        <v>846000</v>
      </c>
      <c r="G366" s="2">
        <v>0.78700000000000003</v>
      </c>
      <c r="H366" s="38">
        <v>1689500</v>
      </c>
      <c r="M366" s="2" t="s">
        <v>804</v>
      </c>
      <c r="N366" s="38">
        <v>169600</v>
      </c>
      <c r="P366" s="2" t="s">
        <v>876</v>
      </c>
      <c r="Q366" s="38">
        <v>57200</v>
      </c>
      <c r="V366" s="2">
        <v>0.29299999999999998</v>
      </c>
      <c r="W366" s="38">
        <v>18700</v>
      </c>
    </row>
    <row r="367" spans="4:23">
      <c r="D367" s="2">
        <v>0.86799999999999999</v>
      </c>
      <c r="E367" s="38">
        <v>1885800</v>
      </c>
      <c r="G367" s="2">
        <v>0.78800000000000003</v>
      </c>
      <c r="H367" s="38">
        <v>1700000</v>
      </c>
      <c r="M367" s="2" t="s">
        <v>1497</v>
      </c>
      <c r="N367" s="38">
        <v>169000</v>
      </c>
      <c r="P367" s="2" t="s">
        <v>726</v>
      </c>
      <c r="Q367" s="38">
        <v>52600</v>
      </c>
      <c r="V367" s="2">
        <v>0.29399999999999998</v>
      </c>
      <c r="W367" s="38">
        <v>52600</v>
      </c>
    </row>
    <row r="368" spans="4:23">
      <c r="D368" s="2">
        <v>0.87</v>
      </c>
      <c r="E368" s="38">
        <v>5933629</v>
      </c>
      <c r="G368" s="2">
        <v>0.78900000000000003</v>
      </c>
      <c r="H368" s="38">
        <v>452</v>
      </c>
      <c r="M368" s="2" t="s">
        <v>255</v>
      </c>
      <c r="N368" s="38">
        <v>168700</v>
      </c>
      <c r="P368" s="2" t="s">
        <v>311</v>
      </c>
      <c r="Q368" s="38">
        <v>50781</v>
      </c>
      <c r="V368" s="2">
        <v>0.29799999999999999</v>
      </c>
      <c r="W368" s="38">
        <v>555</v>
      </c>
    </row>
    <row r="369" spans="4:23">
      <c r="D369" s="2">
        <v>0.871</v>
      </c>
      <c r="E369" s="38">
        <v>7</v>
      </c>
      <c r="G369" s="2">
        <v>0.79</v>
      </c>
      <c r="H369" s="38">
        <v>660158</v>
      </c>
      <c r="M369" s="2" t="s">
        <v>1406</v>
      </c>
      <c r="N369" s="38">
        <v>166100</v>
      </c>
      <c r="P369" s="2" t="s">
        <v>67</v>
      </c>
      <c r="Q369" s="38">
        <v>50100</v>
      </c>
      <c r="V369" s="2">
        <v>0.29899999999999999</v>
      </c>
      <c r="W369" s="38">
        <v>0</v>
      </c>
    </row>
    <row r="370" spans="4:23">
      <c r="D370" s="2">
        <v>0.872</v>
      </c>
      <c r="E370" s="38">
        <v>154700</v>
      </c>
      <c r="G370" s="2">
        <v>0.79100000000000004</v>
      </c>
      <c r="H370" s="38">
        <v>204482</v>
      </c>
      <c r="M370" s="2" t="s">
        <v>1807</v>
      </c>
      <c r="N370" s="38">
        <v>165200</v>
      </c>
      <c r="P370" s="2" t="s">
        <v>248</v>
      </c>
      <c r="Q370" s="38">
        <v>47400</v>
      </c>
      <c r="V370" s="2">
        <v>0.3</v>
      </c>
      <c r="W370" s="38">
        <v>102900</v>
      </c>
    </row>
    <row r="371" spans="4:23">
      <c r="D371" s="2">
        <v>0.873</v>
      </c>
      <c r="E371" s="38">
        <v>169000</v>
      </c>
      <c r="G371" s="2">
        <v>0.79200000000000004</v>
      </c>
      <c r="H371" s="38">
        <v>1774</v>
      </c>
      <c r="M371" s="2" t="s">
        <v>96</v>
      </c>
      <c r="N371" s="38">
        <v>163800</v>
      </c>
      <c r="P371" s="2" t="s">
        <v>632</v>
      </c>
      <c r="Q371" s="38">
        <v>47000</v>
      </c>
      <c r="V371" s="2">
        <v>0.30299999999999999</v>
      </c>
      <c r="W371" s="38">
        <v>514500</v>
      </c>
    </row>
    <row r="372" spans="4:23">
      <c r="D372" s="2">
        <v>0.874</v>
      </c>
      <c r="E372" s="38">
        <v>619</v>
      </c>
      <c r="G372" s="2">
        <v>0.79300000000000004</v>
      </c>
      <c r="H372" s="38">
        <v>1868100</v>
      </c>
      <c r="M372" s="2" t="s">
        <v>908</v>
      </c>
      <c r="N372" s="38">
        <v>163500</v>
      </c>
      <c r="P372" s="2" t="s">
        <v>442</v>
      </c>
      <c r="Q372" s="38">
        <v>46220</v>
      </c>
      <c r="V372" s="2">
        <v>0.30399999999999999</v>
      </c>
      <c r="W372" s="38">
        <v>4700000</v>
      </c>
    </row>
    <row r="373" spans="4:23">
      <c r="D373" s="2">
        <v>0.875</v>
      </c>
      <c r="E373" s="38">
        <v>19700</v>
      </c>
      <c r="G373" s="2">
        <v>0.79400000000000004</v>
      </c>
      <c r="H373" s="38">
        <v>495300</v>
      </c>
      <c r="M373" s="2" t="s">
        <v>1397</v>
      </c>
      <c r="N373" s="38">
        <v>163300</v>
      </c>
      <c r="P373" s="2" t="s">
        <v>751</v>
      </c>
      <c r="Q373" s="38">
        <v>45700</v>
      </c>
      <c r="V373" s="2">
        <v>0.30599999999999999</v>
      </c>
      <c r="W373" s="38">
        <v>177900</v>
      </c>
    </row>
    <row r="374" spans="4:23">
      <c r="D374" s="2">
        <v>0.876</v>
      </c>
      <c r="E374" s="38">
        <v>887935</v>
      </c>
      <c r="G374" s="2">
        <v>0.79500000000000004</v>
      </c>
      <c r="H374" s="38">
        <v>1401981</v>
      </c>
      <c r="M374" s="2" t="s">
        <v>444</v>
      </c>
      <c r="N374" s="38">
        <v>163200</v>
      </c>
      <c r="P374" s="2" t="s">
        <v>1550</v>
      </c>
      <c r="Q374" s="38">
        <v>42503</v>
      </c>
      <c r="V374" s="2">
        <v>0.307</v>
      </c>
      <c r="W374" s="38">
        <v>45533</v>
      </c>
    </row>
    <row r="375" spans="4:23">
      <c r="D375" s="2">
        <v>0.877</v>
      </c>
      <c r="E375" s="38">
        <v>4107096</v>
      </c>
      <c r="G375" s="2">
        <v>0.79600000000000004</v>
      </c>
      <c r="H375" s="38">
        <v>1840609</v>
      </c>
      <c r="M375" s="2" t="s">
        <v>1676</v>
      </c>
      <c r="N375" s="38">
        <v>157100</v>
      </c>
      <c r="P375" s="2" t="s">
        <v>205</v>
      </c>
      <c r="Q375" s="38">
        <v>42200</v>
      </c>
      <c r="V375" s="2">
        <v>0.308</v>
      </c>
      <c r="W375" s="38">
        <v>775859</v>
      </c>
    </row>
    <row r="376" spans="4:23">
      <c r="D376" s="2">
        <v>0.878</v>
      </c>
      <c r="E376" s="38">
        <v>1712000</v>
      </c>
      <c r="G376" s="2">
        <v>0.79700000000000004</v>
      </c>
      <c r="H376" s="38">
        <v>710200</v>
      </c>
      <c r="M376" s="2" t="s">
        <v>555</v>
      </c>
      <c r="N376" s="38">
        <v>154600</v>
      </c>
      <c r="P376" s="2" t="s">
        <v>271</v>
      </c>
      <c r="Q376" s="38">
        <v>42100</v>
      </c>
      <c r="V376" s="2">
        <v>0.309</v>
      </c>
      <c r="W376" s="38">
        <v>0</v>
      </c>
    </row>
    <row r="377" spans="4:23">
      <c r="D377" s="2">
        <v>0.879</v>
      </c>
      <c r="E377" s="38">
        <v>18710</v>
      </c>
      <c r="G377" s="2">
        <v>0.79800000000000004</v>
      </c>
      <c r="H377" s="38">
        <v>0</v>
      </c>
      <c r="M377" s="2" t="s">
        <v>859</v>
      </c>
      <c r="N377" s="38">
        <v>150600</v>
      </c>
      <c r="P377" s="2" t="s">
        <v>808</v>
      </c>
      <c r="Q377" s="38">
        <v>40100</v>
      </c>
      <c r="V377" s="2">
        <v>0.31</v>
      </c>
      <c r="W377" s="38">
        <v>161</v>
      </c>
    </row>
    <row r="378" spans="4:23">
      <c r="D378" s="2">
        <v>0.88</v>
      </c>
      <c r="E378" s="38">
        <v>16100830</v>
      </c>
      <c r="G378" s="2">
        <v>0.79900000000000004</v>
      </c>
      <c r="H378" s="38">
        <v>3720065</v>
      </c>
      <c r="M378" s="2" t="s">
        <v>461</v>
      </c>
      <c r="N378" s="38">
        <v>149800</v>
      </c>
      <c r="P378" s="2" t="s">
        <v>1672</v>
      </c>
      <c r="Q378" s="38">
        <v>36600</v>
      </c>
      <c r="V378" s="2">
        <v>0.311</v>
      </c>
      <c r="W378" s="38">
        <v>577800</v>
      </c>
    </row>
    <row r="379" spans="4:23">
      <c r="D379" s="2">
        <v>0.88300000000000001</v>
      </c>
      <c r="E379" s="38">
        <v>1169864</v>
      </c>
      <c r="G379" s="2">
        <v>0.8</v>
      </c>
      <c r="H379" s="38">
        <v>16940429</v>
      </c>
      <c r="M379" s="2" t="s">
        <v>1781</v>
      </c>
      <c r="N379" s="38">
        <v>148200</v>
      </c>
      <c r="P379" s="2" t="s">
        <v>94</v>
      </c>
      <c r="Q379" s="38">
        <v>36000</v>
      </c>
      <c r="V379" s="2">
        <v>0.313</v>
      </c>
      <c r="W379" s="38">
        <v>2961</v>
      </c>
    </row>
    <row r="380" spans="4:23">
      <c r="D380" s="2">
        <v>0.88400000000000001</v>
      </c>
      <c r="E380" s="38">
        <v>16800</v>
      </c>
      <c r="G380" s="2">
        <v>0.80100000000000005</v>
      </c>
      <c r="H380" s="38">
        <v>131103</v>
      </c>
      <c r="M380" s="2" t="s">
        <v>1220</v>
      </c>
      <c r="N380" s="38">
        <v>147700</v>
      </c>
      <c r="P380" s="2" t="s">
        <v>328</v>
      </c>
      <c r="Q380" s="38">
        <v>35007</v>
      </c>
      <c r="V380" s="2">
        <v>0.316</v>
      </c>
      <c r="W380" s="38">
        <v>616200</v>
      </c>
    </row>
    <row r="381" spans="4:23">
      <c r="D381" s="2">
        <v>0.88500000000000001</v>
      </c>
      <c r="E381" s="38">
        <v>1800000</v>
      </c>
      <c r="G381" s="2">
        <v>0.80200000000000005</v>
      </c>
      <c r="H381" s="38">
        <v>504600</v>
      </c>
      <c r="M381" s="2" t="s">
        <v>1133</v>
      </c>
      <c r="N381" s="38">
        <v>146900</v>
      </c>
      <c r="P381" s="2" t="s">
        <v>1710</v>
      </c>
      <c r="Q381" s="38">
        <v>31600</v>
      </c>
      <c r="V381" s="2">
        <v>0.318</v>
      </c>
      <c r="W381" s="38">
        <v>36700106</v>
      </c>
    </row>
    <row r="382" spans="4:23">
      <c r="D382" s="2">
        <v>0.88600000000000001</v>
      </c>
      <c r="E382" s="38">
        <v>14804284</v>
      </c>
      <c r="G382" s="2">
        <v>0.80300000000000005</v>
      </c>
      <c r="H382" s="38">
        <v>1049700</v>
      </c>
      <c r="M382" s="2" t="s">
        <v>880</v>
      </c>
      <c r="N382" s="38">
        <v>144000</v>
      </c>
      <c r="P382" s="2" t="s">
        <v>1505</v>
      </c>
      <c r="Q382" s="38">
        <v>31400</v>
      </c>
      <c r="V382" s="2">
        <v>0.31900000000000001</v>
      </c>
      <c r="W382" s="38">
        <v>89123</v>
      </c>
    </row>
    <row r="383" spans="4:23">
      <c r="D383" s="2">
        <v>0.88700000000000001</v>
      </c>
      <c r="E383" s="38">
        <v>129900</v>
      </c>
      <c r="G383" s="2">
        <v>0.80500000000000005</v>
      </c>
      <c r="H383" s="38">
        <v>1027755</v>
      </c>
      <c r="M383" s="2" t="s">
        <v>1290</v>
      </c>
      <c r="N383" s="38">
        <v>143400</v>
      </c>
      <c r="P383" s="2" t="s">
        <v>218</v>
      </c>
      <c r="Q383" s="38">
        <v>29600</v>
      </c>
      <c r="V383" s="2">
        <v>0.32100000000000001</v>
      </c>
      <c r="W383" s="38">
        <v>350400</v>
      </c>
    </row>
    <row r="384" spans="4:23">
      <c r="D384" s="2">
        <v>0.88800000000000001</v>
      </c>
      <c r="E384" s="38">
        <v>10600000</v>
      </c>
      <c r="G384" s="2">
        <v>0.80600000000000005</v>
      </c>
      <c r="H384" s="38">
        <v>5</v>
      </c>
      <c r="M384" s="2" t="s">
        <v>233</v>
      </c>
      <c r="N384" s="38">
        <v>143300</v>
      </c>
      <c r="P384" s="2" t="s">
        <v>401</v>
      </c>
      <c r="Q384" s="38">
        <v>29500</v>
      </c>
      <c r="V384" s="2">
        <v>0.32200000000000001</v>
      </c>
      <c r="W384" s="38">
        <v>902500</v>
      </c>
    </row>
    <row r="385" spans="4:23">
      <c r="D385" s="2">
        <v>0.88900000000000001</v>
      </c>
      <c r="E385" s="38">
        <v>1900000</v>
      </c>
      <c r="G385" s="2">
        <v>0.80700000000000005</v>
      </c>
      <c r="H385" s="38">
        <v>1048616</v>
      </c>
      <c r="M385" s="2" t="s">
        <v>992</v>
      </c>
      <c r="N385" s="38">
        <v>143200</v>
      </c>
      <c r="P385" s="2" t="s">
        <v>72</v>
      </c>
      <c r="Q385" s="38">
        <v>26900</v>
      </c>
      <c r="V385" s="2">
        <v>0.32300000000000001</v>
      </c>
      <c r="W385" s="38">
        <v>412177</v>
      </c>
    </row>
    <row r="386" spans="4:23">
      <c r="D386" s="2">
        <v>0.89</v>
      </c>
      <c r="E386" s="38">
        <v>919</v>
      </c>
      <c r="G386" s="2">
        <v>0.81</v>
      </c>
      <c r="H386" s="38">
        <v>519400</v>
      </c>
      <c r="M386" s="2" t="s">
        <v>92</v>
      </c>
      <c r="N386" s="38">
        <v>143000</v>
      </c>
      <c r="P386" s="2" t="s">
        <v>406</v>
      </c>
      <c r="Q386" s="38">
        <v>26300</v>
      </c>
      <c r="V386" s="2">
        <v>0.32400000000000001</v>
      </c>
      <c r="W386" s="38">
        <v>2629600</v>
      </c>
    </row>
    <row r="387" spans="4:23">
      <c r="D387" s="2">
        <v>0.89100000000000001</v>
      </c>
      <c r="E387" s="38">
        <v>747400</v>
      </c>
      <c r="G387" s="2">
        <v>0.81100000000000005</v>
      </c>
      <c r="H387" s="38">
        <v>1100000</v>
      </c>
      <c r="M387" s="2" t="s">
        <v>525</v>
      </c>
      <c r="N387" s="38">
        <v>140400</v>
      </c>
      <c r="P387" s="2" t="s">
        <v>1182</v>
      </c>
      <c r="Q387" s="38">
        <v>26300</v>
      </c>
      <c r="V387" s="2">
        <v>0.32500000000000001</v>
      </c>
      <c r="W387" s="38">
        <v>2200000</v>
      </c>
    </row>
    <row r="388" spans="4:23">
      <c r="D388" s="2">
        <v>0.89200000000000002</v>
      </c>
      <c r="E388" s="38">
        <v>75500</v>
      </c>
      <c r="G388" s="2">
        <v>0.81200000000000006</v>
      </c>
      <c r="H388" s="38">
        <v>1</v>
      </c>
      <c r="M388" s="2" t="s">
        <v>493</v>
      </c>
      <c r="N388" s="38">
        <v>139600</v>
      </c>
      <c r="P388" s="2" t="s">
        <v>839</v>
      </c>
      <c r="Q388" s="38">
        <v>26200</v>
      </c>
      <c r="V388" s="2">
        <v>0.32900000000000001</v>
      </c>
      <c r="W388" s="38">
        <v>3800000</v>
      </c>
    </row>
    <row r="389" spans="4:23">
      <c r="D389" s="2">
        <v>0.89300000000000002</v>
      </c>
      <c r="E389" s="38">
        <v>1024600</v>
      </c>
      <c r="G389" s="2">
        <v>0.81299999999999994</v>
      </c>
      <c r="H389" s="38">
        <v>3547</v>
      </c>
      <c r="M389" s="2" t="s">
        <v>1286</v>
      </c>
      <c r="N389" s="38">
        <v>138900</v>
      </c>
      <c r="P389" s="2" t="s">
        <v>1119</v>
      </c>
      <c r="Q389" s="38">
        <v>26000</v>
      </c>
      <c r="V389" s="2">
        <v>0.33</v>
      </c>
      <c r="W389" s="38">
        <v>8</v>
      </c>
    </row>
    <row r="390" spans="4:23">
      <c r="D390" s="2">
        <v>0.89400000000000002</v>
      </c>
      <c r="E390" s="38">
        <v>335</v>
      </c>
      <c r="G390" s="2">
        <v>0.81399999999999995</v>
      </c>
      <c r="H390" s="38">
        <v>265400</v>
      </c>
      <c r="M390" s="2" t="s">
        <v>1259</v>
      </c>
      <c r="N390" s="38">
        <v>138100</v>
      </c>
      <c r="P390" s="2" t="s">
        <v>102</v>
      </c>
      <c r="Q390" s="38">
        <v>25100</v>
      </c>
      <c r="V390" s="2">
        <v>0.33200000000000002</v>
      </c>
      <c r="W390" s="38">
        <v>449200</v>
      </c>
    </row>
    <row r="391" spans="4:23">
      <c r="D391" s="2">
        <v>0.89500000000000002</v>
      </c>
      <c r="E391" s="38">
        <v>391800</v>
      </c>
      <c r="G391" s="2">
        <v>0.81499999999999995</v>
      </c>
      <c r="H391" s="38">
        <v>0</v>
      </c>
      <c r="M391" s="2" t="s">
        <v>967</v>
      </c>
      <c r="N391" s="38">
        <v>137700</v>
      </c>
      <c r="P391" s="2" t="s">
        <v>61</v>
      </c>
      <c r="Q391" s="38">
        <v>24000</v>
      </c>
      <c r="V391" s="2">
        <v>0.33300000000000002</v>
      </c>
      <c r="W391" s="38">
        <v>123001</v>
      </c>
    </row>
    <row r="392" spans="4:23">
      <c r="D392" s="2">
        <v>0.89600000000000002</v>
      </c>
      <c r="E392" s="38">
        <v>5681500</v>
      </c>
      <c r="G392" s="2">
        <v>0.81599999999999995</v>
      </c>
      <c r="H392" s="38">
        <v>1401151</v>
      </c>
      <c r="M392" s="2" t="s">
        <v>600</v>
      </c>
      <c r="N392" s="38">
        <v>137400</v>
      </c>
      <c r="P392" s="2" t="s">
        <v>1449</v>
      </c>
      <c r="Q392" s="38">
        <v>19700</v>
      </c>
      <c r="V392" s="2">
        <v>0.33400000000000002</v>
      </c>
      <c r="W392" s="38">
        <v>79000</v>
      </c>
    </row>
    <row r="393" spans="4:23">
      <c r="D393" s="2">
        <v>0.89700000000000002</v>
      </c>
      <c r="E393" s="38">
        <v>3600000</v>
      </c>
      <c r="G393" s="2">
        <v>0.81699999999999995</v>
      </c>
      <c r="H393" s="38">
        <v>547900</v>
      </c>
      <c r="M393" s="2" t="s">
        <v>1420</v>
      </c>
      <c r="N393" s="38">
        <v>134800</v>
      </c>
      <c r="P393" s="2" t="s">
        <v>178</v>
      </c>
      <c r="Q393" s="38">
        <v>18600</v>
      </c>
      <c r="V393" s="2">
        <v>0.33500000000000002</v>
      </c>
      <c r="W393" s="38">
        <v>8181700</v>
      </c>
    </row>
    <row r="394" spans="4:23">
      <c r="D394" s="2">
        <v>0.89800000000000002</v>
      </c>
      <c r="E394" s="38">
        <v>406617</v>
      </c>
      <c r="G394" s="2">
        <v>0.81799999999999995</v>
      </c>
      <c r="H394" s="38">
        <v>12601</v>
      </c>
      <c r="M394" s="2" t="s">
        <v>1695</v>
      </c>
      <c r="N394" s="38">
        <v>134200</v>
      </c>
      <c r="P394" s="2" t="s">
        <v>359</v>
      </c>
      <c r="Q394" s="38">
        <v>18100</v>
      </c>
      <c r="V394" s="2">
        <v>0.33700000000000002</v>
      </c>
      <c r="W394" s="38">
        <v>1500032</v>
      </c>
    </row>
    <row r="395" spans="4:23">
      <c r="D395" s="2">
        <v>0.89900000000000002</v>
      </c>
      <c r="E395" s="38">
        <v>1100000</v>
      </c>
      <c r="G395" s="2">
        <v>0.81899999999999995</v>
      </c>
      <c r="H395" s="38">
        <v>271407</v>
      </c>
      <c r="M395" s="2" t="s">
        <v>1368</v>
      </c>
      <c r="N395" s="38">
        <v>131000</v>
      </c>
      <c r="P395" s="2" t="s">
        <v>700</v>
      </c>
      <c r="Q395" s="38">
        <v>17500</v>
      </c>
      <c r="V395" s="2">
        <v>0.33800000000000002</v>
      </c>
      <c r="W395" s="38">
        <v>109</v>
      </c>
    </row>
    <row r="396" spans="4:23">
      <c r="D396" s="2">
        <v>0.9</v>
      </c>
      <c r="E396" s="38">
        <v>12700</v>
      </c>
      <c r="G396" s="2">
        <v>0.82</v>
      </c>
      <c r="H396" s="38">
        <v>561700</v>
      </c>
      <c r="M396" s="2" t="s">
        <v>180</v>
      </c>
      <c r="N396" s="38">
        <v>130200</v>
      </c>
      <c r="P396" s="2" t="s">
        <v>1296</v>
      </c>
      <c r="Q396" s="38">
        <v>17400</v>
      </c>
      <c r="V396" s="2">
        <v>0.33900000000000002</v>
      </c>
      <c r="W396" s="38">
        <v>1200000</v>
      </c>
    </row>
    <row r="397" spans="4:23">
      <c r="D397" s="2">
        <v>0.90100000000000002</v>
      </c>
      <c r="E397" s="38">
        <v>83097</v>
      </c>
      <c r="G397" s="2">
        <v>0.82099999999999995</v>
      </c>
      <c r="H397" s="38">
        <v>7930</v>
      </c>
      <c r="M397" s="2" t="s">
        <v>111</v>
      </c>
      <c r="N397" s="38">
        <v>129900</v>
      </c>
      <c r="P397" s="2" t="s">
        <v>281</v>
      </c>
      <c r="Q397" s="38">
        <v>16800</v>
      </c>
      <c r="V397" s="2">
        <v>0.34200000000000003</v>
      </c>
      <c r="W397" s="38">
        <v>293000</v>
      </c>
    </row>
    <row r="398" spans="4:23">
      <c r="D398" s="2">
        <v>0.90500000000000003</v>
      </c>
      <c r="E398" s="38">
        <v>524600</v>
      </c>
      <c r="G398" s="2">
        <v>0.82299999999999995</v>
      </c>
      <c r="H398" s="38">
        <v>3117000</v>
      </c>
      <c r="M398" s="2" t="s">
        <v>108</v>
      </c>
      <c r="N398" s="38">
        <v>129200</v>
      </c>
      <c r="P398" s="2" t="s">
        <v>1355</v>
      </c>
      <c r="Q398" s="38">
        <v>16500</v>
      </c>
      <c r="V398" s="2">
        <v>0.34599999999999997</v>
      </c>
      <c r="W398" s="38">
        <v>36</v>
      </c>
    </row>
    <row r="399" spans="4:23">
      <c r="D399" s="2">
        <v>0.90600000000000003</v>
      </c>
      <c r="E399" s="38">
        <v>841900</v>
      </c>
      <c r="G399" s="2">
        <v>0.82399999999999995</v>
      </c>
      <c r="H399" s="38">
        <v>174842</v>
      </c>
      <c r="M399" s="2" t="s">
        <v>1797</v>
      </c>
      <c r="N399" s="38">
        <v>125800</v>
      </c>
      <c r="P399" s="2" t="s">
        <v>543</v>
      </c>
      <c r="Q399" s="38">
        <v>16300</v>
      </c>
      <c r="V399" s="2">
        <v>0.34699999999999998</v>
      </c>
      <c r="W399" s="38">
        <v>861700</v>
      </c>
    </row>
    <row r="400" spans="4:23">
      <c r="D400" s="2">
        <v>0.90700000000000003</v>
      </c>
      <c r="E400" s="38">
        <v>3587600</v>
      </c>
      <c r="G400" s="2">
        <v>0.82499999999999996</v>
      </c>
      <c r="H400" s="38">
        <v>754800</v>
      </c>
      <c r="M400" s="2" t="s">
        <v>1304</v>
      </c>
      <c r="N400" s="38">
        <v>125400</v>
      </c>
      <c r="P400" s="2" t="s">
        <v>1177</v>
      </c>
      <c r="Q400" s="38">
        <v>16300</v>
      </c>
      <c r="V400" s="2">
        <v>0.34799999999999998</v>
      </c>
      <c r="W400" s="38">
        <v>58800</v>
      </c>
    </row>
    <row r="401" spans="4:23">
      <c r="D401" s="2">
        <v>0.91</v>
      </c>
      <c r="E401" s="38">
        <v>812000</v>
      </c>
      <c r="G401" s="2">
        <v>0.82599999999999996</v>
      </c>
      <c r="H401" s="38">
        <v>1934500</v>
      </c>
      <c r="M401" s="2" t="s">
        <v>929</v>
      </c>
      <c r="N401" s="38">
        <v>123000</v>
      </c>
      <c r="P401" s="2" t="s">
        <v>1462</v>
      </c>
      <c r="Q401" s="38">
        <v>15400</v>
      </c>
      <c r="V401" s="2">
        <v>0.34899999999999998</v>
      </c>
      <c r="W401" s="38">
        <v>1761600</v>
      </c>
    </row>
    <row r="402" spans="4:23">
      <c r="D402" s="2">
        <v>0.91100000000000003</v>
      </c>
      <c r="E402" s="38">
        <v>246000</v>
      </c>
      <c r="G402" s="2">
        <v>0.82699999999999996</v>
      </c>
      <c r="H402" s="38">
        <v>415600</v>
      </c>
      <c r="M402" s="2" t="s">
        <v>1317</v>
      </c>
      <c r="N402" s="38">
        <v>122200</v>
      </c>
      <c r="P402" s="2" t="s">
        <v>1223</v>
      </c>
      <c r="Q402" s="38">
        <v>15400</v>
      </c>
      <c r="V402" s="2">
        <v>0.35</v>
      </c>
      <c r="W402" s="38">
        <v>1000053</v>
      </c>
    </row>
    <row r="403" spans="4:23">
      <c r="D403" s="2">
        <v>0.91200000000000003</v>
      </c>
      <c r="E403" s="38">
        <v>1253100</v>
      </c>
      <c r="G403" s="2">
        <v>0.82899999999999996</v>
      </c>
      <c r="H403" s="38">
        <v>365220</v>
      </c>
      <c r="M403" s="2" t="s">
        <v>791</v>
      </c>
      <c r="N403" s="38">
        <v>121300</v>
      </c>
      <c r="P403" s="2" t="s">
        <v>521</v>
      </c>
      <c r="Q403" s="38">
        <v>15000</v>
      </c>
      <c r="V403" s="2">
        <v>0.35099999999999998</v>
      </c>
      <c r="W403" s="38">
        <v>15</v>
      </c>
    </row>
    <row r="404" spans="4:23">
      <c r="D404" s="2">
        <v>0.91300000000000003</v>
      </c>
      <c r="E404" s="38">
        <v>350895</v>
      </c>
      <c r="G404" s="2">
        <v>0.83099999999999996</v>
      </c>
      <c r="H404" s="38">
        <v>5</v>
      </c>
      <c r="M404" s="2" t="s">
        <v>1156</v>
      </c>
      <c r="N404" s="38">
        <v>120400</v>
      </c>
      <c r="P404" s="2" t="s">
        <v>348</v>
      </c>
      <c r="Q404" s="38">
        <v>14800</v>
      </c>
      <c r="V404" s="2">
        <v>0.35299999999999998</v>
      </c>
      <c r="W404" s="38">
        <v>1900000</v>
      </c>
    </row>
    <row r="405" spans="4:23">
      <c r="D405" s="2">
        <v>0.91500000000000004</v>
      </c>
      <c r="E405" s="38">
        <v>16400554</v>
      </c>
      <c r="G405" s="2">
        <v>0.83199999999999996</v>
      </c>
      <c r="H405" s="38">
        <v>659840</v>
      </c>
      <c r="M405" s="2" t="s">
        <v>921</v>
      </c>
      <c r="N405" s="38">
        <v>117300</v>
      </c>
      <c r="P405" s="2" t="s">
        <v>1516</v>
      </c>
      <c r="Q405" s="38">
        <v>14500</v>
      </c>
      <c r="V405" s="2">
        <v>0.35399999999999998</v>
      </c>
      <c r="W405" s="38">
        <v>217600</v>
      </c>
    </row>
    <row r="406" spans="4:23">
      <c r="D406" s="2">
        <v>0.91700000000000004</v>
      </c>
      <c r="E406" s="38">
        <v>29700</v>
      </c>
      <c r="G406" s="2">
        <v>0.83299999999999996</v>
      </c>
      <c r="H406" s="38">
        <v>377</v>
      </c>
      <c r="M406" s="2" t="s">
        <v>1825</v>
      </c>
      <c r="N406" s="38">
        <v>115500</v>
      </c>
      <c r="P406" s="2" t="s">
        <v>584</v>
      </c>
      <c r="Q406" s="38">
        <v>13995</v>
      </c>
      <c r="V406" s="2">
        <v>0.35599999999999998</v>
      </c>
      <c r="W406" s="38">
        <v>654291</v>
      </c>
    </row>
    <row r="407" spans="4:23">
      <c r="D407" s="2">
        <v>0.91800000000000004</v>
      </c>
      <c r="E407" s="38">
        <v>3619200</v>
      </c>
      <c r="G407" s="2">
        <v>0.83499999999999996</v>
      </c>
      <c r="H407" s="38">
        <v>60100</v>
      </c>
      <c r="M407" s="2" t="s">
        <v>1349</v>
      </c>
      <c r="N407" s="38">
        <v>111400</v>
      </c>
      <c r="P407" s="2" t="s">
        <v>1472</v>
      </c>
      <c r="Q407" s="38">
        <v>13800</v>
      </c>
      <c r="V407" s="2">
        <v>0.35899999999999999</v>
      </c>
      <c r="W407" s="38">
        <v>19500000</v>
      </c>
    </row>
    <row r="408" spans="4:23">
      <c r="D408" s="2">
        <v>0.92</v>
      </c>
      <c r="E408" s="38">
        <v>377</v>
      </c>
      <c r="G408" s="2">
        <v>0.83599999999999997</v>
      </c>
      <c r="H408" s="38">
        <v>253259</v>
      </c>
      <c r="M408" s="2" t="s">
        <v>744</v>
      </c>
      <c r="N408" s="38">
        <v>110900</v>
      </c>
      <c r="P408" s="2" t="s">
        <v>296</v>
      </c>
      <c r="Q408" s="38">
        <v>13400</v>
      </c>
      <c r="V408" s="2">
        <v>0.36</v>
      </c>
      <c r="W408" s="38">
        <v>1500000</v>
      </c>
    </row>
    <row r="409" spans="4:23">
      <c r="D409" s="2">
        <v>0.92100000000000004</v>
      </c>
      <c r="E409" s="38">
        <v>616300</v>
      </c>
      <c r="G409" s="2">
        <v>0.83699999999999997</v>
      </c>
      <c r="H409" s="38">
        <v>113100</v>
      </c>
      <c r="M409" s="2" t="s">
        <v>1831</v>
      </c>
      <c r="N409" s="38">
        <v>110500</v>
      </c>
      <c r="P409" s="2" t="s">
        <v>553</v>
      </c>
      <c r="Q409" s="38">
        <v>12700</v>
      </c>
      <c r="V409" s="2">
        <v>0.36099999999999999</v>
      </c>
      <c r="W409" s="38">
        <v>778100</v>
      </c>
    </row>
    <row r="410" spans="4:23">
      <c r="D410" s="2">
        <v>0.92200000000000004</v>
      </c>
      <c r="E410" s="38">
        <v>1700000</v>
      </c>
      <c r="G410" s="2">
        <v>0.83799999999999997</v>
      </c>
      <c r="H410" s="38">
        <v>28</v>
      </c>
      <c r="M410" s="2" t="s">
        <v>878</v>
      </c>
      <c r="N410" s="38">
        <v>108000</v>
      </c>
      <c r="P410" s="2" t="s">
        <v>668</v>
      </c>
      <c r="Q410" s="38">
        <v>12100</v>
      </c>
      <c r="V410" s="2">
        <v>0.36299999999999999</v>
      </c>
      <c r="W410" s="38">
        <v>1700000</v>
      </c>
    </row>
    <row r="411" spans="4:23">
      <c r="D411" s="2">
        <v>0.92300000000000004</v>
      </c>
      <c r="E411" s="38">
        <v>506700</v>
      </c>
      <c r="G411" s="2">
        <v>0.84</v>
      </c>
      <c r="H411" s="38">
        <v>3800000</v>
      </c>
      <c r="M411" s="2" t="s">
        <v>1681</v>
      </c>
      <c r="N411" s="38">
        <v>106300</v>
      </c>
      <c r="P411" s="2" t="s">
        <v>1357</v>
      </c>
      <c r="Q411" s="38">
        <v>11500</v>
      </c>
      <c r="V411" s="2">
        <v>0.36399999999999999</v>
      </c>
      <c r="W411" s="38">
        <v>2200000</v>
      </c>
    </row>
    <row r="412" spans="4:23">
      <c r="D412" s="2">
        <v>0.92400000000000004</v>
      </c>
      <c r="E412" s="38">
        <v>1765400</v>
      </c>
      <c r="G412" s="2">
        <v>0.84099999999999997</v>
      </c>
      <c r="H412" s="38">
        <v>1508300</v>
      </c>
      <c r="M412" s="2" t="s">
        <v>220</v>
      </c>
      <c r="N412" s="38">
        <v>105800</v>
      </c>
      <c r="P412" s="2" t="s">
        <v>1454</v>
      </c>
      <c r="Q412" s="38">
        <v>11500</v>
      </c>
      <c r="V412" s="2">
        <v>0.36599999999999999</v>
      </c>
      <c r="W412" s="38">
        <v>265400</v>
      </c>
    </row>
    <row r="413" spans="4:23">
      <c r="D413" s="2">
        <v>0.92500000000000004</v>
      </c>
      <c r="E413" s="38">
        <v>382440</v>
      </c>
      <c r="G413" s="2">
        <v>0.84199999999999997</v>
      </c>
      <c r="H413" s="38">
        <v>256512</v>
      </c>
      <c r="M413" s="2" t="s">
        <v>1257</v>
      </c>
      <c r="N413" s="38">
        <v>105300</v>
      </c>
      <c r="P413" s="2" t="s">
        <v>1816</v>
      </c>
      <c r="Q413" s="38">
        <v>11300</v>
      </c>
      <c r="V413" s="2">
        <v>0.36699999999999999</v>
      </c>
      <c r="W413" s="38">
        <v>2129600</v>
      </c>
    </row>
    <row r="414" spans="4:23">
      <c r="D414" s="2">
        <v>0.92800000000000005</v>
      </c>
      <c r="E414" s="38">
        <v>297000</v>
      </c>
      <c r="G414" s="2">
        <v>0.84299999999999997</v>
      </c>
      <c r="H414" s="38">
        <v>36</v>
      </c>
      <c r="M414" s="2" t="s">
        <v>657</v>
      </c>
      <c r="N414" s="38">
        <v>104400</v>
      </c>
      <c r="P414" s="2" t="s">
        <v>155</v>
      </c>
      <c r="Q414" s="38">
        <v>11100</v>
      </c>
      <c r="V414" s="2">
        <v>0.36899999999999999</v>
      </c>
      <c r="W414" s="38">
        <v>120400</v>
      </c>
    </row>
    <row r="415" spans="4:23">
      <c r="D415" s="2">
        <v>0.93200000000000005</v>
      </c>
      <c r="E415" s="38">
        <v>36000</v>
      </c>
      <c r="G415" s="2">
        <v>0.84399999999999997</v>
      </c>
      <c r="H415" s="38">
        <v>1146900</v>
      </c>
      <c r="M415" s="2" t="s">
        <v>412</v>
      </c>
      <c r="N415" s="38">
        <v>103400</v>
      </c>
      <c r="P415" s="2" t="s">
        <v>450</v>
      </c>
      <c r="Q415" s="38">
        <v>10800</v>
      </c>
      <c r="V415" s="2">
        <v>0.37</v>
      </c>
      <c r="W415" s="38">
        <v>300</v>
      </c>
    </row>
    <row r="416" spans="4:23">
      <c r="D416" s="2">
        <v>0.93400000000000005</v>
      </c>
      <c r="E416" s="38">
        <v>2363600</v>
      </c>
      <c r="G416" s="2">
        <v>0.84499999999999997</v>
      </c>
      <c r="H416" s="38">
        <v>5700000</v>
      </c>
      <c r="M416" s="2" t="s">
        <v>1499</v>
      </c>
      <c r="N416" s="38">
        <v>103000</v>
      </c>
      <c r="P416" s="2" t="s">
        <v>498</v>
      </c>
      <c r="Q416" s="38">
        <v>10600</v>
      </c>
      <c r="V416" s="2">
        <v>0.372</v>
      </c>
      <c r="W416" s="38">
        <v>3401000</v>
      </c>
    </row>
    <row r="417" spans="4:23">
      <c r="D417" s="2">
        <v>0.93500000000000005</v>
      </c>
      <c r="E417" s="38">
        <v>4963455</v>
      </c>
      <c r="G417" s="2">
        <v>0.84599999999999997</v>
      </c>
      <c r="H417" s="38">
        <v>1036201</v>
      </c>
      <c r="M417" s="2" t="s">
        <v>800</v>
      </c>
      <c r="N417" s="38">
        <v>102900</v>
      </c>
      <c r="P417" s="2" t="s">
        <v>302</v>
      </c>
      <c r="Q417" s="38">
        <v>10500</v>
      </c>
      <c r="V417" s="2">
        <v>0.374</v>
      </c>
      <c r="W417" s="38">
        <v>143400</v>
      </c>
    </row>
    <row r="418" spans="4:23">
      <c r="D418" s="2">
        <v>0.93700000000000006</v>
      </c>
      <c r="E418" s="38">
        <v>9213</v>
      </c>
      <c r="G418" s="2">
        <v>0.84699999999999998</v>
      </c>
      <c r="H418" s="38">
        <v>0</v>
      </c>
      <c r="M418" s="2" t="s">
        <v>578</v>
      </c>
      <c r="N418" s="38">
        <v>101400</v>
      </c>
      <c r="P418" s="2" t="s">
        <v>351</v>
      </c>
      <c r="Q418" s="38">
        <v>10261</v>
      </c>
      <c r="V418" s="2">
        <v>0.375</v>
      </c>
      <c r="W418" s="38">
        <v>31</v>
      </c>
    </row>
    <row r="419" spans="4:23">
      <c r="D419" s="2">
        <v>0.93799999999999994</v>
      </c>
      <c r="E419" s="38">
        <v>129200</v>
      </c>
      <c r="G419" s="2">
        <v>0.84799999999999998</v>
      </c>
      <c r="H419" s="38">
        <v>303108</v>
      </c>
      <c r="M419" s="2" t="s">
        <v>833</v>
      </c>
      <c r="N419" s="38">
        <v>101000</v>
      </c>
      <c r="P419" s="2" t="s">
        <v>974</v>
      </c>
      <c r="Q419" s="38">
        <v>9924</v>
      </c>
      <c r="V419" s="2">
        <v>0.376</v>
      </c>
      <c r="W419" s="38">
        <v>0</v>
      </c>
    </row>
    <row r="420" spans="4:23">
      <c r="D420" s="2">
        <v>0.93899999999999995</v>
      </c>
      <c r="E420" s="38">
        <v>2400000</v>
      </c>
      <c r="G420" s="2">
        <v>0.85199999999999998</v>
      </c>
      <c r="H420" s="38">
        <v>0</v>
      </c>
      <c r="M420" s="2" t="s">
        <v>236</v>
      </c>
      <c r="N420" s="38">
        <v>100000</v>
      </c>
      <c r="P420" s="2" t="s">
        <v>617</v>
      </c>
      <c r="Q420" s="38">
        <v>9568</v>
      </c>
      <c r="V420" s="2">
        <v>0.38200000000000001</v>
      </c>
      <c r="W420" s="38">
        <v>271823</v>
      </c>
    </row>
    <row r="421" spans="4:23">
      <c r="D421" s="2">
        <v>0.94</v>
      </c>
      <c r="E421" s="38">
        <v>13800</v>
      </c>
      <c r="G421" s="2">
        <v>0.85299999999999998</v>
      </c>
      <c r="H421" s="38">
        <v>23100</v>
      </c>
      <c r="M421" s="2" t="s">
        <v>1346</v>
      </c>
      <c r="N421" s="38">
        <v>99400</v>
      </c>
      <c r="P421" s="2" t="s">
        <v>1800</v>
      </c>
      <c r="Q421" s="38">
        <v>9257</v>
      </c>
      <c r="V421" s="2">
        <v>0.38400000000000001</v>
      </c>
      <c r="W421" s="38">
        <v>5014</v>
      </c>
    </row>
    <row r="422" spans="4:23">
      <c r="D422" s="2">
        <v>0.94099999999999995</v>
      </c>
      <c r="E422" s="38">
        <v>1400000</v>
      </c>
      <c r="G422" s="2">
        <v>0.85399999999999998</v>
      </c>
      <c r="H422" s="38">
        <v>46900000</v>
      </c>
      <c r="M422" s="2" t="s">
        <v>892</v>
      </c>
      <c r="N422" s="38">
        <v>99200</v>
      </c>
      <c r="P422" s="2" t="s">
        <v>1779</v>
      </c>
      <c r="Q422" s="38">
        <v>9230</v>
      </c>
      <c r="V422" s="2">
        <v>0.38600000000000001</v>
      </c>
      <c r="W422" s="38">
        <v>65900</v>
      </c>
    </row>
    <row r="423" spans="4:23">
      <c r="D423" s="2">
        <v>0.94399999999999995</v>
      </c>
      <c r="E423" s="38">
        <v>16300</v>
      </c>
      <c r="G423" s="2">
        <v>0.85499999999999998</v>
      </c>
      <c r="H423" s="38">
        <v>7889</v>
      </c>
      <c r="M423" s="2" t="s">
        <v>660</v>
      </c>
      <c r="N423" s="38">
        <v>97800</v>
      </c>
      <c r="P423" s="2" t="s">
        <v>145</v>
      </c>
      <c r="Q423" s="38">
        <v>9213</v>
      </c>
      <c r="V423" s="2">
        <v>0.38700000000000001</v>
      </c>
      <c r="W423" s="38">
        <v>1042</v>
      </c>
    </row>
    <row r="424" spans="4:23">
      <c r="D424" s="2">
        <v>0.94499999999999995</v>
      </c>
      <c r="E424" s="38">
        <v>7930</v>
      </c>
      <c r="G424" s="2">
        <v>0.85799999999999998</v>
      </c>
      <c r="H424" s="38">
        <v>1848</v>
      </c>
      <c r="M424" s="2" t="s">
        <v>1794</v>
      </c>
      <c r="N424" s="38">
        <v>97700</v>
      </c>
      <c r="P424" s="2" t="s">
        <v>1693</v>
      </c>
      <c r="Q424" s="38">
        <v>8935</v>
      </c>
      <c r="V424" s="2">
        <v>0.39300000000000002</v>
      </c>
      <c r="W424" s="38">
        <v>1487</v>
      </c>
    </row>
    <row r="425" spans="4:23">
      <c r="D425" s="2">
        <v>0.94599999999999995</v>
      </c>
      <c r="E425" s="38">
        <v>665900</v>
      </c>
      <c r="G425" s="2">
        <v>0.85899999999999999</v>
      </c>
      <c r="H425" s="38">
        <v>192900</v>
      </c>
      <c r="M425" s="2" t="s">
        <v>806</v>
      </c>
      <c r="N425" s="38">
        <v>97300</v>
      </c>
      <c r="P425" s="2" t="s">
        <v>532</v>
      </c>
      <c r="Q425" s="38">
        <v>8529</v>
      </c>
      <c r="V425" s="2">
        <v>0.39700000000000002</v>
      </c>
      <c r="W425" s="38">
        <v>1</v>
      </c>
    </row>
    <row r="426" spans="4:23">
      <c r="D426" s="2">
        <v>0.94899999999999995</v>
      </c>
      <c r="E426" s="38">
        <v>2059</v>
      </c>
      <c r="G426" s="2">
        <v>0.86099999999999999</v>
      </c>
      <c r="H426" s="38">
        <v>148200</v>
      </c>
      <c r="M426" s="2" t="s">
        <v>266</v>
      </c>
      <c r="N426" s="38">
        <v>97100</v>
      </c>
      <c r="P426" s="2" t="s">
        <v>324</v>
      </c>
      <c r="Q426" s="38">
        <v>8452</v>
      </c>
      <c r="V426" s="2">
        <v>0.39900000000000002</v>
      </c>
      <c r="W426" s="38">
        <v>790500</v>
      </c>
    </row>
    <row r="427" spans="4:23">
      <c r="D427" s="2">
        <v>0.95</v>
      </c>
      <c r="E427" s="38">
        <v>2680300</v>
      </c>
      <c r="G427" s="2">
        <v>0.86199999999999999</v>
      </c>
      <c r="H427" s="38">
        <v>214067</v>
      </c>
      <c r="M427" s="2" t="s">
        <v>1210</v>
      </c>
      <c r="N427" s="38">
        <v>96800</v>
      </c>
      <c r="P427" s="2" t="s">
        <v>924</v>
      </c>
      <c r="Q427" s="38">
        <v>8366</v>
      </c>
      <c r="V427" s="2">
        <v>0.4</v>
      </c>
      <c r="W427" s="38">
        <v>20</v>
      </c>
    </row>
    <row r="428" spans="4:23">
      <c r="D428" s="2">
        <v>0.95399999999999996</v>
      </c>
      <c r="E428" s="38">
        <v>5600000</v>
      </c>
      <c r="G428" s="2">
        <v>0.86499999999999999</v>
      </c>
      <c r="H428" s="38">
        <v>14</v>
      </c>
      <c r="M428" s="2" t="s">
        <v>1543</v>
      </c>
      <c r="N428" s="38">
        <v>89500</v>
      </c>
      <c r="P428" s="2" t="s">
        <v>1362</v>
      </c>
      <c r="Q428" s="38">
        <v>7930</v>
      </c>
      <c r="V428" s="2">
        <v>0.40200000000000002</v>
      </c>
      <c r="W428" s="38">
        <v>682400</v>
      </c>
    </row>
    <row r="429" spans="4:23">
      <c r="D429" s="2">
        <v>0.96</v>
      </c>
      <c r="E429" s="38">
        <v>1800000</v>
      </c>
      <c r="G429" s="2">
        <v>0.86599999999999999</v>
      </c>
      <c r="H429" s="38">
        <v>3</v>
      </c>
      <c r="M429" s="2" t="s">
        <v>1401</v>
      </c>
      <c r="N429" s="38">
        <v>88300</v>
      </c>
      <c r="P429" s="2" t="s">
        <v>385</v>
      </c>
      <c r="Q429" s="38">
        <v>7746</v>
      </c>
      <c r="V429" s="2">
        <v>0.40500000000000003</v>
      </c>
      <c r="W429" s="38">
        <v>173600</v>
      </c>
    </row>
    <row r="430" spans="4:23">
      <c r="D430" s="2">
        <v>0.96099999999999997</v>
      </c>
      <c r="E430" s="38">
        <v>289000</v>
      </c>
      <c r="G430" s="2">
        <v>0.86699999999999999</v>
      </c>
      <c r="H430" s="38">
        <v>63</v>
      </c>
      <c r="M430" s="2" t="s">
        <v>630</v>
      </c>
      <c r="N430" s="38">
        <v>87500</v>
      </c>
      <c r="P430" s="2" t="s">
        <v>419</v>
      </c>
      <c r="Q430" s="38">
        <v>7664</v>
      </c>
      <c r="V430" s="2">
        <v>0.40799999999999997</v>
      </c>
      <c r="W430" s="38">
        <v>43101</v>
      </c>
    </row>
    <row r="431" spans="4:23">
      <c r="D431" s="2">
        <v>0.96399999999999997</v>
      </c>
      <c r="E431" s="38">
        <v>1400000</v>
      </c>
      <c r="G431" s="2">
        <v>0.86799999999999999</v>
      </c>
      <c r="H431" s="38">
        <v>385700</v>
      </c>
      <c r="M431" s="2" t="s">
        <v>1694</v>
      </c>
      <c r="N431" s="38">
        <v>87200</v>
      </c>
      <c r="P431" s="2" t="s">
        <v>1328</v>
      </c>
      <c r="Q431" s="38">
        <v>7529</v>
      </c>
      <c r="V431" s="2">
        <v>0.41</v>
      </c>
      <c r="W431" s="38">
        <v>1200000</v>
      </c>
    </row>
    <row r="432" spans="4:23">
      <c r="D432" s="2">
        <v>0.96499999999999997</v>
      </c>
      <c r="E432" s="38">
        <v>1646000</v>
      </c>
      <c r="G432" s="2">
        <v>0.86899999999999999</v>
      </c>
      <c r="H432" s="38">
        <v>0</v>
      </c>
      <c r="M432" s="2" t="s">
        <v>957</v>
      </c>
      <c r="N432" s="38">
        <v>83400</v>
      </c>
      <c r="P432" s="2" t="s">
        <v>49</v>
      </c>
      <c r="Q432" s="38">
        <v>7199</v>
      </c>
      <c r="V432" s="2">
        <v>0.41499999999999998</v>
      </c>
      <c r="W432" s="38">
        <v>77300</v>
      </c>
    </row>
    <row r="433" spans="4:23">
      <c r="D433" s="2">
        <v>0.97099999999999997</v>
      </c>
      <c r="E433" s="38">
        <v>404000</v>
      </c>
      <c r="G433" s="2">
        <v>0.871</v>
      </c>
      <c r="H433" s="38">
        <v>16</v>
      </c>
      <c r="M433" s="2" t="s">
        <v>510</v>
      </c>
      <c r="N433" s="38">
        <v>83200</v>
      </c>
      <c r="P433" s="2" t="s">
        <v>1379</v>
      </c>
      <c r="Q433" s="38">
        <v>7012</v>
      </c>
      <c r="V433" s="2">
        <v>0.42</v>
      </c>
      <c r="W433" s="38">
        <v>0</v>
      </c>
    </row>
    <row r="434" spans="4:23">
      <c r="D434" s="2">
        <v>0.97399999999999998</v>
      </c>
      <c r="E434" s="38">
        <v>2000000</v>
      </c>
      <c r="G434" s="2">
        <v>0.872</v>
      </c>
      <c r="H434" s="38">
        <v>156652</v>
      </c>
      <c r="M434" s="2" t="s">
        <v>1163</v>
      </c>
      <c r="N434" s="38">
        <v>82700</v>
      </c>
      <c r="P434" s="2" t="s">
        <v>472</v>
      </c>
      <c r="Q434" s="38">
        <v>6802</v>
      </c>
      <c r="V434" s="2">
        <v>0.42599999999999999</v>
      </c>
      <c r="W434" s="38">
        <v>260471</v>
      </c>
    </row>
    <row r="435" spans="4:23">
      <c r="D435" s="2">
        <v>0.97699999999999998</v>
      </c>
      <c r="E435" s="38">
        <v>9924</v>
      </c>
      <c r="G435" s="2">
        <v>0.873</v>
      </c>
      <c r="H435" s="38">
        <v>242794</v>
      </c>
      <c r="M435" s="2" t="s">
        <v>991</v>
      </c>
      <c r="N435" s="38">
        <v>81700</v>
      </c>
      <c r="P435" s="2" t="s">
        <v>902</v>
      </c>
      <c r="Q435" s="38">
        <v>6796</v>
      </c>
      <c r="V435" s="2">
        <v>0.42699999999999999</v>
      </c>
      <c r="W435" s="38">
        <v>1420</v>
      </c>
    </row>
    <row r="436" spans="4:23">
      <c r="D436" s="2">
        <v>0.97799999999999998</v>
      </c>
      <c r="E436" s="38">
        <v>10600</v>
      </c>
      <c r="G436" s="2">
        <v>0.876</v>
      </c>
      <c r="H436" s="38">
        <v>0</v>
      </c>
      <c r="M436" s="2" t="s">
        <v>866</v>
      </c>
      <c r="N436" s="38">
        <v>81500</v>
      </c>
      <c r="P436" s="2" t="s">
        <v>388</v>
      </c>
      <c r="Q436" s="38">
        <v>6792</v>
      </c>
      <c r="V436" s="2">
        <v>0.43</v>
      </c>
      <c r="W436" s="38">
        <v>101400</v>
      </c>
    </row>
    <row r="437" spans="4:23">
      <c r="D437" s="2">
        <v>0.98</v>
      </c>
      <c r="E437" s="38">
        <v>1300000</v>
      </c>
      <c r="G437" s="2">
        <v>0.878</v>
      </c>
      <c r="H437" s="38">
        <v>32000</v>
      </c>
      <c r="M437" s="2" t="s">
        <v>1575</v>
      </c>
      <c r="N437" s="38">
        <v>79000</v>
      </c>
      <c r="P437" s="2" t="s">
        <v>198</v>
      </c>
      <c r="Q437" s="38">
        <v>6724</v>
      </c>
      <c r="V437" s="2">
        <v>0.434</v>
      </c>
      <c r="W437" s="38">
        <v>110500</v>
      </c>
    </row>
    <row r="438" spans="4:23">
      <c r="D438" s="2" t="s">
        <v>19</v>
      </c>
      <c r="E438" s="38">
        <v>818817956</v>
      </c>
      <c r="G438" s="2">
        <v>0.879</v>
      </c>
      <c r="H438" s="38">
        <v>2</v>
      </c>
      <c r="M438" s="2" t="s">
        <v>76</v>
      </c>
      <c r="N438" s="38">
        <v>78400</v>
      </c>
      <c r="P438" s="2" t="s">
        <v>51</v>
      </c>
      <c r="Q438" s="38">
        <v>6434</v>
      </c>
      <c r="V438" s="2">
        <v>0.436</v>
      </c>
      <c r="W438" s="38">
        <v>11300090</v>
      </c>
    </row>
    <row r="439" spans="4:23">
      <c r="G439" s="2">
        <v>0.88</v>
      </c>
      <c r="H439" s="38">
        <v>97800</v>
      </c>
      <c r="M439" s="2" t="s">
        <v>641</v>
      </c>
      <c r="N439" s="38">
        <v>78400</v>
      </c>
      <c r="P439" s="2" t="s">
        <v>342</v>
      </c>
      <c r="Q439" s="38">
        <v>6295</v>
      </c>
      <c r="V439" s="2">
        <v>0.439</v>
      </c>
      <c r="W439" s="38">
        <v>351500</v>
      </c>
    </row>
    <row r="440" spans="4:23">
      <c r="G440" s="2">
        <v>0.88100000000000001</v>
      </c>
      <c r="H440" s="38">
        <v>34874</v>
      </c>
      <c r="M440" s="2" t="s">
        <v>1551</v>
      </c>
      <c r="N440" s="38">
        <v>78300</v>
      </c>
      <c r="P440" s="2" t="s">
        <v>345</v>
      </c>
      <c r="Q440" s="38">
        <v>6139</v>
      </c>
      <c r="V440" s="2">
        <v>0.44</v>
      </c>
      <c r="W440" s="38">
        <v>0</v>
      </c>
    </row>
    <row r="441" spans="4:23">
      <c r="G441" s="2">
        <v>0.88200000000000001</v>
      </c>
      <c r="H441" s="38">
        <v>2312474</v>
      </c>
      <c r="M441" s="2" t="s">
        <v>1168</v>
      </c>
      <c r="N441" s="38">
        <v>77300</v>
      </c>
      <c r="P441" s="2" t="s">
        <v>1522</v>
      </c>
      <c r="Q441" s="38">
        <v>6068</v>
      </c>
      <c r="V441" s="2">
        <v>0.442</v>
      </c>
      <c r="W441" s="38">
        <v>231200</v>
      </c>
    </row>
    <row r="442" spans="4:23">
      <c r="G442" s="2">
        <v>0.88300000000000001</v>
      </c>
      <c r="H442" s="38">
        <v>1300000</v>
      </c>
      <c r="M442" s="2" t="s">
        <v>470</v>
      </c>
      <c r="N442" s="38">
        <v>75500</v>
      </c>
      <c r="P442" s="2" t="s">
        <v>589</v>
      </c>
      <c r="Q442" s="38">
        <v>5121</v>
      </c>
      <c r="V442" s="2">
        <v>0.44400000000000001</v>
      </c>
      <c r="W442" s="38">
        <v>0</v>
      </c>
    </row>
    <row r="443" spans="4:23">
      <c r="G443" s="2">
        <v>0.88400000000000001</v>
      </c>
      <c r="H443" s="38">
        <v>899100</v>
      </c>
      <c r="M443" s="2" t="s">
        <v>579</v>
      </c>
      <c r="N443" s="38">
        <v>70300</v>
      </c>
      <c r="P443" s="2" t="s">
        <v>1343</v>
      </c>
      <c r="Q443" s="38">
        <v>4764</v>
      </c>
      <c r="V443" s="2">
        <v>0.44500000000000001</v>
      </c>
      <c r="W443" s="38">
        <v>0</v>
      </c>
    </row>
    <row r="444" spans="4:23">
      <c r="G444" s="2">
        <v>0.89300000000000002</v>
      </c>
      <c r="H444" s="38">
        <v>190103</v>
      </c>
      <c r="M444" s="2" t="s">
        <v>1544</v>
      </c>
      <c r="N444" s="38">
        <v>68100</v>
      </c>
      <c r="P444" s="2" t="s">
        <v>1574</v>
      </c>
      <c r="Q444" s="38">
        <v>4707</v>
      </c>
      <c r="V444" s="2">
        <v>0.44600000000000001</v>
      </c>
      <c r="W444" s="38">
        <v>1</v>
      </c>
    </row>
    <row r="445" spans="4:23">
      <c r="G445" s="2">
        <v>0.89400000000000002</v>
      </c>
      <c r="H445" s="38">
        <v>3</v>
      </c>
      <c r="M445" s="2" t="s">
        <v>1047</v>
      </c>
      <c r="N445" s="38">
        <v>67900</v>
      </c>
      <c r="P445" s="2" t="s">
        <v>512</v>
      </c>
      <c r="Q445" s="38">
        <v>4682</v>
      </c>
      <c r="V445" s="2">
        <v>0.46</v>
      </c>
      <c r="W445" s="38">
        <v>3500000</v>
      </c>
    </row>
    <row r="446" spans="4:23">
      <c r="G446" s="2">
        <v>0.89500000000000002</v>
      </c>
      <c r="H446" s="38">
        <v>6700000</v>
      </c>
      <c r="M446" s="2" t="s">
        <v>1002</v>
      </c>
      <c r="N446" s="38">
        <v>66700</v>
      </c>
      <c r="P446" s="2" t="s">
        <v>566</v>
      </c>
      <c r="Q446" s="38">
        <v>4653</v>
      </c>
      <c r="V446" s="2">
        <v>0.46100000000000002</v>
      </c>
      <c r="W446" s="38">
        <v>378900</v>
      </c>
    </row>
    <row r="447" spans="4:23">
      <c r="G447" s="2">
        <v>0.89600000000000002</v>
      </c>
      <c r="H447" s="38">
        <v>0</v>
      </c>
      <c r="M447" s="2" t="s">
        <v>1123</v>
      </c>
      <c r="N447" s="38">
        <v>65900</v>
      </c>
      <c r="P447" s="2" t="s">
        <v>119</v>
      </c>
      <c r="Q447" s="38">
        <v>4284</v>
      </c>
      <c r="V447" s="2">
        <v>0.46500000000000002</v>
      </c>
      <c r="W447" s="38">
        <v>87500</v>
      </c>
    </row>
    <row r="448" spans="4:23">
      <c r="G448" s="2">
        <v>0.89700000000000002</v>
      </c>
      <c r="H448" s="38">
        <v>2200000</v>
      </c>
      <c r="M448" s="2" t="s">
        <v>507</v>
      </c>
      <c r="N448" s="38">
        <v>62900</v>
      </c>
      <c r="P448" s="2" t="s">
        <v>626</v>
      </c>
      <c r="Q448" s="38">
        <v>4064</v>
      </c>
      <c r="V448" s="2">
        <v>0.47099999999999997</v>
      </c>
      <c r="W448" s="38">
        <v>163800</v>
      </c>
    </row>
    <row r="449" spans="7:23">
      <c r="G449" s="2">
        <v>0.89800000000000002</v>
      </c>
      <c r="H449" s="38">
        <v>3300000</v>
      </c>
      <c r="M449" s="2" t="s">
        <v>1517</v>
      </c>
      <c r="N449" s="38">
        <v>62200</v>
      </c>
      <c r="P449" s="2" t="s">
        <v>823</v>
      </c>
      <c r="Q449" s="38">
        <v>3744</v>
      </c>
      <c r="V449" s="2">
        <v>0.47399999999999998</v>
      </c>
      <c r="W449" s="38">
        <v>1200000</v>
      </c>
    </row>
    <row r="450" spans="7:23">
      <c r="G450" s="2">
        <v>0.89900000000000002</v>
      </c>
      <c r="H450" s="38">
        <v>0</v>
      </c>
      <c r="M450" s="2" t="s">
        <v>707</v>
      </c>
      <c r="N450" s="38">
        <v>61000</v>
      </c>
      <c r="P450" s="2" t="s">
        <v>1530</v>
      </c>
      <c r="Q450" s="38">
        <v>3635</v>
      </c>
      <c r="V450" s="2">
        <v>0.47699999999999998</v>
      </c>
      <c r="W450" s="38">
        <v>147700</v>
      </c>
    </row>
    <row r="451" spans="7:23">
      <c r="G451" s="2">
        <v>0.90200000000000002</v>
      </c>
      <c r="H451" s="38">
        <v>14</v>
      </c>
      <c r="M451" s="2" t="s">
        <v>1309</v>
      </c>
      <c r="N451" s="38">
        <v>60900</v>
      </c>
      <c r="P451" s="2" t="s">
        <v>200</v>
      </c>
      <c r="Q451" s="38">
        <v>3523</v>
      </c>
      <c r="V451" s="2">
        <v>0.47899999999999998</v>
      </c>
      <c r="W451" s="38">
        <v>103</v>
      </c>
    </row>
    <row r="452" spans="7:23">
      <c r="G452" s="2">
        <v>0.90400000000000003</v>
      </c>
      <c r="H452" s="38">
        <v>20000</v>
      </c>
      <c r="M452" s="2" t="s">
        <v>1654</v>
      </c>
      <c r="N452" s="38">
        <v>60100</v>
      </c>
      <c r="P452" s="2" t="s">
        <v>587</v>
      </c>
      <c r="Q452" s="38">
        <v>3516</v>
      </c>
      <c r="V452" s="2">
        <v>0.48</v>
      </c>
      <c r="W452" s="38">
        <v>0</v>
      </c>
    </row>
    <row r="453" spans="7:23">
      <c r="G453" s="2">
        <v>0.90700000000000003</v>
      </c>
      <c r="H453" s="38">
        <v>11300</v>
      </c>
      <c r="M453" s="2" t="s">
        <v>1226</v>
      </c>
      <c r="N453" s="38">
        <v>59900</v>
      </c>
      <c r="P453" s="2" t="s">
        <v>288</v>
      </c>
      <c r="Q453" s="38">
        <v>3165</v>
      </c>
      <c r="V453" s="2">
        <v>0.48399999999999999</v>
      </c>
      <c r="W453" s="38">
        <v>4653</v>
      </c>
    </row>
    <row r="454" spans="7:23">
      <c r="G454" s="2">
        <v>0.91200000000000003</v>
      </c>
      <c r="H454" s="38">
        <v>228582</v>
      </c>
      <c r="M454" s="2" t="s">
        <v>356</v>
      </c>
      <c r="N454" s="38">
        <v>59100</v>
      </c>
      <c r="P454" s="2" t="s">
        <v>644</v>
      </c>
      <c r="Q454" s="38">
        <v>3039</v>
      </c>
      <c r="V454" s="2">
        <v>0.48599999999999999</v>
      </c>
      <c r="W454" s="38">
        <v>137400</v>
      </c>
    </row>
    <row r="455" spans="7:23">
      <c r="G455" s="2">
        <v>0.91900000000000004</v>
      </c>
      <c r="H455" s="38">
        <v>14</v>
      </c>
      <c r="M455" s="2" t="s">
        <v>786</v>
      </c>
      <c r="N455" s="38">
        <v>58800</v>
      </c>
      <c r="P455" s="2" t="s">
        <v>623</v>
      </c>
      <c r="Q455" s="38">
        <v>2933</v>
      </c>
      <c r="V455" s="2">
        <v>0.50900000000000001</v>
      </c>
      <c r="W455" s="38">
        <v>167</v>
      </c>
    </row>
    <row r="456" spans="7:23">
      <c r="G456" s="2">
        <v>0.92300000000000004</v>
      </c>
      <c r="H456" s="38">
        <v>169600</v>
      </c>
      <c r="M456" s="2" t="s">
        <v>637</v>
      </c>
      <c r="N456" s="38">
        <v>57800</v>
      </c>
      <c r="P456" s="2" t="s">
        <v>213</v>
      </c>
      <c r="Q456" s="38">
        <v>2889</v>
      </c>
      <c r="V456" s="2">
        <v>0.51300000000000001</v>
      </c>
      <c r="W456" s="38">
        <v>1500000</v>
      </c>
    </row>
    <row r="457" spans="7:23">
      <c r="G457" s="2">
        <v>0.92400000000000004</v>
      </c>
      <c r="H457" s="38">
        <v>2933</v>
      </c>
      <c r="M457" s="2" t="s">
        <v>875</v>
      </c>
      <c r="N457" s="38">
        <v>57200</v>
      </c>
      <c r="P457" s="2" t="s">
        <v>279</v>
      </c>
      <c r="Q457" s="38">
        <v>2880</v>
      </c>
      <c r="V457" s="2">
        <v>0.51900000000000002</v>
      </c>
      <c r="W457" s="38">
        <v>0</v>
      </c>
    </row>
    <row r="458" spans="7:23">
      <c r="G458" s="2">
        <v>0.92500000000000004</v>
      </c>
      <c r="H458" s="38">
        <v>0</v>
      </c>
      <c r="M458" s="2" t="s">
        <v>1289</v>
      </c>
      <c r="N458" s="38">
        <v>54200</v>
      </c>
      <c r="P458" s="2" t="s">
        <v>754</v>
      </c>
      <c r="Q458" s="38">
        <v>2812</v>
      </c>
      <c r="V458" s="2">
        <v>0.52500000000000002</v>
      </c>
      <c r="W458" s="38">
        <v>1</v>
      </c>
    </row>
    <row r="459" spans="7:23">
      <c r="G459" s="2">
        <v>0.92700000000000005</v>
      </c>
      <c r="H459" s="38">
        <v>285700</v>
      </c>
      <c r="M459" s="2" t="s">
        <v>725</v>
      </c>
      <c r="N459" s="38">
        <v>52600</v>
      </c>
      <c r="P459" s="2" t="s">
        <v>238</v>
      </c>
      <c r="Q459" s="38">
        <v>2516</v>
      </c>
      <c r="V459" s="2">
        <v>0.53300000000000003</v>
      </c>
      <c r="W459" s="38">
        <v>7</v>
      </c>
    </row>
    <row r="460" spans="7:23">
      <c r="G460" s="2">
        <v>0.92800000000000005</v>
      </c>
      <c r="H460" s="38">
        <v>15400</v>
      </c>
      <c r="M460" s="2" t="s">
        <v>663</v>
      </c>
      <c r="N460" s="38">
        <v>51600</v>
      </c>
      <c r="P460" s="2" t="s">
        <v>273</v>
      </c>
      <c r="Q460" s="38">
        <v>2343</v>
      </c>
      <c r="V460" s="2">
        <v>0.54</v>
      </c>
      <c r="W460" s="38">
        <v>80</v>
      </c>
    </row>
    <row r="461" spans="7:23">
      <c r="G461" s="2">
        <v>0.93</v>
      </c>
      <c r="H461" s="38">
        <v>472400</v>
      </c>
      <c r="M461" s="2" t="s">
        <v>66</v>
      </c>
      <c r="N461" s="38">
        <v>50100</v>
      </c>
      <c r="P461" s="2" t="s">
        <v>905</v>
      </c>
      <c r="Q461" s="38">
        <v>2254</v>
      </c>
      <c r="V461" s="2">
        <v>0.54300000000000004</v>
      </c>
      <c r="W461" s="38">
        <v>547200</v>
      </c>
    </row>
    <row r="462" spans="7:23">
      <c r="G462" s="2">
        <v>0.93200000000000005</v>
      </c>
      <c r="H462" s="38">
        <v>11</v>
      </c>
      <c r="M462" s="2" t="s">
        <v>249</v>
      </c>
      <c r="N462" s="38">
        <v>47400</v>
      </c>
      <c r="P462" s="2" t="s">
        <v>188</v>
      </c>
      <c r="Q462" s="38">
        <v>2194</v>
      </c>
      <c r="V462" s="2">
        <v>0.55500000000000005</v>
      </c>
      <c r="W462" s="38">
        <v>2200000</v>
      </c>
    </row>
    <row r="463" spans="7:23">
      <c r="G463" s="2">
        <v>0.93600000000000005</v>
      </c>
      <c r="H463" s="38">
        <v>7976</v>
      </c>
      <c r="M463" s="2" t="s">
        <v>631</v>
      </c>
      <c r="N463" s="38">
        <v>47000</v>
      </c>
      <c r="P463" s="2" t="s">
        <v>1791</v>
      </c>
      <c r="Q463" s="38">
        <v>2133</v>
      </c>
      <c r="V463" s="2">
        <v>0.56100000000000005</v>
      </c>
      <c r="W463" s="38">
        <v>42100</v>
      </c>
    </row>
    <row r="464" spans="7:23">
      <c r="G464" s="2">
        <v>0.94099999999999995</v>
      </c>
      <c r="H464" s="38">
        <v>345800</v>
      </c>
      <c r="M464" s="2" t="s">
        <v>443</v>
      </c>
      <c r="N464" s="38">
        <v>46000</v>
      </c>
      <c r="P464" s="2" t="s">
        <v>1414</v>
      </c>
      <c r="Q464" s="38">
        <v>2058</v>
      </c>
      <c r="V464" s="2">
        <v>0.56899999999999995</v>
      </c>
      <c r="W464" s="38">
        <v>0</v>
      </c>
    </row>
    <row r="465" spans="7:23">
      <c r="G465" s="2">
        <v>0.94499999999999995</v>
      </c>
      <c r="H465" s="38">
        <v>335000</v>
      </c>
      <c r="M465" s="2" t="s">
        <v>752</v>
      </c>
      <c r="N465" s="38">
        <v>45700</v>
      </c>
      <c r="P465" s="2" t="s">
        <v>113</v>
      </c>
      <c r="Q465" s="38">
        <v>2033</v>
      </c>
      <c r="V465" s="2">
        <v>0.57099999999999995</v>
      </c>
      <c r="W465" s="38">
        <v>211600</v>
      </c>
    </row>
    <row r="466" spans="7:23">
      <c r="G466" s="2">
        <v>0.94799999999999995</v>
      </c>
      <c r="H466" s="38">
        <v>101400</v>
      </c>
      <c r="M466" s="2" t="s">
        <v>310</v>
      </c>
      <c r="N466" s="38">
        <v>45500</v>
      </c>
      <c r="P466" s="2" t="s">
        <v>873</v>
      </c>
      <c r="Q466" s="38">
        <v>1952</v>
      </c>
      <c r="V466" s="2">
        <v>0.58099999999999996</v>
      </c>
      <c r="W466" s="38">
        <v>0</v>
      </c>
    </row>
    <row r="467" spans="7:23">
      <c r="G467" s="2">
        <v>0.95499999999999996</v>
      </c>
      <c r="H467" s="38">
        <v>1285500</v>
      </c>
      <c r="M467" s="2" t="s">
        <v>1509</v>
      </c>
      <c r="N467" s="38">
        <v>45100</v>
      </c>
      <c r="P467" s="2" t="s">
        <v>1170</v>
      </c>
      <c r="Q467" s="38">
        <v>1860</v>
      </c>
      <c r="V467" s="2">
        <v>0.58399999999999996</v>
      </c>
      <c r="W467" s="38">
        <v>0</v>
      </c>
    </row>
    <row r="468" spans="7:23">
      <c r="G468" s="2">
        <v>0.97699999999999998</v>
      </c>
      <c r="H468" s="38">
        <v>143400</v>
      </c>
      <c r="M468" s="2" t="s">
        <v>159</v>
      </c>
      <c r="N468" s="38">
        <v>45000</v>
      </c>
      <c r="P468" s="2" t="s">
        <v>428</v>
      </c>
      <c r="Q468" s="38">
        <v>1848</v>
      </c>
      <c r="V468" s="2">
        <v>0.59499999999999997</v>
      </c>
      <c r="W468" s="38">
        <v>3000000</v>
      </c>
    </row>
    <row r="469" spans="7:23">
      <c r="G469" s="2">
        <v>0.98299999999999998</v>
      </c>
      <c r="H469" s="38">
        <v>5121</v>
      </c>
      <c r="M469" s="2" t="s">
        <v>897</v>
      </c>
      <c r="N469" s="38">
        <v>43100</v>
      </c>
      <c r="P469" s="2" t="s">
        <v>594</v>
      </c>
      <c r="Q469" s="38">
        <v>1774</v>
      </c>
      <c r="V469" s="2">
        <v>0.59599999999999997</v>
      </c>
      <c r="W469" s="38">
        <v>3</v>
      </c>
    </row>
    <row r="470" spans="7:23">
      <c r="G470" s="2">
        <v>0.98899999999999999</v>
      </c>
      <c r="H470" s="38">
        <v>1860</v>
      </c>
      <c r="M470" s="2" t="s">
        <v>1549</v>
      </c>
      <c r="N470" s="38">
        <v>42500</v>
      </c>
      <c r="P470" s="2" t="s">
        <v>258</v>
      </c>
      <c r="Q470" s="38">
        <v>1636</v>
      </c>
      <c r="V470" s="2">
        <v>0.60299999999999998</v>
      </c>
      <c r="W470" s="38">
        <v>430200</v>
      </c>
    </row>
    <row r="471" spans="7:23">
      <c r="G471" s="2" t="s">
        <v>19</v>
      </c>
      <c r="H471" s="38">
        <v>818817956</v>
      </c>
      <c r="M471" s="2" t="s">
        <v>1038</v>
      </c>
      <c r="N471" s="38">
        <v>42400</v>
      </c>
      <c r="P471" s="2" t="s">
        <v>1074</v>
      </c>
      <c r="Q471" s="38">
        <v>1487</v>
      </c>
      <c r="V471" s="2">
        <v>0.60599999999999998</v>
      </c>
      <c r="W471" s="38">
        <v>873</v>
      </c>
    </row>
    <row r="472" spans="7:23">
      <c r="M472" s="2" t="s">
        <v>206</v>
      </c>
      <c r="N472" s="38">
        <v>42200</v>
      </c>
      <c r="P472" s="2" t="s">
        <v>1340</v>
      </c>
      <c r="Q472" s="38">
        <v>1435</v>
      </c>
      <c r="V472" s="2">
        <v>0.61299999999999999</v>
      </c>
      <c r="W472" s="38">
        <v>1420</v>
      </c>
    </row>
    <row r="473" spans="7:23">
      <c r="M473" s="2" t="s">
        <v>270</v>
      </c>
      <c r="N473" s="38">
        <v>42100</v>
      </c>
      <c r="P473" s="2" t="s">
        <v>430</v>
      </c>
      <c r="Q473" s="38">
        <v>1420</v>
      </c>
      <c r="V473" s="2">
        <v>0.63100000000000001</v>
      </c>
      <c r="W473" s="38">
        <v>0</v>
      </c>
    </row>
    <row r="474" spans="7:23">
      <c r="M474" s="2" t="s">
        <v>492</v>
      </c>
      <c r="N474" s="38">
        <v>42100</v>
      </c>
      <c r="P474" s="2" t="s">
        <v>316</v>
      </c>
      <c r="Q474" s="38">
        <v>1336</v>
      </c>
      <c r="V474" s="2">
        <v>0.63500000000000001</v>
      </c>
      <c r="W474" s="38">
        <v>6</v>
      </c>
    </row>
    <row r="475" spans="7:23">
      <c r="M475" s="2" t="s">
        <v>807</v>
      </c>
      <c r="N475" s="38">
        <v>40100</v>
      </c>
      <c r="P475" s="2" t="s">
        <v>1403</v>
      </c>
      <c r="Q475" s="38">
        <v>1257</v>
      </c>
      <c r="V475" s="2">
        <v>0.65</v>
      </c>
      <c r="W475" s="38">
        <v>240900</v>
      </c>
    </row>
    <row r="476" spans="7:23">
      <c r="M476" s="2" t="s">
        <v>557</v>
      </c>
      <c r="N476" s="38">
        <v>37400</v>
      </c>
      <c r="P476" s="2" t="s">
        <v>306</v>
      </c>
      <c r="Q476" s="38">
        <v>1087</v>
      </c>
      <c r="V476" s="2">
        <v>0.65300000000000002</v>
      </c>
      <c r="W476" s="38">
        <v>2033</v>
      </c>
    </row>
    <row r="477" spans="7:23">
      <c r="M477" s="2" t="s">
        <v>1671</v>
      </c>
      <c r="N477" s="38">
        <v>36600</v>
      </c>
      <c r="P477" s="2" t="s">
        <v>886</v>
      </c>
      <c r="Q477" s="38">
        <v>1042</v>
      </c>
      <c r="V477" s="2">
        <v>0.68799999999999994</v>
      </c>
      <c r="W477" s="38">
        <v>198900</v>
      </c>
    </row>
    <row r="478" spans="7:23">
      <c r="M478" s="2" t="s">
        <v>95</v>
      </c>
      <c r="N478" s="38">
        <v>36000</v>
      </c>
      <c r="P478" s="2" t="s">
        <v>1430</v>
      </c>
      <c r="Q478" s="38">
        <v>1006</v>
      </c>
      <c r="V478" s="2">
        <v>0.69199999999999995</v>
      </c>
      <c r="W478" s="38">
        <v>2300000</v>
      </c>
    </row>
    <row r="479" spans="7:23">
      <c r="M479" s="2" t="s">
        <v>680</v>
      </c>
      <c r="N479" s="38">
        <v>34700</v>
      </c>
      <c r="P479" s="2" t="s">
        <v>1776</v>
      </c>
      <c r="Q479" s="38">
        <v>958</v>
      </c>
      <c r="V479" s="2">
        <v>0.69599999999999995</v>
      </c>
      <c r="W479" s="38">
        <v>8200000</v>
      </c>
    </row>
    <row r="480" spans="7:23">
      <c r="M480" s="2" t="s">
        <v>1138</v>
      </c>
      <c r="N480" s="38">
        <v>32000</v>
      </c>
      <c r="P480" s="2" t="s">
        <v>1335</v>
      </c>
      <c r="Q480" s="38">
        <v>937</v>
      </c>
      <c r="V480" s="2">
        <v>0.71399999999999997</v>
      </c>
      <c r="W480" s="38">
        <v>126</v>
      </c>
    </row>
    <row r="481" spans="13:23">
      <c r="M481" s="2" t="s">
        <v>1506</v>
      </c>
      <c r="N481" s="38">
        <v>31400</v>
      </c>
      <c r="P481" s="2" t="s">
        <v>1184</v>
      </c>
      <c r="Q481" s="38">
        <v>921</v>
      </c>
      <c r="V481" s="2">
        <v>0.79</v>
      </c>
      <c r="W481" s="38">
        <v>2600000</v>
      </c>
    </row>
    <row r="482" spans="13:23">
      <c r="M482" s="2" t="s">
        <v>844</v>
      </c>
      <c r="N482" s="38">
        <v>29700</v>
      </c>
      <c r="P482" s="2" t="s">
        <v>121</v>
      </c>
      <c r="Q482" s="38">
        <v>919</v>
      </c>
      <c r="V482" s="2">
        <v>0.82499999999999996</v>
      </c>
      <c r="W482" s="38">
        <v>131000</v>
      </c>
    </row>
    <row r="483" spans="13:23">
      <c r="M483" s="2" t="s">
        <v>219</v>
      </c>
      <c r="N483" s="38">
        <v>29600</v>
      </c>
      <c r="P483" s="2" t="s">
        <v>1395</v>
      </c>
      <c r="Q483" s="38">
        <v>895</v>
      </c>
      <c r="V483" s="2">
        <v>0.82599999999999996</v>
      </c>
      <c r="W483" s="38">
        <v>0</v>
      </c>
    </row>
    <row r="484" spans="13:23">
      <c r="M484" s="2" t="s">
        <v>402</v>
      </c>
      <c r="N484" s="38">
        <v>29500</v>
      </c>
      <c r="P484" s="2" t="s">
        <v>394</v>
      </c>
      <c r="Q484" s="38">
        <v>873</v>
      </c>
      <c r="V484" s="2">
        <v>0.84699999999999998</v>
      </c>
      <c r="W484" s="38">
        <v>211600</v>
      </c>
    </row>
    <row r="485" spans="13:23">
      <c r="M485" s="2" t="s">
        <v>1683</v>
      </c>
      <c r="N485" s="38">
        <v>27300</v>
      </c>
      <c r="P485" s="2" t="s">
        <v>1285</v>
      </c>
      <c r="Q485" s="38">
        <v>850</v>
      </c>
      <c r="V485" s="2">
        <v>0.94399999999999995</v>
      </c>
      <c r="W485" s="38">
        <v>32000</v>
      </c>
    </row>
    <row r="486" spans="13:23">
      <c r="M486" s="2" t="s">
        <v>73</v>
      </c>
      <c r="N486" s="38">
        <v>26900</v>
      </c>
      <c r="P486" s="2" t="s">
        <v>1208</v>
      </c>
      <c r="Q486" s="38">
        <v>830</v>
      </c>
      <c r="V486" s="2" t="s">
        <v>19</v>
      </c>
      <c r="W486" s="38">
        <v>818817956</v>
      </c>
    </row>
    <row r="487" spans="13:23">
      <c r="M487" s="2" t="s">
        <v>405</v>
      </c>
      <c r="N487" s="38">
        <v>26300</v>
      </c>
      <c r="P487" s="2" t="s">
        <v>1824</v>
      </c>
      <c r="Q487" s="38">
        <v>749</v>
      </c>
    </row>
    <row r="488" spans="13:23">
      <c r="M488" s="2" t="s">
        <v>1181</v>
      </c>
      <c r="N488" s="38">
        <v>26300</v>
      </c>
      <c r="P488" s="2" t="s">
        <v>480</v>
      </c>
      <c r="Q488" s="38">
        <v>732</v>
      </c>
    </row>
    <row r="489" spans="13:23">
      <c r="M489" s="2" t="s">
        <v>840</v>
      </c>
      <c r="N489" s="38">
        <v>26200</v>
      </c>
      <c r="P489" s="2" t="s">
        <v>1568</v>
      </c>
      <c r="Q489" s="38">
        <v>640</v>
      </c>
    </row>
    <row r="490" spans="13:23">
      <c r="M490" s="2" t="s">
        <v>1120</v>
      </c>
      <c r="N490" s="38">
        <v>26000</v>
      </c>
      <c r="P490" s="2" t="s">
        <v>692</v>
      </c>
      <c r="Q490" s="38">
        <v>609</v>
      </c>
    </row>
    <row r="491" spans="13:23">
      <c r="M491" s="2" t="s">
        <v>1315</v>
      </c>
      <c r="N491" s="38">
        <v>25600</v>
      </c>
      <c r="P491" s="2" t="s">
        <v>575</v>
      </c>
      <c r="Q491" s="38">
        <v>589</v>
      </c>
    </row>
    <row r="492" spans="13:23">
      <c r="M492" s="2" t="s">
        <v>103</v>
      </c>
      <c r="N492" s="38">
        <v>25100</v>
      </c>
      <c r="P492" s="2" t="s">
        <v>881</v>
      </c>
      <c r="Q492" s="38">
        <v>572</v>
      </c>
    </row>
    <row r="493" spans="13:23">
      <c r="M493" s="2" t="s">
        <v>615</v>
      </c>
      <c r="N493" s="38">
        <v>24400</v>
      </c>
      <c r="P493" s="2" t="s">
        <v>152</v>
      </c>
      <c r="Q493" s="38">
        <v>555</v>
      </c>
    </row>
    <row r="494" spans="13:23">
      <c r="M494" s="2" t="s">
        <v>62</v>
      </c>
      <c r="N494" s="38">
        <v>24000</v>
      </c>
      <c r="P494" s="2" t="s">
        <v>950</v>
      </c>
      <c r="Q494" s="38">
        <v>449</v>
      </c>
    </row>
    <row r="495" spans="13:23">
      <c r="M495" s="2" t="s">
        <v>621</v>
      </c>
      <c r="N495" s="38">
        <v>23900</v>
      </c>
      <c r="P495" s="2" t="s">
        <v>1778</v>
      </c>
      <c r="Q495" s="38">
        <v>366</v>
      </c>
    </row>
    <row r="496" spans="13:23">
      <c r="M496" s="2" t="s">
        <v>1221</v>
      </c>
      <c r="N496" s="38">
        <v>23100</v>
      </c>
      <c r="P496" s="2" t="s">
        <v>718</v>
      </c>
      <c r="Q496" s="38">
        <v>340</v>
      </c>
    </row>
    <row r="497" spans="13:17">
      <c r="M497" s="2" t="s">
        <v>254</v>
      </c>
      <c r="N497" s="38">
        <v>20000</v>
      </c>
      <c r="P497" s="2" t="s">
        <v>777</v>
      </c>
      <c r="Q497" s="38">
        <v>335</v>
      </c>
    </row>
    <row r="498" spans="13:17">
      <c r="M498" s="2" t="s">
        <v>1450</v>
      </c>
      <c r="N498" s="38">
        <v>19700</v>
      </c>
      <c r="P498" s="2" t="s">
        <v>169</v>
      </c>
      <c r="Q498" s="38">
        <v>331</v>
      </c>
    </row>
    <row r="499" spans="13:17">
      <c r="M499" s="2" t="s">
        <v>780</v>
      </c>
      <c r="N499" s="38">
        <v>19400</v>
      </c>
      <c r="P499" s="2" t="s">
        <v>737</v>
      </c>
      <c r="Q499" s="38">
        <v>319</v>
      </c>
    </row>
    <row r="500" spans="13:17">
      <c r="M500" s="2" t="s">
        <v>277</v>
      </c>
      <c r="N500" s="38">
        <v>18900</v>
      </c>
      <c r="P500" s="2" t="s">
        <v>202</v>
      </c>
      <c r="Q500" s="38">
        <v>302</v>
      </c>
    </row>
    <row r="501" spans="13:17">
      <c r="M501" s="2" t="s">
        <v>179</v>
      </c>
      <c r="N501" s="38">
        <v>18600</v>
      </c>
      <c r="P501" s="2" t="s">
        <v>563</v>
      </c>
      <c r="Q501" s="38">
        <v>230</v>
      </c>
    </row>
    <row r="502" spans="13:17">
      <c r="M502" s="2" t="s">
        <v>360</v>
      </c>
      <c r="N502" s="38">
        <v>18100</v>
      </c>
      <c r="P502" s="2" t="s">
        <v>1709</v>
      </c>
      <c r="Q502" s="38">
        <v>220</v>
      </c>
    </row>
    <row r="503" spans="13:17">
      <c r="M503" s="2" t="s">
        <v>1236</v>
      </c>
      <c r="N503" s="38">
        <v>17800</v>
      </c>
      <c r="P503" s="2" t="s">
        <v>1298</v>
      </c>
      <c r="Q503" s="38">
        <v>201</v>
      </c>
    </row>
    <row r="504" spans="13:17">
      <c r="M504" s="2" t="s">
        <v>701</v>
      </c>
      <c r="N504" s="38">
        <v>17500</v>
      </c>
      <c r="P504" s="2" t="s">
        <v>313</v>
      </c>
      <c r="Q504" s="38">
        <v>167</v>
      </c>
    </row>
    <row r="505" spans="13:17">
      <c r="M505" s="2" t="s">
        <v>1295</v>
      </c>
      <c r="N505" s="38">
        <v>17400</v>
      </c>
      <c r="P505" s="2" t="s">
        <v>728</v>
      </c>
      <c r="Q505" s="38">
        <v>162</v>
      </c>
    </row>
    <row r="506" spans="13:17">
      <c r="M506" s="2" t="s">
        <v>280</v>
      </c>
      <c r="N506" s="38">
        <v>16820</v>
      </c>
      <c r="P506" s="2" t="s">
        <v>1624</v>
      </c>
      <c r="Q506" s="38">
        <v>161</v>
      </c>
    </row>
    <row r="507" spans="13:17">
      <c r="M507" s="2" t="s">
        <v>1354</v>
      </c>
      <c r="N507" s="38">
        <v>16500</v>
      </c>
      <c r="P507" s="2" t="s">
        <v>884</v>
      </c>
      <c r="Q507" s="38">
        <v>153</v>
      </c>
    </row>
    <row r="508" spans="13:17">
      <c r="M508" s="2" t="s">
        <v>1265</v>
      </c>
      <c r="N508" s="38">
        <v>16500</v>
      </c>
      <c r="P508" s="2" t="s">
        <v>326</v>
      </c>
      <c r="Q508" s="38">
        <v>147</v>
      </c>
    </row>
    <row r="509" spans="13:17">
      <c r="M509" s="2" t="s">
        <v>544</v>
      </c>
      <c r="N509" s="38">
        <v>16300</v>
      </c>
      <c r="P509" s="2" t="s">
        <v>1637</v>
      </c>
      <c r="Q509" s="38">
        <v>141</v>
      </c>
    </row>
    <row r="510" spans="13:17">
      <c r="M510" s="2" t="s">
        <v>1178</v>
      </c>
      <c r="N510" s="38">
        <v>16300</v>
      </c>
      <c r="P510" s="2" t="s">
        <v>1751</v>
      </c>
      <c r="Q510" s="38">
        <v>126</v>
      </c>
    </row>
    <row r="511" spans="13:17">
      <c r="M511" s="2" t="s">
        <v>789</v>
      </c>
      <c r="N511" s="38">
        <v>15800</v>
      </c>
      <c r="P511" s="2" t="s">
        <v>1477</v>
      </c>
      <c r="Q511" s="38">
        <v>123</v>
      </c>
    </row>
    <row r="512" spans="13:17">
      <c r="M512" s="2" t="s">
        <v>1224</v>
      </c>
      <c r="N512" s="38">
        <v>15400</v>
      </c>
      <c r="P512" s="2" t="s">
        <v>99</v>
      </c>
      <c r="Q512" s="38">
        <v>120</v>
      </c>
    </row>
    <row r="513" spans="13:17">
      <c r="M513" s="2" t="s">
        <v>1463</v>
      </c>
      <c r="N513" s="38">
        <v>15400</v>
      </c>
      <c r="P513" s="2" t="s">
        <v>226</v>
      </c>
      <c r="Q513" s="38">
        <v>112</v>
      </c>
    </row>
    <row r="514" spans="13:17">
      <c r="M514" s="2" t="s">
        <v>522</v>
      </c>
      <c r="N514" s="38">
        <v>15000</v>
      </c>
      <c r="P514" s="2" t="s">
        <v>1538</v>
      </c>
      <c r="Q514" s="38">
        <v>109</v>
      </c>
    </row>
    <row r="515" spans="13:17">
      <c r="M515" s="2" t="s">
        <v>1001</v>
      </c>
      <c r="N515" s="38">
        <v>14800</v>
      </c>
      <c r="P515" s="2" t="s">
        <v>654</v>
      </c>
      <c r="Q515" s="38">
        <v>106</v>
      </c>
    </row>
    <row r="516" spans="13:17">
      <c r="M516" s="2" t="s">
        <v>1515</v>
      </c>
      <c r="N516" s="38">
        <v>14500</v>
      </c>
      <c r="P516" s="2" t="s">
        <v>1536</v>
      </c>
      <c r="Q516" s="38">
        <v>90</v>
      </c>
    </row>
    <row r="517" spans="13:17">
      <c r="M517" s="2" t="s">
        <v>585</v>
      </c>
      <c r="N517" s="38">
        <v>13995</v>
      </c>
      <c r="P517" s="2" t="s">
        <v>1809</v>
      </c>
      <c r="Q517" s="38">
        <v>88</v>
      </c>
    </row>
    <row r="518" spans="13:17">
      <c r="M518" s="2" t="s">
        <v>1473</v>
      </c>
      <c r="N518" s="38">
        <v>13800</v>
      </c>
      <c r="P518" s="2" t="s">
        <v>1749</v>
      </c>
      <c r="Q518" s="38">
        <v>86</v>
      </c>
    </row>
    <row r="519" spans="13:17">
      <c r="M519" s="2" t="s">
        <v>297</v>
      </c>
      <c r="N519" s="38">
        <v>13400</v>
      </c>
      <c r="P519" s="2" t="s">
        <v>1702</v>
      </c>
      <c r="Q519" s="38">
        <v>77</v>
      </c>
    </row>
    <row r="520" spans="13:17">
      <c r="M520" s="2" t="s">
        <v>1474</v>
      </c>
      <c r="N520" s="38">
        <v>13300</v>
      </c>
      <c r="P520" s="2" t="s">
        <v>1754</v>
      </c>
      <c r="Q520" s="38">
        <v>70</v>
      </c>
    </row>
    <row r="521" spans="13:17">
      <c r="M521" s="2" t="s">
        <v>250</v>
      </c>
      <c r="N521" s="38">
        <v>13145</v>
      </c>
      <c r="P521" s="2" t="s">
        <v>1572</v>
      </c>
      <c r="Q521" s="38">
        <v>67</v>
      </c>
    </row>
    <row r="522" spans="13:17">
      <c r="M522" s="2" t="s">
        <v>552</v>
      </c>
      <c r="N522" s="38">
        <v>12700</v>
      </c>
      <c r="P522" s="2" t="s">
        <v>440</v>
      </c>
      <c r="Q522" s="38">
        <v>64</v>
      </c>
    </row>
    <row r="523" spans="13:17">
      <c r="M523" s="2" t="s">
        <v>1090</v>
      </c>
      <c r="N523" s="38">
        <v>12400</v>
      </c>
      <c r="P523" s="2" t="s">
        <v>1656</v>
      </c>
      <c r="Q523" s="38">
        <v>63</v>
      </c>
    </row>
    <row r="524" spans="13:17">
      <c r="M524" s="2" t="s">
        <v>667</v>
      </c>
      <c r="N524" s="38">
        <v>12100</v>
      </c>
      <c r="P524" s="2" t="s">
        <v>1526</v>
      </c>
      <c r="Q524" s="38">
        <v>58</v>
      </c>
    </row>
    <row r="525" spans="13:17">
      <c r="M525" s="2" t="s">
        <v>1453</v>
      </c>
      <c r="N525" s="38">
        <v>11500</v>
      </c>
      <c r="P525" s="2" t="s">
        <v>912</v>
      </c>
      <c r="Q525" s="38">
        <v>53</v>
      </c>
    </row>
    <row r="526" spans="13:17">
      <c r="M526" s="2" t="s">
        <v>1815</v>
      </c>
      <c r="N526" s="38">
        <v>11300</v>
      </c>
      <c r="P526" s="2" t="s">
        <v>1762</v>
      </c>
      <c r="Q526" s="38">
        <v>51</v>
      </c>
    </row>
    <row r="527" spans="13:17">
      <c r="M527" s="2" t="s">
        <v>1785</v>
      </c>
      <c r="N527" s="38">
        <v>11200</v>
      </c>
      <c r="P527" s="2" t="s">
        <v>299</v>
      </c>
      <c r="Q527" s="38">
        <v>50</v>
      </c>
    </row>
    <row r="528" spans="13:17">
      <c r="M528" s="2" t="s">
        <v>156</v>
      </c>
      <c r="N528" s="38">
        <v>11100</v>
      </c>
      <c r="P528" s="2" t="s">
        <v>538</v>
      </c>
      <c r="Q528" s="38">
        <v>50</v>
      </c>
    </row>
    <row r="529" spans="13:17">
      <c r="M529" s="2" t="s">
        <v>1520</v>
      </c>
      <c r="N529" s="38">
        <v>10998</v>
      </c>
      <c r="P529" s="2" t="s">
        <v>1021</v>
      </c>
      <c r="Q529" s="38">
        <v>49</v>
      </c>
    </row>
    <row r="530" spans="13:17">
      <c r="M530" s="2" t="s">
        <v>449</v>
      </c>
      <c r="N530" s="38">
        <v>10800</v>
      </c>
      <c r="P530" s="2" t="s">
        <v>1646</v>
      </c>
      <c r="Q530" s="38">
        <v>47</v>
      </c>
    </row>
    <row r="531" spans="13:17">
      <c r="M531" s="2" t="s">
        <v>497</v>
      </c>
      <c r="N531" s="38">
        <v>10600</v>
      </c>
      <c r="P531" s="2" t="s">
        <v>527</v>
      </c>
      <c r="Q531" s="38">
        <v>42</v>
      </c>
    </row>
    <row r="532" spans="13:17">
      <c r="M532" s="2" t="s">
        <v>301</v>
      </c>
      <c r="N532" s="38">
        <v>10500</v>
      </c>
      <c r="P532" s="2" t="s">
        <v>1028</v>
      </c>
      <c r="Q532" s="38">
        <v>41</v>
      </c>
    </row>
    <row r="533" spans="13:17">
      <c r="M533" s="2" t="s">
        <v>352</v>
      </c>
      <c r="N533" s="38">
        <v>10261</v>
      </c>
      <c r="P533" s="2" t="s">
        <v>1814</v>
      </c>
      <c r="Q533" s="38">
        <v>41</v>
      </c>
    </row>
    <row r="534" spans="13:17">
      <c r="M534" s="2" t="s">
        <v>285</v>
      </c>
      <c r="N534" s="38">
        <v>9931</v>
      </c>
      <c r="P534" s="2" t="s">
        <v>1687</v>
      </c>
      <c r="Q534" s="38">
        <v>40</v>
      </c>
    </row>
    <row r="535" spans="13:17">
      <c r="M535" s="2" t="s">
        <v>973</v>
      </c>
      <c r="N535" s="38">
        <v>9924</v>
      </c>
      <c r="P535" s="2" t="s">
        <v>1408</v>
      </c>
      <c r="Q535" s="38">
        <v>36</v>
      </c>
    </row>
    <row r="536" spans="13:17">
      <c r="M536" s="2" t="s">
        <v>618</v>
      </c>
      <c r="N536" s="38">
        <v>9568</v>
      </c>
      <c r="P536" s="2" t="s">
        <v>1057</v>
      </c>
      <c r="Q536" s="38">
        <v>35</v>
      </c>
    </row>
    <row r="537" spans="13:17">
      <c r="M537" s="2" t="s">
        <v>1801</v>
      </c>
      <c r="N537" s="38">
        <v>9257</v>
      </c>
      <c r="P537" s="2" t="s">
        <v>1546</v>
      </c>
      <c r="Q537" s="38">
        <v>31</v>
      </c>
    </row>
    <row r="538" spans="13:17">
      <c r="M538" s="2" t="s">
        <v>1780</v>
      </c>
      <c r="N538" s="38">
        <v>9230</v>
      </c>
      <c r="P538" s="2" t="s">
        <v>1585</v>
      </c>
      <c r="Q538" s="38">
        <v>31</v>
      </c>
    </row>
    <row r="539" spans="13:17">
      <c r="M539" s="2" t="s">
        <v>144</v>
      </c>
      <c r="N539" s="38">
        <v>9213</v>
      </c>
      <c r="P539" s="2" t="s">
        <v>1742</v>
      </c>
      <c r="Q539" s="38">
        <v>29</v>
      </c>
    </row>
    <row r="540" spans="13:17">
      <c r="M540" s="2" t="s">
        <v>1692</v>
      </c>
      <c r="N540" s="38">
        <v>8935</v>
      </c>
      <c r="P540" s="2" t="s">
        <v>1758</v>
      </c>
      <c r="Q540" s="38">
        <v>23</v>
      </c>
    </row>
    <row r="541" spans="13:17">
      <c r="M541" s="2" t="s">
        <v>531</v>
      </c>
      <c r="N541" s="38">
        <v>8529</v>
      </c>
      <c r="P541" s="2" t="s">
        <v>1643</v>
      </c>
      <c r="Q541" s="38">
        <v>21</v>
      </c>
    </row>
    <row r="542" spans="13:17">
      <c r="M542" s="2" t="s">
        <v>323</v>
      </c>
      <c r="N542" s="38">
        <v>8452</v>
      </c>
      <c r="P542" s="2" t="s">
        <v>1774</v>
      </c>
      <c r="Q542" s="38">
        <v>20</v>
      </c>
    </row>
    <row r="543" spans="13:17">
      <c r="M543" s="2" t="s">
        <v>925</v>
      </c>
      <c r="N543" s="38">
        <v>8366</v>
      </c>
      <c r="P543" s="2" t="s">
        <v>1622</v>
      </c>
      <c r="Q543" s="38">
        <v>17</v>
      </c>
    </row>
    <row r="544" spans="13:17">
      <c r="M544" s="2" t="s">
        <v>1363</v>
      </c>
      <c r="N544" s="38">
        <v>7930</v>
      </c>
      <c r="P544" s="2" t="s">
        <v>1514</v>
      </c>
      <c r="Q544" s="38">
        <v>15</v>
      </c>
    </row>
    <row r="545" spans="13:17">
      <c r="M545" s="2" t="s">
        <v>384</v>
      </c>
      <c r="N545" s="38">
        <v>7746</v>
      </c>
      <c r="P545" s="2" t="s">
        <v>1698</v>
      </c>
      <c r="Q545" s="38">
        <v>14</v>
      </c>
    </row>
    <row r="546" spans="13:17">
      <c r="M546" s="2" t="s">
        <v>418</v>
      </c>
      <c r="N546" s="38">
        <v>7664</v>
      </c>
      <c r="P546" s="2" t="s">
        <v>1605</v>
      </c>
      <c r="Q546" s="38">
        <v>14</v>
      </c>
    </row>
    <row r="547" spans="13:17">
      <c r="M547" s="2" t="s">
        <v>1327</v>
      </c>
      <c r="N547" s="38">
        <v>7529</v>
      </c>
      <c r="P547" s="2" t="s">
        <v>1583</v>
      </c>
      <c r="Q547" s="38">
        <v>11</v>
      </c>
    </row>
    <row r="548" spans="13:17">
      <c r="M548" s="2" t="s">
        <v>48</v>
      </c>
      <c r="N548" s="38">
        <v>7199</v>
      </c>
      <c r="P548" s="2" t="s">
        <v>1766</v>
      </c>
      <c r="Q548" s="38">
        <v>11</v>
      </c>
    </row>
    <row r="549" spans="13:17">
      <c r="M549" s="2" t="s">
        <v>1378</v>
      </c>
      <c r="N549" s="38">
        <v>7012</v>
      </c>
      <c r="P549" s="2" t="s">
        <v>927</v>
      </c>
      <c r="Q549" s="38">
        <v>8</v>
      </c>
    </row>
    <row r="550" spans="13:17">
      <c r="M550" s="2" t="s">
        <v>471</v>
      </c>
      <c r="N550" s="38">
        <v>6802</v>
      </c>
      <c r="P550" s="2" t="s">
        <v>1748</v>
      </c>
      <c r="Q550" s="38">
        <v>8</v>
      </c>
    </row>
    <row r="551" spans="13:17">
      <c r="M551" s="2" t="s">
        <v>903</v>
      </c>
      <c r="N551" s="38">
        <v>6796</v>
      </c>
      <c r="P551" s="2" t="s">
        <v>953</v>
      </c>
      <c r="Q551" s="38">
        <v>7</v>
      </c>
    </row>
    <row r="552" spans="13:17">
      <c r="M552" s="2" t="s">
        <v>389</v>
      </c>
      <c r="N552" s="38">
        <v>6792</v>
      </c>
      <c r="P552" s="2" t="s">
        <v>1744</v>
      </c>
      <c r="Q552" s="38">
        <v>7</v>
      </c>
    </row>
    <row r="553" spans="13:17">
      <c r="M553" s="2" t="s">
        <v>197</v>
      </c>
      <c r="N553" s="38">
        <v>6724</v>
      </c>
      <c r="P553" s="2" t="s">
        <v>1820</v>
      </c>
      <c r="Q553" s="38">
        <v>6</v>
      </c>
    </row>
    <row r="554" spans="13:17">
      <c r="M554" s="2" t="s">
        <v>52</v>
      </c>
      <c r="N554" s="38">
        <v>6434</v>
      </c>
      <c r="P554" s="2" t="s">
        <v>1205</v>
      </c>
      <c r="Q554" s="38">
        <v>5</v>
      </c>
    </row>
    <row r="555" spans="13:17">
      <c r="M555" s="2" t="s">
        <v>343</v>
      </c>
      <c r="N555" s="38">
        <v>6295</v>
      </c>
      <c r="P555" s="2" t="s">
        <v>1724</v>
      </c>
      <c r="Q555" s="38">
        <v>5</v>
      </c>
    </row>
    <row r="556" spans="13:17">
      <c r="M556" s="2" t="s">
        <v>1521</v>
      </c>
      <c r="N556" s="38">
        <v>6068</v>
      </c>
      <c r="P556" s="2" t="s">
        <v>1674</v>
      </c>
      <c r="Q556" s="38">
        <v>3</v>
      </c>
    </row>
    <row r="557" spans="13:17">
      <c r="M557" s="2" t="s">
        <v>1200</v>
      </c>
      <c r="N557" s="38">
        <v>5482</v>
      </c>
      <c r="P557" s="2" t="s">
        <v>135</v>
      </c>
      <c r="Q557" s="38">
        <v>3</v>
      </c>
    </row>
    <row r="558" spans="13:17">
      <c r="M558" s="2" t="s">
        <v>340</v>
      </c>
      <c r="N558" s="38">
        <v>5281</v>
      </c>
      <c r="P558" s="2" t="s">
        <v>1433</v>
      </c>
      <c r="Q558" s="38">
        <v>3</v>
      </c>
    </row>
    <row r="559" spans="13:17">
      <c r="M559" s="2" t="s">
        <v>1007</v>
      </c>
      <c r="N559" s="38">
        <v>5266</v>
      </c>
      <c r="P559" s="2" t="s">
        <v>1601</v>
      </c>
      <c r="Q559" s="38">
        <v>3</v>
      </c>
    </row>
    <row r="560" spans="13:17">
      <c r="M560" s="2" t="s">
        <v>1233</v>
      </c>
      <c r="N560" s="38">
        <v>5249</v>
      </c>
      <c r="P560" s="2" t="s">
        <v>1700</v>
      </c>
      <c r="Q560" s="38">
        <v>3</v>
      </c>
    </row>
    <row r="561" spans="13:17">
      <c r="M561" s="2" t="s">
        <v>590</v>
      </c>
      <c r="N561" s="38">
        <v>5121</v>
      </c>
      <c r="P561" s="2" t="s">
        <v>1731</v>
      </c>
      <c r="Q561" s="38">
        <v>3</v>
      </c>
    </row>
    <row r="562" spans="13:17">
      <c r="M562" s="2" t="s">
        <v>1458</v>
      </c>
      <c r="N562" s="38">
        <v>5014</v>
      </c>
      <c r="P562" s="2" t="s">
        <v>1631</v>
      </c>
      <c r="Q562" s="38">
        <v>2</v>
      </c>
    </row>
    <row r="563" spans="13:17">
      <c r="M563" s="2" t="s">
        <v>1342</v>
      </c>
      <c r="N563" s="38">
        <v>4766</v>
      </c>
      <c r="P563" s="2" t="s">
        <v>1818</v>
      </c>
      <c r="Q563" s="38">
        <v>1</v>
      </c>
    </row>
    <row r="564" spans="13:17">
      <c r="M564" s="2" t="s">
        <v>1075</v>
      </c>
      <c r="N564" s="38">
        <v>4753</v>
      </c>
      <c r="P564" s="2" t="s">
        <v>1280</v>
      </c>
      <c r="Q564" s="38">
        <v>1</v>
      </c>
    </row>
    <row r="565" spans="13:17">
      <c r="M565" s="2" t="s">
        <v>368</v>
      </c>
      <c r="N565" s="38">
        <v>4697</v>
      </c>
      <c r="P565" s="2" t="s">
        <v>948</v>
      </c>
      <c r="Q565" s="38">
        <v>1</v>
      </c>
    </row>
    <row r="566" spans="13:17">
      <c r="M566" s="2" t="s">
        <v>513</v>
      </c>
      <c r="N566" s="38">
        <v>4682</v>
      </c>
      <c r="P566" s="2" t="s">
        <v>1658</v>
      </c>
      <c r="Q566" s="38">
        <v>1</v>
      </c>
    </row>
    <row r="567" spans="13:17">
      <c r="M567" s="2" t="s">
        <v>567</v>
      </c>
      <c r="N567" s="38">
        <v>4653</v>
      </c>
      <c r="P567" s="2" t="s">
        <v>995</v>
      </c>
      <c r="Q567" s="38">
        <v>1</v>
      </c>
    </row>
    <row r="568" spans="13:17">
      <c r="M568" s="2" t="s">
        <v>1490</v>
      </c>
      <c r="N568" s="38">
        <v>4581</v>
      </c>
      <c r="P568" s="2" t="s">
        <v>1746</v>
      </c>
      <c r="Q568" s="38">
        <v>1</v>
      </c>
    </row>
    <row r="569" spans="13:17">
      <c r="M569" s="2" t="s">
        <v>118</v>
      </c>
      <c r="N569" s="38">
        <v>4284</v>
      </c>
      <c r="P569" s="2" t="s">
        <v>1597</v>
      </c>
      <c r="Q569" s="38">
        <v>1</v>
      </c>
    </row>
    <row r="570" spans="13:17">
      <c r="M570" s="2" t="s">
        <v>627</v>
      </c>
      <c r="N570" s="38">
        <v>4064</v>
      </c>
      <c r="P570" s="2" t="s">
        <v>1581</v>
      </c>
      <c r="Q570" s="38">
        <v>1</v>
      </c>
    </row>
    <row r="571" spans="13:17">
      <c r="M571" s="2" t="s">
        <v>824</v>
      </c>
      <c r="N571" s="38">
        <v>3744</v>
      </c>
      <c r="P571" s="2" t="s">
        <v>496</v>
      </c>
      <c r="Q571" s="38">
        <v>1</v>
      </c>
    </row>
    <row r="572" spans="13:17">
      <c r="M572" s="2" t="s">
        <v>749</v>
      </c>
      <c r="N572" s="38">
        <v>3677</v>
      </c>
      <c r="P572" s="2" t="s">
        <v>304</v>
      </c>
      <c r="Q572" s="38">
        <v>1</v>
      </c>
    </row>
    <row r="573" spans="13:17">
      <c r="M573" s="2" t="s">
        <v>1531</v>
      </c>
      <c r="N573" s="38">
        <v>3635</v>
      </c>
      <c r="P573" s="2" t="s">
        <v>474</v>
      </c>
      <c r="Q573" s="38">
        <v>1</v>
      </c>
    </row>
    <row r="574" spans="13:17">
      <c r="M574" s="2" t="s">
        <v>1239</v>
      </c>
      <c r="N574" s="38">
        <v>3624</v>
      </c>
      <c r="P574" s="2" t="s">
        <v>1302</v>
      </c>
      <c r="Q574" s="38">
        <v>1</v>
      </c>
    </row>
    <row r="575" spans="13:17">
      <c r="M575" s="2" t="s">
        <v>346</v>
      </c>
      <c r="N575" s="38">
        <v>3547</v>
      </c>
      <c r="P575" s="2" t="s">
        <v>382</v>
      </c>
      <c r="Q575" s="38">
        <v>0</v>
      </c>
    </row>
    <row r="576" spans="13:17">
      <c r="M576" s="2" t="s">
        <v>199</v>
      </c>
      <c r="N576" s="38">
        <v>3523</v>
      </c>
      <c r="P576" s="2" t="s">
        <v>208</v>
      </c>
      <c r="Q576" s="38">
        <v>0</v>
      </c>
    </row>
    <row r="577" spans="13:17">
      <c r="M577" s="2" t="s">
        <v>586</v>
      </c>
      <c r="N577" s="38">
        <v>3516</v>
      </c>
      <c r="P577" s="2" t="s">
        <v>1557</v>
      </c>
      <c r="Q577" s="38">
        <v>0</v>
      </c>
    </row>
    <row r="578" spans="13:17">
      <c r="M578" s="2" t="s">
        <v>491</v>
      </c>
      <c r="N578" s="38">
        <v>3466</v>
      </c>
      <c r="P578" s="2" t="s">
        <v>851</v>
      </c>
      <c r="Q578" s="38">
        <v>0</v>
      </c>
    </row>
    <row r="579" spans="13:17">
      <c r="M579" s="2" t="s">
        <v>919</v>
      </c>
      <c r="N579" s="38">
        <v>3027</v>
      </c>
      <c r="P579" s="2" t="s">
        <v>1586</v>
      </c>
      <c r="Q579" s="38">
        <v>0</v>
      </c>
    </row>
    <row r="580" spans="13:17">
      <c r="M580" s="2" t="s">
        <v>624</v>
      </c>
      <c r="N580" s="38">
        <v>2933</v>
      </c>
      <c r="P580" s="2" t="s">
        <v>1492</v>
      </c>
      <c r="Q580" s="38">
        <v>0</v>
      </c>
    </row>
    <row r="581" spans="13:17">
      <c r="M581" s="2" t="s">
        <v>212</v>
      </c>
      <c r="N581" s="38">
        <v>2889</v>
      </c>
      <c r="P581" s="2" t="s">
        <v>690</v>
      </c>
      <c r="Q581" s="38">
        <v>0</v>
      </c>
    </row>
    <row r="582" spans="13:17">
      <c r="M582" s="2" t="s">
        <v>278</v>
      </c>
      <c r="N582" s="38">
        <v>2880</v>
      </c>
      <c r="P582" s="2" t="s">
        <v>1738</v>
      </c>
      <c r="Q582" s="38">
        <v>0</v>
      </c>
    </row>
    <row r="583" spans="13:17">
      <c r="M583" s="2" t="s">
        <v>762</v>
      </c>
      <c r="N583" s="38">
        <v>2817</v>
      </c>
      <c r="P583" s="2" t="s">
        <v>308</v>
      </c>
      <c r="Q583" s="38">
        <v>0</v>
      </c>
    </row>
    <row r="584" spans="13:17">
      <c r="M584" s="2" t="s">
        <v>755</v>
      </c>
      <c r="N584" s="38">
        <v>2812</v>
      </c>
      <c r="P584" s="2" t="s">
        <v>612</v>
      </c>
      <c r="Q584" s="38">
        <v>0</v>
      </c>
    </row>
    <row r="585" spans="13:17">
      <c r="M585" s="2" t="s">
        <v>1559</v>
      </c>
      <c r="N585" s="38">
        <v>2555</v>
      </c>
      <c r="P585" s="2" t="s">
        <v>826</v>
      </c>
      <c r="Q585" s="38">
        <v>0</v>
      </c>
    </row>
    <row r="586" spans="13:17">
      <c r="M586" s="2" t="s">
        <v>239</v>
      </c>
      <c r="N586" s="38">
        <v>2516</v>
      </c>
      <c r="P586" s="2" t="s">
        <v>1594</v>
      </c>
      <c r="Q586" s="38">
        <v>0</v>
      </c>
    </row>
    <row r="587" spans="13:17">
      <c r="M587" s="2" t="s">
        <v>274</v>
      </c>
      <c r="N587" s="38">
        <v>2343</v>
      </c>
      <c r="P587" s="2" t="s">
        <v>1756</v>
      </c>
      <c r="Q587" s="38">
        <v>0</v>
      </c>
    </row>
    <row r="588" spans="13:17">
      <c r="M588" s="2" t="s">
        <v>904</v>
      </c>
      <c r="N588" s="38">
        <v>2254</v>
      </c>
      <c r="P588" s="2" t="s">
        <v>241</v>
      </c>
      <c r="Q588" s="38">
        <v>0</v>
      </c>
    </row>
    <row r="589" spans="13:17">
      <c r="M589" s="2" t="s">
        <v>189</v>
      </c>
      <c r="N589" s="38">
        <v>2194</v>
      </c>
      <c r="P589" s="2" t="s">
        <v>1735</v>
      </c>
      <c r="Q589" s="38">
        <v>0</v>
      </c>
    </row>
    <row r="590" spans="13:17">
      <c r="M590" s="2" t="s">
        <v>501</v>
      </c>
      <c r="N590" s="38">
        <v>2168</v>
      </c>
      <c r="P590" s="2" t="s">
        <v>331</v>
      </c>
      <c r="Q590" s="38">
        <v>0</v>
      </c>
    </row>
    <row r="591" spans="13:17">
      <c r="M591" s="2" t="s">
        <v>1792</v>
      </c>
      <c r="N591" s="38">
        <v>2133</v>
      </c>
      <c r="P591" s="2" t="s">
        <v>1607</v>
      </c>
      <c r="Q591" s="38">
        <v>0</v>
      </c>
    </row>
    <row r="592" spans="13:17">
      <c r="M592" s="2" t="s">
        <v>1760</v>
      </c>
      <c r="N592" s="38">
        <v>2118</v>
      </c>
      <c r="P592" s="2" t="s">
        <v>1113</v>
      </c>
      <c r="Q592" s="38">
        <v>0</v>
      </c>
    </row>
    <row r="593" spans="13:17">
      <c r="M593" s="2" t="s">
        <v>1415</v>
      </c>
      <c r="N593" s="38">
        <v>2058</v>
      </c>
      <c r="P593" s="2" t="s">
        <v>944</v>
      </c>
      <c r="Q593" s="38">
        <v>0</v>
      </c>
    </row>
    <row r="594" spans="13:17">
      <c r="M594" s="2" t="s">
        <v>114</v>
      </c>
      <c r="N594" s="38">
        <v>2033</v>
      </c>
      <c r="P594" s="2" t="s">
        <v>1229</v>
      </c>
      <c r="Q594" s="38">
        <v>0</v>
      </c>
    </row>
    <row r="595" spans="13:17">
      <c r="M595" s="2" t="s">
        <v>1139</v>
      </c>
      <c r="N595" s="38">
        <v>2012</v>
      </c>
      <c r="P595" s="2" t="s">
        <v>1542</v>
      </c>
      <c r="Q595" s="38">
        <v>0</v>
      </c>
    </row>
    <row r="596" spans="13:17">
      <c r="M596" s="2" t="s">
        <v>1727</v>
      </c>
      <c r="N596" s="38">
        <v>2001</v>
      </c>
      <c r="P596" s="2" t="s">
        <v>1685</v>
      </c>
      <c r="Q596" s="38">
        <v>0</v>
      </c>
    </row>
    <row r="597" spans="13:17">
      <c r="M597" s="2" t="s">
        <v>1159</v>
      </c>
      <c r="N597" s="38">
        <v>1982</v>
      </c>
      <c r="P597" s="2" t="s">
        <v>861</v>
      </c>
      <c r="Q597" s="38">
        <v>0</v>
      </c>
    </row>
    <row r="598" spans="13:17">
      <c r="M598" s="2" t="s">
        <v>874</v>
      </c>
      <c r="N598" s="38">
        <v>1952</v>
      </c>
      <c r="P598" s="2" t="s">
        <v>842</v>
      </c>
      <c r="Q598" s="38">
        <v>0</v>
      </c>
    </row>
    <row r="599" spans="13:17">
      <c r="M599" s="2" t="s">
        <v>1171</v>
      </c>
      <c r="N599" s="38">
        <v>1860</v>
      </c>
      <c r="P599" s="2" t="s">
        <v>572</v>
      </c>
      <c r="Q599" s="38">
        <v>0</v>
      </c>
    </row>
    <row r="600" spans="13:17">
      <c r="M600" s="2" t="s">
        <v>427</v>
      </c>
      <c r="N600" s="38">
        <v>1848</v>
      </c>
      <c r="P600" s="2" t="s">
        <v>147</v>
      </c>
      <c r="Q600" s="38">
        <v>0</v>
      </c>
    </row>
    <row r="601" spans="13:17">
      <c r="M601" s="2" t="s">
        <v>595</v>
      </c>
      <c r="N601" s="38">
        <v>1774</v>
      </c>
      <c r="P601" s="2" t="s">
        <v>195</v>
      </c>
      <c r="Q601" s="38">
        <v>0</v>
      </c>
    </row>
    <row r="602" spans="13:17">
      <c r="M602" s="2" t="s">
        <v>1261</v>
      </c>
      <c r="N602" s="38">
        <v>1762</v>
      </c>
      <c r="P602" s="2" t="s">
        <v>1784</v>
      </c>
      <c r="Q602" s="38">
        <v>0</v>
      </c>
    </row>
    <row r="603" spans="13:17">
      <c r="M603" s="2" t="s">
        <v>259</v>
      </c>
      <c r="N603" s="38">
        <v>1636</v>
      </c>
      <c r="P603" s="2" t="s">
        <v>105</v>
      </c>
      <c r="Q603" s="38">
        <v>0</v>
      </c>
    </row>
    <row r="604" spans="13:17">
      <c r="M604" s="2" t="s">
        <v>1573</v>
      </c>
      <c r="N604" s="38">
        <v>1540</v>
      </c>
      <c r="P604" s="2" t="s">
        <v>192</v>
      </c>
      <c r="Q604" s="38">
        <v>0</v>
      </c>
    </row>
    <row r="605" spans="13:17">
      <c r="M605" s="2" t="s">
        <v>1073</v>
      </c>
      <c r="N605" s="38">
        <v>1487</v>
      </c>
      <c r="P605" s="2" t="s">
        <v>774</v>
      </c>
      <c r="Q605" s="38">
        <v>0</v>
      </c>
    </row>
    <row r="606" spans="13:17">
      <c r="M606" s="2" t="s">
        <v>1341</v>
      </c>
      <c r="N606" s="38">
        <v>1435</v>
      </c>
      <c r="P606" s="2" t="s">
        <v>1772</v>
      </c>
      <c r="Q606" s="38">
        <v>0</v>
      </c>
    </row>
    <row r="607" spans="13:17">
      <c r="M607" s="2" t="s">
        <v>985</v>
      </c>
      <c r="N607" s="38">
        <v>1420</v>
      </c>
      <c r="P607" s="2" t="s">
        <v>935</v>
      </c>
      <c r="Q607" s="38">
        <v>0</v>
      </c>
    </row>
    <row r="608" spans="13:17">
      <c r="M608" s="2" t="s">
        <v>429</v>
      </c>
      <c r="N608" s="38">
        <v>1420</v>
      </c>
      <c r="P608" s="2" t="s">
        <v>161</v>
      </c>
      <c r="Q608" s="38">
        <v>0</v>
      </c>
    </row>
    <row r="609" spans="13:17">
      <c r="M609" s="2" t="s">
        <v>317</v>
      </c>
      <c r="N609" s="38">
        <v>1336</v>
      </c>
      <c r="P609" s="2" t="s">
        <v>57</v>
      </c>
      <c r="Q609" s="38">
        <v>0</v>
      </c>
    </row>
    <row r="610" spans="13:17">
      <c r="M610" s="2" t="s">
        <v>191</v>
      </c>
      <c r="N610" s="38">
        <v>1291</v>
      </c>
      <c r="P610" s="2" t="s">
        <v>1588</v>
      </c>
      <c r="Q610" s="38">
        <v>0</v>
      </c>
    </row>
    <row r="611" spans="13:17">
      <c r="M611" s="2" t="s">
        <v>1402</v>
      </c>
      <c r="N611" s="38">
        <v>1257</v>
      </c>
      <c r="P611" s="2" t="s">
        <v>1599</v>
      </c>
      <c r="Q611" s="38">
        <v>0</v>
      </c>
    </row>
    <row r="612" spans="13:17">
      <c r="M612" s="2" t="s">
        <v>802</v>
      </c>
      <c r="N612" s="38">
        <v>1191</v>
      </c>
      <c r="P612" s="2" t="s">
        <v>1111</v>
      </c>
      <c r="Q612" s="38">
        <v>0</v>
      </c>
    </row>
    <row r="613" spans="13:17">
      <c r="M613" s="2" t="s">
        <v>610</v>
      </c>
      <c r="N613" s="38">
        <v>1152</v>
      </c>
      <c r="P613" s="2" t="s">
        <v>1704</v>
      </c>
      <c r="Q613" s="38">
        <v>0</v>
      </c>
    </row>
    <row r="614" spans="13:17">
      <c r="M614" s="2" t="s">
        <v>1300</v>
      </c>
      <c r="N614" s="38">
        <v>1128</v>
      </c>
      <c r="P614" s="2" t="s">
        <v>223</v>
      </c>
      <c r="Q614" s="38">
        <v>0</v>
      </c>
    </row>
    <row r="615" spans="13:17">
      <c r="M615" s="2" t="s">
        <v>305</v>
      </c>
      <c r="N615" s="38">
        <v>1082</v>
      </c>
      <c r="P615" s="2" t="s">
        <v>64</v>
      </c>
      <c r="Q615" s="38">
        <v>0</v>
      </c>
    </row>
    <row r="616" spans="13:17">
      <c r="M616" s="2" t="s">
        <v>885</v>
      </c>
      <c r="N616" s="38">
        <v>1042</v>
      </c>
      <c r="P616" s="2" t="s">
        <v>1664</v>
      </c>
      <c r="Q616" s="38">
        <v>0</v>
      </c>
    </row>
    <row r="617" spans="13:17">
      <c r="M617" s="2" t="s">
        <v>1431</v>
      </c>
      <c r="N617" s="38">
        <v>1006</v>
      </c>
      <c r="P617" s="2" t="s">
        <v>1578</v>
      </c>
      <c r="Q617" s="38">
        <v>0</v>
      </c>
    </row>
    <row r="618" spans="13:17">
      <c r="M618" s="2" t="s">
        <v>1775</v>
      </c>
      <c r="N618" s="38">
        <v>958</v>
      </c>
      <c r="P618" s="2" t="s">
        <v>408</v>
      </c>
      <c r="Q618" s="38">
        <v>0</v>
      </c>
    </row>
    <row r="619" spans="13:17">
      <c r="M619" s="2" t="s">
        <v>1336</v>
      </c>
      <c r="N619" s="38">
        <v>937</v>
      </c>
      <c r="P619" s="2" t="s">
        <v>1282</v>
      </c>
      <c r="Q619" s="38">
        <v>0</v>
      </c>
    </row>
    <row r="620" spans="13:17">
      <c r="M620" s="2" t="s">
        <v>1185</v>
      </c>
      <c r="N620" s="38">
        <v>921</v>
      </c>
      <c r="P620" s="2" t="s">
        <v>1235</v>
      </c>
      <c r="Q620" s="38">
        <v>0</v>
      </c>
    </row>
    <row r="621" spans="13:17">
      <c r="M621" s="2" t="s">
        <v>122</v>
      </c>
      <c r="N621" s="38">
        <v>919</v>
      </c>
      <c r="P621" s="2" t="s">
        <v>1564</v>
      </c>
      <c r="Q621" s="38">
        <v>0</v>
      </c>
    </row>
    <row r="622" spans="13:17">
      <c r="M622" s="2" t="s">
        <v>1396</v>
      </c>
      <c r="N622" s="38">
        <v>895</v>
      </c>
      <c r="P622" s="2" t="s">
        <v>915</v>
      </c>
      <c r="Q622" s="38">
        <v>0</v>
      </c>
    </row>
    <row r="623" spans="13:17">
      <c r="M623" s="2" t="s">
        <v>1140</v>
      </c>
      <c r="N623" s="38">
        <v>877</v>
      </c>
      <c r="P623" s="2" t="s">
        <v>1716</v>
      </c>
      <c r="Q623" s="38">
        <v>0</v>
      </c>
    </row>
    <row r="624" spans="13:17">
      <c r="M624" s="2" t="s">
        <v>393</v>
      </c>
      <c r="N624" s="38">
        <v>873</v>
      </c>
      <c r="P624" s="2" t="s">
        <v>1253</v>
      </c>
      <c r="Q624" s="38">
        <v>0</v>
      </c>
    </row>
    <row r="625" spans="13:17">
      <c r="M625" s="2" t="s">
        <v>1284</v>
      </c>
      <c r="N625" s="38">
        <v>850</v>
      </c>
      <c r="P625" s="2" t="s">
        <v>1358</v>
      </c>
      <c r="Q625" s="38">
        <v>0</v>
      </c>
    </row>
    <row r="626" spans="13:17">
      <c r="M626" s="2" t="s">
        <v>1209</v>
      </c>
      <c r="N626" s="38">
        <v>830</v>
      </c>
      <c r="P626" s="2" t="s">
        <v>337</v>
      </c>
      <c r="Q626" s="38">
        <v>0</v>
      </c>
    </row>
    <row r="627" spans="13:17">
      <c r="M627" s="2" t="s">
        <v>783</v>
      </c>
      <c r="N627" s="38">
        <v>803</v>
      </c>
      <c r="P627" s="2" t="s">
        <v>1570</v>
      </c>
      <c r="Q627" s="38">
        <v>0</v>
      </c>
    </row>
    <row r="628" spans="13:17">
      <c r="M628" s="2" t="s">
        <v>1823</v>
      </c>
      <c r="N628" s="38">
        <v>749</v>
      </c>
      <c r="P628" s="2" t="s">
        <v>1678</v>
      </c>
      <c r="Q628" s="38">
        <v>0</v>
      </c>
    </row>
    <row r="629" spans="13:17">
      <c r="M629" s="2" t="s">
        <v>479</v>
      </c>
      <c r="N629" s="38">
        <v>732</v>
      </c>
      <c r="P629" s="2" t="s">
        <v>19</v>
      </c>
      <c r="Q629" s="38">
        <v>818817956</v>
      </c>
    </row>
    <row r="630" spans="13:17">
      <c r="M630" s="2" t="s">
        <v>693</v>
      </c>
      <c r="N630" s="38">
        <v>609</v>
      </c>
    </row>
    <row r="631" spans="13:17">
      <c r="M631" s="2" t="s">
        <v>574</v>
      </c>
      <c r="N631" s="38">
        <v>589</v>
      </c>
    </row>
    <row r="632" spans="13:17">
      <c r="M632" s="2" t="s">
        <v>984</v>
      </c>
      <c r="N632" s="38">
        <v>578</v>
      </c>
    </row>
    <row r="633" spans="13:17">
      <c r="M633" s="2" t="s">
        <v>1769</v>
      </c>
      <c r="N633" s="38">
        <v>574</v>
      </c>
    </row>
    <row r="634" spans="13:17">
      <c r="M634" s="2" t="s">
        <v>882</v>
      </c>
      <c r="N634" s="38">
        <v>572</v>
      </c>
    </row>
    <row r="635" spans="13:17">
      <c r="M635" s="2" t="s">
        <v>153</v>
      </c>
      <c r="N635" s="38">
        <v>555</v>
      </c>
    </row>
    <row r="636" spans="13:17">
      <c r="M636" s="2" t="s">
        <v>951</v>
      </c>
      <c r="N636" s="38">
        <v>449</v>
      </c>
    </row>
    <row r="637" spans="13:17">
      <c r="M637" s="2" t="s">
        <v>1094</v>
      </c>
      <c r="N637" s="38">
        <v>377</v>
      </c>
    </row>
    <row r="638" spans="13:17">
      <c r="M638" s="2" t="s">
        <v>1777</v>
      </c>
      <c r="N638" s="38">
        <v>366</v>
      </c>
    </row>
    <row r="639" spans="13:17">
      <c r="M639" s="2" t="s">
        <v>289</v>
      </c>
      <c r="N639" s="38">
        <v>348</v>
      </c>
    </row>
    <row r="640" spans="13:17">
      <c r="M640" s="2" t="s">
        <v>719</v>
      </c>
      <c r="N640" s="38">
        <v>340</v>
      </c>
    </row>
    <row r="641" spans="13:14">
      <c r="M641" s="2" t="s">
        <v>776</v>
      </c>
      <c r="N641" s="38">
        <v>335</v>
      </c>
    </row>
    <row r="642" spans="13:14">
      <c r="M642" s="2" t="s">
        <v>170</v>
      </c>
      <c r="N642" s="38">
        <v>331</v>
      </c>
    </row>
    <row r="643" spans="13:14">
      <c r="M643" s="2" t="s">
        <v>828</v>
      </c>
      <c r="N643" s="38">
        <v>321</v>
      </c>
    </row>
    <row r="644" spans="13:14">
      <c r="M644" s="2" t="s">
        <v>738</v>
      </c>
      <c r="N644" s="38">
        <v>319</v>
      </c>
    </row>
    <row r="645" spans="13:14">
      <c r="M645" s="2" t="s">
        <v>203</v>
      </c>
      <c r="N645" s="38">
        <v>302</v>
      </c>
    </row>
    <row r="646" spans="13:14">
      <c r="M646" s="2" t="s">
        <v>1508</v>
      </c>
      <c r="N646" s="38">
        <v>300</v>
      </c>
    </row>
    <row r="647" spans="13:14">
      <c r="M647" s="2" t="s">
        <v>1150</v>
      </c>
      <c r="N647" s="38">
        <v>271</v>
      </c>
    </row>
    <row r="648" spans="13:14">
      <c r="M648" s="2" t="s">
        <v>335</v>
      </c>
      <c r="N648" s="38">
        <v>233</v>
      </c>
    </row>
    <row r="649" spans="13:14">
      <c r="M649" s="2" t="s">
        <v>564</v>
      </c>
      <c r="N649" s="38">
        <v>230</v>
      </c>
    </row>
    <row r="650" spans="13:14">
      <c r="M650" s="2" t="s">
        <v>1708</v>
      </c>
      <c r="N650" s="38">
        <v>220</v>
      </c>
    </row>
    <row r="651" spans="13:14">
      <c r="M651" s="2" t="s">
        <v>999</v>
      </c>
      <c r="N651" s="38">
        <v>220</v>
      </c>
    </row>
    <row r="652" spans="13:14">
      <c r="M652" s="2" t="s">
        <v>1299</v>
      </c>
      <c r="N652" s="38">
        <v>201</v>
      </c>
    </row>
    <row r="653" spans="13:14">
      <c r="M653" s="2" t="s">
        <v>1173</v>
      </c>
      <c r="N653" s="38">
        <v>170</v>
      </c>
    </row>
    <row r="654" spans="13:14">
      <c r="M654" s="2" t="s">
        <v>314</v>
      </c>
      <c r="N654" s="38">
        <v>167</v>
      </c>
    </row>
    <row r="655" spans="13:14">
      <c r="M655" s="2" t="s">
        <v>729</v>
      </c>
      <c r="N655" s="38">
        <v>162</v>
      </c>
    </row>
    <row r="656" spans="13:14">
      <c r="M656" s="2" t="s">
        <v>1623</v>
      </c>
      <c r="N656" s="38">
        <v>161</v>
      </c>
    </row>
    <row r="657" spans="13:14">
      <c r="M657" s="2" t="s">
        <v>883</v>
      </c>
      <c r="N657" s="38">
        <v>153</v>
      </c>
    </row>
    <row r="658" spans="13:14">
      <c r="M658" s="2" t="s">
        <v>1752</v>
      </c>
      <c r="N658" s="38">
        <v>151</v>
      </c>
    </row>
    <row r="659" spans="13:14">
      <c r="M659" s="2" t="s">
        <v>325</v>
      </c>
      <c r="N659" s="38">
        <v>147</v>
      </c>
    </row>
    <row r="660" spans="13:14">
      <c r="M660" s="2" t="s">
        <v>1636</v>
      </c>
      <c r="N660" s="38">
        <v>141</v>
      </c>
    </row>
    <row r="661" spans="13:14">
      <c r="M661" s="2" t="s">
        <v>1534</v>
      </c>
      <c r="N661" s="38">
        <v>137</v>
      </c>
    </row>
    <row r="662" spans="13:14">
      <c r="M662" s="2" t="s">
        <v>922</v>
      </c>
      <c r="N662" s="38">
        <v>130</v>
      </c>
    </row>
    <row r="663" spans="13:14">
      <c r="M663" s="2" t="s">
        <v>1750</v>
      </c>
      <c r="N663" s="38">
        <v>126</v>
      </c>
    </row>
    <row r="664" spans="13:14">
      <c r="M664" s="2" t="s">
        <v>1478</v>
      </c>
      <c r="N664" s="38">
        <v>123</v>
      </c>
    </row>
    <row r="665" spans="13:14">
      <c r="M665" s="2" t="s">
        <v>456</v>
      </c>
      <c r="N665" s="38">
        <v>122</v>
      </c>
    </row>
    <row r="666" spans="13:14">
      <c r="M666" s="2" t="s">
        <v>100</v>
      </c>
      <c r="N666" s="38">
        <v>120</v>
      </c>
    </row>
    <row r="667" spans="13:14">
      <c r="M667" s="2" t="s">
        <v>227</v>
      </c>
      <c r="N667" s="38">
        <v>112</v>
      </c>
    </row>
    <row r="668" spans="13:14">
      <c r="M668" s="2" t="s">
        <v>1537</v>
      </c>
      <c r="N668" s="38">
        <v>109</v>
      </c>
    </row>
    <row r="669" spans="13:14">
      <c r="M669" s="2" t="s">
        <v>653</v>
      </c>
      <c r="N669" s="38">
        <v>106</v>
      </c>
    </row>
    <row r="670" spans="13:14">
      <c r="M670" s="2" t="s">
        <v>772</v>
      </c>
      <c r="N670" s="38">
        <v>103</v>
      </c>
    </row>
    <row r="671" spans="13:14">
      <c r="M671" s="2" t="s">
        <v>735</v>
      </c>
      <c r="N671" s="38">
        <v>93</v>
      </c>
    </row>
    <row r="672" spans="13:14">
      <c r="M672" s="2" t="s">
        <v>1591</v>
      </c>
      <c r="N672" s="38">
        <v>90</v>
      </c>
    </row>
    <row r="673" spans="13:14">
      <c r="M673" s="2" t="s">
        <v>1808</v>
      </c>
      <c r="N673" s="38">
        <v>88</v>
      </c>
    </row>
    <row r="674" spans="13:14">
      <c r="M674" s="2" t="s">
        <v>1753</v>
      </c>
      <c r="N674" s="38">
        <v>70</v>
      </c>
    </row>
    <row r="675" spans="13:14">
      <c r="M675" s="2" t="s">
        <v>1571</v>
      </c>
      <c r="N675" s="38">
        <v>69</v>
      </c>
    </row>
    <row r="676" spans="13:14">
      <c r="M676" s="2" t="s">
        <v>1789</v>
      </c>
      <c r="N676" s="38">
        <v>66</v>
      </c>
    </row>
    <row r="677" spans="13:14">
      <c r="M677" s="2" t="s">
        <v>439</v>
      </c>
      <c r="N677" s="38">
        <v>64</v>
      </c>
    </row>
    <row r="678" spans="13:14">
      <c r="M678" s="2" t="s">
        <v>1655</v>
      </c>
      <c r="N678" s="38">
        <v>63</v>
      </c>
    </row>
    <row r="679" spans="13:14">
      <c r="M679" s="2" t="s">
        <v>1525</v>
      </c>
      <c r="N679" s="38">
        <v>58</v>
      </c>
    </row>
    <row r="680" spans="13:14">
      <c r="M680" s="2" t="s">
        <v>913</v>
      </c>
      <c r="N680" s="38">
        <v>53</v>
      </c>
    </row>
    <row r="681" spans="13:14">
      <c r="M681" s="2" t="s">
        <v>1567</v>
      </c>
      <c r="N681" s="38">
        <v>51</v>
      </c>
    </row>
    <row r="682" spans="13:14">
      <c r="M682" s="2" t="s">
        <v>1761</v>
      </c>
      <c r="N682" s="38">
        <v>51</v>
      </c>
    </row>
    <row r="683" spans="13:14">
      <c r="M683" s="2" t="s">
        <v>300</v>
      </c>
      <c r="N683" s="38">
        <v>50</v>
      </c>
    </row>
    <row r="684" spans="13:14">
      <c r="M684" s="2" t="s">
        <v>539</v>
      </c>
      <c r="N684" s="38">
        <v>50</v>
      </c>
    </row>
    <row r="685" spans="13:14">
      <c r="M685" s="2" t="s">
        <v>1022</v>
      </c>
      <c r="N685" s="38">
        <v>49</v>
      </c>
    </row>
    <row r="686" spans="13:14">
      <c r="M686" s="2" t="s">
        <v>1647</v>
      </c>
      <c r="N686" s="38">
        <v>47</v>
      </c>
    </row>
    <row r="687" spans="13:14">
      <c r="M687" s="2" t="s">
        <v>125</v>
      </c>
      <c r="N687" s="38">
        <v>42</v>
      </c>
    </row>
    <row r="688" spans="13:14">
      <c r="M688" s="2" t="s">
        <v>528</v>
      </c>
      <c r="N688" s="38">
        <v>42</v>
      </c>
    </row>
    <row r="689" spans="13:14">
      <c r="M689" s="2" t="s">
        <v>1027</v>
      </c>
      <c r="N689" s="38">
        <v>41</v>
      </c>
    </row>
    <row r="690" spans="13:14">
      <c r="M690" s="2" t="s">
        <v>1813</v>
      </c>
      <c r="N690" s="38">
        <v>41</v>
      </c>
    </row>
    <row r="691" spans="13:14">
      <c r="M691" s="2" t="s">
        <v>1524</v>
      </c>
      <c r="N691" s="38">
        <v>39</v>
      </c>
    </row>
    <row r="692" spans="13:14">
      <c r="M692" s="2" t="s">
        <v>1707</v>
      </c>
      <c r="N692" s="38">
        <v>38</v>
      </c>
    </row>
    <row r="693" spans="13:14">
      <c r="M693" s="2" t="s">
        <v>1409</v>
      </c>
      <c r="N693" s="38">
        <v>36</v>
      </c>
    </row>
    <row r="694" spans="13:14">
      <c r="M694" s="2" t="s">
        <v>1056</v>
      </c>
      <c r="N694" s="38">
        <v>35</v>
      </c>
    </row>
    <row r="695" spans="13:14">
      <c r="M695" s="2" t="s">
        <v>1701</v>
      </c>
      <c r="N695" s="38">
        <v>32</v>
      </c>
    </row>
    <row r="696" spans="13:14">
      <c r="M696" s="2" t="s">
        <v>765</v>
      </c>
      <c r="N696" s="38">
        <v>32</v>
      </c>
    </row>
    <row r="697" spans="13:14">
      <c r="M697" s="2" t="s">
        <v>1743</v>
      </c>
      <c r="N697" s="38">
        <v>29</v>
      </c>
    </row>
    <row r="698" spans="13:14">
      <c r="M698" s="2" t="s">
        <v>1689</v>
      </c>
      <c r="N698" s="38">
        <v>28</v>
      </c>
    </row>
    <row r="699" spans="13:14">
      <c r="M699" s="2" t="s">
        <v>1757</v>
      </c>
      <c r="N699" s="38">
        <v>23</v>
      </c>
    </row>
    <row r="700" spans="13:14">
      <c r="M700" s="2" t="s">
        <v>920</v>
      </c>
      <c r="N700" s="38">
        <v>20</v>
      </c>
    </row>
    <row r="701" spans="13:14">
      <c r="M701" s="2" t="s">
        <v>1773</v>
      </c>
      <c r="N701" s="38">
        <v>20</v>
      </c>
    </row>
    <row r="702" spans="13:14">
      <c r="M702" s="2" t="s">
        <v>1720</v>
      </c>
      <c r="N702" s="38">
        <v>20</v>
      </c>
    </row>
    <row r="703" spans="13:14">
      <c r="M703" s="2" t="s">
        <v>1350</v>
      </c>
      <c r="N703" s="38">
        <v>18</v>
      </c>
    </row>
    <row r="704" spans="13:14">
      <c r="M704" s="2" t="s">
        <v>1621</v>
      </c>
      <c r="N704" s="38">
        <v>17</v>
      </c>
    </row>
    <row r="705" spans="13:14">
      <c r="M705" s="2" t="s">
        <v>636</v>
      </c>
      <c r="N705" s="38">
        <v>16</v>
      </c>
    </row>
    <row r="706" spans="13:14">
      <c r="M706" s="2" t="s">
        <v>1651</v>
      </c>
      <c r="N706" s="38">
        <v>15</v>
      </c>
    </row>
    <row r="707" spans="13:14">
      <c r="M707" s="2" t="s">
        <v>1604</v>
      </c>
      <c r="N707" s="38">
        <v>14</v>
      </c>
    </row>
    <row r="708" spans="13:14">
      <c r="M708" s="2" t="s">
        <v>1659</v>
      </c>
      <c r="N708" s="38">
        <v>12</v>
      </c>
    </row>
    <row r="709" spans="13:14">
      <c r="M709" s="2" t="s">
        <v>645</v>
      </c>
      <c r="N709" s="38">
        <v>12</v>
      </c>
    </row>
    <row r="710" spans="13:14">
      <c r="M710" s="2" t="s">
        <v>1713</v>
      </c>
      <c r="N710" s="38">
        <v>12</v>
      </c>
    </row>
    <row r="711" spans="13:14">
      <c r="M711" s="2" t="s">
        <v>1613</v>
      </c>
      <c r="N711" s="38">
        <v>12</v>
      </c>
    </row>
    <row r="712" spans="13:14">
      <c r="M712" s="2" t="s">
        <v>1717</v>
      </c>
      <c r="N712" s="38">
        <v>11</v>
      </c>
    </row>
    <row r="713" spans="13:14">
      <c r="M713" s="2" t="s">
        <v>1765</v>
      </c>
      <c r="N713" s="38">
        <v>11</v>
      </c>
    </row>
    <row r="714" spans="13:14">
      <c r="M714" s="2" t="s">
        <v>1584</v>
      </c>
      <c r="N714" s="38">
        <v>11</v>
      </c>
    </row>
    <row r="715" spans="13:14">
      <c r="M715" s="2" t="s">
        <v>888</v>
      </c>
      <c r="N715" s="38">
        <v>10</v>
      </c>
    </row>
    <row r="716" spans="13:14">
      <c r="M716" s="2" t="s">
        <v>1545</v>
      </c>
      <c r="N716" s="38">
        <v>9</v>
      </c>
    </row>
    <row r="717" spans="13:14">
      <c r="M717" s="2" t="s">
        <v>928</v>
      </c>
      <c r="N717" s="38">
        <v>8</v>
      </c>
    </row>
    <row r="718" spans="13:14">
      <c r="M718" s="2" t="s">
        <v>1747</v>
      </c>
      <c r="N718" s="38">
        <v>8</v>
      </c>
    </row>
    <row r="719" spans="13:14">
      <c r="M719" s="2" t="s">
        <v>1736</v>
      </c>
      <c r="N719" s="38">
        <v>8</v>
      </c>
    </row>
    <row r="720" spans="13:14">
      <c r="M720" s="2" t="s">
        <v>1798</v>
      </c>
      <c r="N720" s="38">
        <v>8</v>
      </c>
    </row>
    <row r="721" spans="13:14">
      <c r="M721" s="2" t="s">
        <v>843</v>
      </c>
      <c r="N721" s="38">
        <v>7</v>
      </c>
    </row>
    <row r="722" spans="13:14">
      <c r="M722" s="2" t="s">
        <v>1714</v>
      </c>
      <c r="N722" s="38">
        <v>7</v>
      </c>
    </row>
    <row r="723" spans="13:14">
      <c r="M723" s="2" t="s">
        <v>1644</v>
      </c>
      <c r="N723" s="38">
        <v>7</v>
      </c>
    </row>
    <row r="724" spans="13:14">
      <c r="M724" s="2" t="s">
        <v>954</v>
      </c>
      <c r="N724" s="38">
        <v>7</v>
      </c>
    </row>
    <row r="725" spans="13:14">
      <c r="M725" s="2" t="s">
        <v>1642</v>
      </c>
      <c r="N725" s="38">
        <v>6</v>
      </c>
    </row>
    <row r="726" spans="13:14">
      <c r="M726" s="2" t="s">
        <v>1819</v>
      </c>
      <c r="N726" s="38">
        <v>6</v>
      </c>
    </row>
    <row r="727" spans="13:14">
      <c r="M727" s="2" t="s">
        <v>1723</v>
      </c>
      <c r="N727" s="38">
        <v>5</v>
      </c>
    </row>
    <row r="728" spans="13:14">
      <c r="M728" s="2" t="s">
        <v>1206</v>
      </c>
      <c r="N728" s="38">
        <v>5</v>
      </c>
    </row>
    <row r="729" spans="13:14">
      <c r="M729" s="2" t="s">
        <v>329</v>
      </c>
      <c r="N729" s="38">
        <v>5</v>
      </c>
    </row>
    <row r="730" spans="13:14">
      <c r="M730" s="2" t="s">
        <v>1023</v>
      </c>
      <c r="N730" s="38">
        <v>5</v>
      </c>
    </row>
    <row r="731" spans="13:14">
      <c r="M731" s="2" t="s">
        <v>1728</v>
      </c>
      <c r="N731" s="38">
        <v>4</v>
      </c>
    </row>
    <row r="732" spans="13:14">
      <c r="M732" s="2" t="s">
        <v>1592</v>
      </c>
      <c r="N732" s="38">
        <v>3</v>
      </c>
    </row>
    <row r="733" spans="13:14">
      <c r="M733" s="2" t="s">
        <v>1675</v>
      </c>
      <c r="N733" s="38">
        <v>3</v>
      </c>
    </row>
    <row r="734" spans="13:14">
      <c r="M734" s="2" t="s">
        <v>136</v>
      </c>
      <c r="N734" s="38">
        <v>3</v>
      </c>
    </row>
    <row r="735" spans="13:14">
      <c r="M735" s="2" t="s">
        <v>1555</v>
      </c>
      <c r="N735" s="38">
        <v>3</v>
      </c>
    </row>
    <row r="736" spans="13:14">
      <c r="M736" s="2" t="s">
        <v>1730</v>
      </c>
      <c r="N736" s="38">
        <v>3</v>
      </c>
    </row>
    <row r="737" spans="13:14">
      <c r="M737" s="2" t="s">
        <v>1434</v>
      </c>
      <c r="N737" s="38">
        <v>3</v>
      </c>
    </row>
    <row r="738" spans="13:14">
      <c r="M738" s="2" t="s">
        <v>1699</v>
      </c>
      <c r="N738" s="38">
        <v>3</v>
      </c>
    </row>
    <row r="739" spans="13:14">
      <c r="M739" s="2" t="s">
        <v>1619</v>
      </c>
      <c r="N739" s="38">
        <v>2</v>
      </c>
    </row>
    <row r="740" spans="13:14">
      <c r="M740" s="2" t="s">
        <v>1610</v>
      </c>
      <c r="N740" s="38">
        <v>2</v>
      </c>
    </row>
    <row r="741" spans="13:14">
      <c r="M741" s="2" t="s">
        <v>1580</v>
      </c>
      <c r="N741" s="38">
        <v>1</v>
      </c>
    </row>
    <row r="742" spans="13:14">
      <c r="M742" s="2" t="s">
        <v>1817</v>
      </c>
      <c r="N742" s="38">
        <v>1</v>
      </c>
    </row>
    <row r="743" spans="13:14">
      <c r="M743" s="2" t="s">
        <v>996</v>
      </c>
      <c r="N743" s="38">
        <v>1</v>
      </c>
    </row>
    <row r="744" spans="13:14">
      <c r="M744" s="2" t="s">
        <v>495</v>
      </c>
      <c r="N744" s="38">
        <v>1</v>
      </c>
    </row>
    <row r="745" spans="13:14">
      <c r="M745" s="2" t="s">
        <v>947</v>
      </c>
      <c r="N745" s="38">
        <v>1</v>
      </c>
    </row>
    <row r="746" spans="13:14">
      <c r="M746" s="2" t="s">
        <v>475</v>
      </c>
      <c r="N746" s="38">
        <v>1</v>
      </c>
    </row>
    <row r="747" spans="13:14">
      <c r="M747" s="2" t="s">
        <v>1596</v>
      </c>
      <c r="N747" s="38">
        <v>1</v>
      </c>
    </row>
    <row r="748" spans="13:14">
      <c r="M748" s="2" t="s">
        <v>1279</v>
      </c>
      <c r="N748" s="38">
        <v>1</v>
      </c>
    </row>
    <row r="749" spans="13:14">
      <c r="M749" s="2" t="s">
        <v>303</v>
      </c>
      <c r="N749" s="38">
        <v>1</v>
      </c>
    </row>
    <row r="750" spans="13:14">
      <c r="M750" s="2" t="s">
        <v>1745</v>
      </c>
      <c r="N750" s="38">
        <v>1</v>
      </c>
    </row>
    <row r="751" spans="13:14">
      <c r="M751" s="2" t="s">
        <v>1301</v>
      </c>
      <c r="N751" s="38">
        <v>1</v>
      </c>
    </row>
    <row r="752" spans="13:14">
      <c r="M752" s="2" t="s">
        <v>56</v>
      </c>
      <c r="N752" s="38">
        <v>0</v>
      </c>
    </row>
    <row r="753" spans="13:14">
      <c r="M753" s="2" t="s">
        <v>104</v>
      </c>
      <c r="N753" s="38">
        <v>0</v>
      </c>
    </row>
    <row r="754" spans="13:14">
      <c r="M754" s="2" t="s">
        <v>689</v>
      </c>
      <c r="N754" s="38">
        <v>0</v>
      </c>
    </row>
    <row r="755" spans="13:14">
      <c r="M755" s="2" t="s">
        <v>1606</v>
      </c>
      <c r="N755" s="38">
        <v>0</v>
      </c>
    </row>
    <row r="756" spans="13:14">
      <c r="M756" s="2" t="s">
        <v>1737</v>
      </c>
      <c r="N756" s="38">
        <v>0</v>
      </c>
    </row>
    <row r="757" spans="13:14">
      <c r="M757" s="2" t="s">
        <v>1679</v>
      </c>
      <c r="N757" s="38">
        <v>0</v>
      </c>
    </row>
    <row r="758" spans="13:14">
      <c r="M758" s="2" t="s">
        <v>1110</v>
      </c>
      <c r="N758" s="38">
        <v>0</v>
      </c>
    </row>
    <row r="759" spans="13:14">
      <c r="M759" s="2" t="s">
        <v>1665</v>
      </c>
      <c r="N759" s="38">
        <v>0</v>
      </c>
    </row>
    <row r="760" spans="13:14">
      <c r="M760" s="2" t="s">
        <v>1563</v>
      </c>
      <c r="N760" s="38">
        <v>0</v>
      </c>
    </row>
    <row r="761" spans="13:14">
      <c r="M761" s="2" t="s">
        <v>1586</v>
      </c>
      <c r="N761" s="38">
        <v>0</v>
      </c>
    </row>
    <row r="762" spans="13:14">
      <c r="M762" s="2" t="s">
        <v>409</v>
      </c>
      <c r="N762" s="38">
        <v>0</v>
      </c>
    </row>
    <row r="763" spans="13:14">
      <c r="M763" s="2" t="s">
        <v>1254</v>
      </c>
      <c r="N763" s="38">
        <v>0</v>
      </c>
    </row>
    <row r="764" spans="13:14">
      <c r="M764" s="2" t="s">
        <v>982</v>
      </c>
      <c r="N764" s="38">
        <v>0</v>
      </c>
    </row>
    <row r="765" spans="13:14">
      <c r="M765" s="2" t="s">
        <v>46</v>
      </c>
      <c r="N765" s="38">
        <v>0</v>
      </c>
    </row>
    <row r="766" spans="13:14">
      <c r="M766" s="2" t="s">
        <v>945</v>
      </c>
      <c r="N766" s="38">
        <v>0</v>
      </c>
    </row>
    <row r="767" spans="13:14">
      <c r="M767" s="2" t="s">
        <v>309</v>
      </c>
      <c r="N767" s="38">
        <v>0</v>
      </c>
    </row>
    <row r="768" spans="13:14">
      <c r="M768" s="2" t="s">
        <v>332</v>
      </c>
      <c r="N768" s="38">
        <v>0</v>
      </c>
    </row>
    <row r="769" spans="13:14">
      <c r="M769" s="2" t="s">
        <v>573</v>
      </c>
      <c r="N769" s="38">
        <v>0</v>
      </c>
    </row>
    <row r="770" spans="13:14">
      <c r="M770" s="2" t="s">
        <v>291</v>
      </c>
      <c r="N770" s="38">
        <v>0</v>
      </c>
    </row>
    <row r="771" spans="13:14">
      <c r="M771" s="2" t="s">
        <v>1541</v>
      </c>
      <c r="N771" s="38">
        <v>0</v>
      </c>
    </row>
    <row r="772" spans="13:14">
      <c r="M772" s="2" t="s">
        <v>1569</v>
      </c>
      <c r="N772" s="38">
        <v>0</v>
      </c>
    </row>
    <row r="773" spans="13:14">
      <c r="M773" s="2" t="s">
        <v>1483</v>
      </c>
      <c r="N773" s="38">
        <v>0</v>
      </c>
    </row>
    <row r="774" spans="13:14">
      <c r="M774" s="2" t="s">
        <v>1587</v>
      </c>
      <c r="N774" s="38">
        <v>0</v>
      </c>
    </row>
    <row r="775" spans="13:14">
      <c r="M775" s="2" t="s">
        <v>1755</v>
      </c>
      <c r="N775" s="38">
        <v>0</v>
      </c>
    </row>
    <row r="776" spans="13:14">
      <c r="M776" s="2" t="s">
        <v>1783</v>
      </c>
      <c r="N776" s="38">
        <v>0</v>
      </c>
    </row>
    <row r="777" spans="13:14">
      <c r="M777" s="2" t="s">
        <v>65</v>
      </c>
      <c r="N777" s="38">
        <v>0</v>
      </c>
    </row>
    <row r="778" spans="13:14">
      <c r="M778" s="2" t="s">
        <v>209</v>
      </c>
      <c r="N778" s="38">
        <v>0</v>
      </c>
    </row>
    <row r="779" spans="13:14">
      <c r="M779" s="2" t="s">
        <v>1179</v>
      </c>
      <c r="N779" s="38">
        <v>0</v>
      </c>
    </row>
    <row r="780" spans="13:14">
      <c r="M780" s="2" t="s">
        <v>1703</v>
      </c>
      <c r="N780" s="38">
        <v>0</v>
      </c>
    </row>
    <row r="781" spans="13:14">
      <c r="M781" s="2" t="s">
        <v>1663</v>
      </c>
      <c r="N781" s="38">
        <v>0</v>
      </c>
    </row>
    <row r="782" spans="13:14">
      <c r="M782" s="2" t="s">
        <v>1579</v>
      </c>
      <c r="N782" s="38">
        <v>0</v>
      </c>
    </row>
    <row r="783" spans="13:14">
      <c r="M783" s="2" t="s">
        <v>1272</v>
      </c>
      <c r="N783" s="38">
        <v>0</v>
      </c>
    </row>
    <row r="784" spans="13:14">
      <c r="M784" s="2" t="s">
        <v>1283</v>
      </c>
      <c r="N784" s="38">
        <v>0</v>
      </c>
    </row>
    <row r="785" spans="13:14">
      <c r="M785" s="2" t="s">
        <v>162</v>
      </c>
      <c r="N785" s="38">
        <v>0</v>
      </c>
    </row>
    <row r="786" spans="13:14">
      <c r="M786" s="2" t="s">
        <v>1686</v>
      </c>
      <c r="N786" s="38">
        <v>0</v>
      </c>
    </row>
    <row r="787" spans="13:14">
      <c r="M787" s="2" t="s">
        <v>1764</v>
      </c>
      <c r="N787" s="38">
        <v>0</v>
      </c>
    </row>
    <row r="788" spans="13:14">
      <c r="M788" s="2" t="s">
        <v>862</v>
      </c>
      <c r="N788" s="38">
        <v>0</v>
      </c>
    </row>
    <row r="789" spans="13:14">
      <c r="M789" s="2" t="s">
        <v>850</v>
      </c>
      <c r="N789" s="38">
        <v>0</v>
      </c>
    </row>
    <row r="790" spans="13:14">
      <c r="M790" s="2" t="s">
        <v>677</v>
      </c>
      <c r="N790" s="38">
        <v>0</v>
      </c>
    </row>
    <row r="791" spans="13:14">
      <c r="M791" s="2" t="s">
        <v>1556</v>
      </c>
      <c r="N791" s="38">
        <v>0</v>
      </c>
    </row>
    <row r="792" spans="13:14">
      <c r="M792" s="2" t="s">
        <v>1519</v>
      </c>
      <c r="N792" s="38">
        <v>0</v>
      </c>
    </row>
    <row r="793" spans="13:14">
      <c r="M793" s="2" t="s">
        <v>1491</v>
      </c>
      <c r="N793" s="38">
        <v>0</v>
      </c>
    </row>
    <row r="794" spans="13:14">
      <c r="M794" s="2" t="s">
        <v>827</v>
      </c>
      <c r="N794" s="38">
        <v>0</v>
      </c>
    </row>
    <row r="795" spans="13:14">
      <c r="M795" s="2" t="s">
        <v>1680</v>
      </c>
      <c r="N795" s="38">
        <v>0</v>
      </c>
    </row>
    <row r="796" spans="13:14">
      <c r="M796" s="2" t="s">
        <v>86</v>
      </c>
      <c r="N796" s="38">
        <v>0</v>
      </c>
    </row>
    <row r="797" spans="13:14">
      <c r="M797" s="2" t="s">
        <v>1734</v>
      </c>
      <c r="N797" s="38">
        <v>0</v>
      </c>
    </row>
    <row r="798" spans="13:14">
      <c r="M798" s="2" t="s">
        <v>1715</v>
      </c>
      <c r="N798" s="38">
        <v>0</v>
      </c>
    </row>
    <row r="799" spans="13:14">
      <c r="M799" s="2" t="s">
        <v>196</v>
      </c>
      <c r="N799" s="38">
        <v>0</v>
      </c>
    </row>
    <row r="800" spans="13:14">
      <c r="M800" s="2" t="s">
        <v>1763</v>
      </c>
      <c r="N800" s="38">
        <v>0</v>
      </c>
    </row>
    <row r="801" spans="13:14">
      <c r="M801" s="2" t="s">
        <v>383</v>
      </c>
      <c r="N801" s="38">
        <v>0</v>
      </c>
    </row>
    <row r="802" spans="13:14">
      <c r="M802" s="2" t="s">
        <v>1059</v>
      </c>
      <c r="N802" s="38">
        <v>0</v>
      </c>
    </row>
    <row r="803" spans="13:14">
      <c r="M803" s="2" t="s">
        <v>1582</v>
      </c>
      <c r="N803" s="38">
        <v>0</v>
      </c>
    </row>
    <row r="804" spans="13:14">
      <c r="M804" s="2" t="s">
        <v>148</v>
      </c>
      <c r="N804" s="38">
        <v>0</v>
      </c>
    </row>
    <row r="805" spans="13:14">
      <c r="M805" s="2" t="s">
        <v>1684</v>
      </c>
      <c r="N805" s="38">
        <v>0</v>
      </c>
    </row>
    <row r="806" spans="13:14">
      <c r="M806" s="2" t="s">
        <v>1112</v>
      </c>
      <c r="N806" s="38">
        <v>0</v>
      </c>
    </row>
    <row r="807" spans="13:14">
      <c r="M807" s="2" t="s">
        <v>349</v>
      </c>
      <c r="N807" s="38">
        <v>0</v>
      </c>
    </row>
    <row r="808" spans="13:14">
      <c r="M808" s="2" t="s">
        <v>1228</v>
      </c>
      <c r="N808" s="38">
        <v>0</v>
      </c>
    </row>
    <row r="809" spans="13:14">
      <c r="M809" s="2" t="s">
        <v>613</v>
      </c>
      <c r="N809" s="38">
        <v>0</v>
      </c>
    </row>
    <row r="810" spans="13:14">
      <c r="M810" s="2" t="s">
        <v>240</v>
      </c>
      <c r="N810" s="38">
        <v>0</v>
      </c>
    </row>
    <row r="811" spans="13:14">
      <c r="M811" s="2" t="s">
        <v>1535</v>
      </c>
      <c r="N811" s="38">
        <v>0</v>
      </c>
    </row>
    <row r="812" spans="13:14">
      <c r="M812" s="2" t="s">
        <v>916</v>
      </c>
      <c r="N812" s="38">
        <v>0</v>
      </c>
    </row>
    <row r="813" spans="13:14">
      <c r="M813" s="2">
        <v>45131</v>
      </c>
      <c r="N813" s="38">
        <v>0</v>
      </c>
    </row>
    <row r="814" spans="13:14">
      <c r="M814" s="2" t="s">
        <v>1595</v>
      </c>
      <c r="N814" s="38">
        <v>0</v>
      </c>
    </row>
    <row r="815" spans="13:14">
      <c r="M815" s="2" t="s">
        <v>1598</v>
      </c>
      <c r="N815" s="38">
        <v>0</v>
      </c>
    </row>
    <row r="816" spans="13:14">
      <c r="M816" s="2" t="s">
        <v>936</v>
      </c>
      <c r="N816" s="38">
        <v>0</v>
      </c>
    </row>
    <row r="817" spans="13:14">
      <c r="M817" s="2" t="s">
        <v>338</v>
      </c>
      <c r="N817" s="38">
        <v>0</v>
      </c>
    </row>
    <row r="818" spans="13:14">
      <c r="M818" s="2" t="s">
        <v>193</v>
      </c>
      <c r="N818" s="38">
        <v>0</v>
      </c>
    </row>
    <row r="819" spans="13:14">
      <c r="M819" s="2" t="s">
        <v>775</v>
      </c>
      <c r="N819" s="38">
        <v>0</v>
      </c>
    </row>
    <row r="820" spans="13:14">
      <c r="M820" s="2" t="s">
        <v>1548</v>
      </c>
      <c r="N820" s="38">
        <v>0</v>
      </c>
    </row>
    <row r="821" spans="13:14">
      <c r="M821" s="2" t="s">
        <v>224</v>
      </c>
      <c r="N821" s="38">
        <v>0</v>
      </c>
    </row>
    <row r="822" spans="13:14">
      <c r="M822" s="2" t="s">
        <v>19</v>
      </c>
      <c r="N822" s="38">
        <v>818817956</v>
      </c>
    </row>
  </sheetData>
  <pageMargins left="0.7" right="0.7" top="0.75" bottom="0.75" header="0.3" footer="0.3"/>
  <drawing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57E98-8C4E-4CC5-9890-292FCCC4F9D0}">
  <sheetPr codeName="Sheet4"/>
  <dimension ref="A1:Z965"/>
  <sheetViews>
    <sheetView workbookViewId="0">
      <selection activeCell="J34" sqref="J34"/>
    </sheetView>
  </sheetViews>
  <sheetFormatPr defaultRowHeight="15"/>
  <cols>
    <col min="5" max="5" width="9.28515625" bestFit="1" customWidth="1"/>
    <col min="7" max="14" width="9.28515625" bestFit="1" customWidth="1"/>
    <col min="15" max="15" width="11.5703125" bestFit="1" customWidth="1"/>
    <col min="16" max="24" width="9.28515625" bestFit="1" customWidth="1"/>
  </cols>
  <sheetData>
    <row r="1" spans="1:26">
      <c r="A1" t="s">
        <v>1851</v>
      </c>
      <c r="B1" t="s">
        <v>14</v>
      </c>
      <c r="C1" t="s">
        <v>1850</v>
      </c>
      <c r="D1" t="s">
        <v>1849</v>
      </c>
      <c r="E1" t="s">
        <v>13</v>
      </c>
      <c r="F1" t="s">
        <v>1848</v>
      </c>
      <c r="G1" t="s">
        <v>1847</v>
      </c>
      <c r="H1" t="s">
        <v>12</v>
      </c>
      <c r="I1" t="s">
        <v>11</v>
      </c>
      <c r="J1" t="s">
        <v>10</v>
      </c>
      <c r="K1" t="s">
        <v>9</v>
      </c>
      <c r="L1" t="s">
        <v>8</v>
      </c>
      <c r="M1" t="s">
        <v>7</v>
      </c>
      <c r="N1" t="s">
        <v>6</v>
      </c>
      <c r="O1" t="s">
        <v>5</v>
      </c>
      <c r="P1" t="s">
        <v>4</v>
      </c>
      <c r="Q1" t="s">
        <v>3</v>
      </c>
      <c r="R1" t="s">
        <v>2</v>
      </c>
      <c r="S1" t="s">
        <v>1</v>
      </c>
      <c r="T1" t="s">
        <v>0</v>
      </c>
      <c r="U1" t="s">
        <v>1846</v>
      </c>
      <c r="V1" t="s">
        <v>1845</v>
      </c>
      <c r="W1" t="s">
        <v>1844</v>
      </c>
      <c r="X1" t="s">
        <v>1843</v>
      </c>
      <c r="Y1" t="s">
        <v>15</v>
      </c>
      <c r="Z1" t="s">
        <v>1859</v>
      </c>
    </row>
    <row r="2" spans="1:26">
      <c r="A2">
        <v>2020</v>
      </c>
      <c r="B2">
        <v>36700000</v>
      </c>
      <c r="C2" t="s">
        <v>666</v>
      </c>
      <c r="D2" t="s">
        <v>665</v>
      </c>
      <c r="E2">
        <v>63</v>
      </c>
      <c r="F2" t="s">
        <v>664</v>
      </c>
      <c r="G2">
        <v>54</v>
      </c>
      <c r="H2">
        <v>0.73599999999999999</v>
      </c>
      <c r="I2">
        <v>0.62</v>
      </c>
      <c r="J2">
        <v>-8.4809999999999999</v>
      </c>
      <c r="K2">
        <v>0</v>
      </c>
      <c r="L2">
        <v>0</v>
      </c>
      <c r="M2">
        <v>0.11</v>
      </c>
      <c r="N2">
        <v>5.7700000000000001E-2</v>
      </c>
      <c r="O2">
        <v>0.69199999999999995</v>
      </c>
      <c r="P2">
        <v>0.318</v>
      </c>
      <c r="Q2">
        <v>0.95899999999999996</v>
      </c>
      <c r="R2">
        <v>150.02600000000001</v>
      </c>
      <c r="S2">
        <v>4</v>
      </c>
      <c r="T2">
        <v>201990</v>
      </c>
      <c r="U2">
        <v>4</v>
      </c>
      <c r="V2">
        <v>201990</v>
      </c>
      <c r="W2">
        <v>4</v>
      </c>
      <c r="X2">
        <v>201990</v>
      </c>
      <c r="Y2" t="s">
        <v>16</v>
      </c>
      <c r="Z2" t="str">
        <f>LOOKUP(B2,{0,1083,124200,681950},{"1st","2nd","3rd","4th"})&amp;" Quartile"</f>
        <v>4th Quartile</v>
      </c>
    </row>
    <row r="3" spans="1:26">
      <c r="A3">
        <v>2022</v>
      </c>
      <c r="B3">
        <v>23500000</v>
      </c>
      <c r="C3" t="s">
        <v>696</v>
      </c>
      <c r="D3" t="s">
        <v>695</v>
      </c>
      <c r="E3">
        <v>53</v>
      </c>
      <c r="F3" t="s">
        <v>694</v>
      </c>
      <c r="G3">
        <v>65</v>
      </c>
      <c r="H3">
        <v>0.82399999999999995</v>
      </c>
      <c r="I3">
        <v>0.85399999999999998</v>
      </c>
      <c r="J3">
        <v>-5.3120000000000003</v>
      </c>
      <c r="K3">
        <v>1</v>
      </c>
      <c r="L3">
        <v>8</v>
      </c>
      <c r="M3">
        <v>0.17699999999999999</v>
      </c>
      <c r="N3">
        <v>1.6E-2</v>
      </c>
      <c r="O3">
        <v>4.9499999999999997E-5</v>
      </c>
      <c r="P3">
        <v>0.11700000000000001</v>
      </c>
      <c r="Q3">
        <v>0.89600000000000002</v>
      </c>
      <c r="R3">
        <v>95.114000000000004</v>
      </c>
      <c r="S3">
        <v>4</v>
      </c>
      <c r="T3">
        <v>210329</v>
      </c>
      <c r="U3">
        <v>4</v>
      </c>
      <c r="V3">
        <v>210329</v>
      </c>
      <c r="W3">
        <v>4</v>
      </c>
      <c r="X3">
        <v>210329</v>
      </c>
      <c r="Y3" t="s">
        <v>16</v>
      </c>
      <c r="Z3" t="str">
        <f>LOOKUP(B3,{0,1083,124200,681950},{"1st","2nd","3rd","4th"})&amp;" Quartile"</f>
        <v>4th Quartile</v>
      </c>
    </row>
    <row r="4" spans="1:26">
      <c r="A4">
        <v>2020</v>
      </c>
      <c r="B4">
        <v>23400000</v>
      </c>
      <c r="C4" t="s">
        <v>696</v>
      </c>
      <c r="D4" t="s">
        <v>695</v>
      </c>
      <c r="E4">
        <v>53</v>
      </c>
      <c r="F4" t="s">
        <v>694</v>
      </c>
      <c r="G4">
        <v>65</v>
      </c>
      <c r="H4">
        <v>0.82399999999999995</v>
      </c>
      <c r="I4">
        <v>0.85399999999999998</v>
      </c>
      <c r="J4">
        <v>-5.3120000000000003</v>
      </c>
      <c r="K4">
        <v>1</v>
      </c>
      <c r="L4">
        <v>8</v>
      </c>
      <c r="M4">
        <v>0.17699999999999999</v>
      </c>
      <c r="N4">
        <v>1.6E-2</v>
      </c>
      <c r="O4">
        <v>4.9499999999999997E-5</v>
      </c>
      <c r="P4">
        <v>0.11700000000000001</v>
      </c>
      <c r="Q4">
        <v>0.89600000000000002</v>
      </c>
      <c r="R4">
        <v>95.114000000000004</v>
      </c>
      <c r="S4">
        <v>4</v>
      </c>
      <c r="T4">
        <v>210329</v>
      </c>
      <c r="U4">
        <v>4</v>
      </c>
      <c r="V4">
        <v>210329</v>
      </c>
      <c r="W4">
        <v>4</v>
      </c>
      <c r="X4">
        <v>210329</v>
      </c>
      <c r="Y4" t="s">
        <v>16</v>
      </c>
      <c r="Z4" t="str">
        <f>LOOKUP(B4,{0,1083,124200,681950},{"1st","2nd","3rd","4th"})&amp;" Quartile"</f>
        <v>4th Quartile</v>
      </c>
    </row>
    <row r="5" spans="1:26">
      <c r="A5">
        <v>2019</v>
      </c>
      <c r="B5">
        <v>16400000</v>
      </c>
      <c r="C5" t="s">
        <v>284</v>
      </c>
      <c r="D5" t="s">
        <v>283</v>
      </c>
      <c r="E5">
        <v>63</v>
      </c>
      <c r="F5" t="s">
        <v>282</v>
      </c>
      <c r="G5">
        <v>56</v>
      </c>
      <c r="H5">
        <v>0.91500000000000004</v>
      </c>
      <c r="I5">
        <v>0.55600000000000005</v>
      </c>
      <c r="J5">
        <v>-8.6010000000000009</v>
      </c>
      <c r="K5">
        <v>1</v>
      </c>
      <c r="L5">
        <v>1</v>
      </c>
      <c r="M5">
        <v>0.216</v>
      </c>
      <c r="N5">
        <v>1.4500000000000001E-2</v>
      </c>
      <c r="O5">
        <v>1.7899999999999999E-4</v>
      </c>
      <c r="P5">
        <v>7.3300000000000004E-2</v>
      </c>
      <c r="Q5">
        <v>0.67</v>
      </c>
      <c r="R5">
        <v>148.964</v>
      </c>
      <c r="S5">
        <v>4</v>
      </c>
      <c r="T5">
        <v>170947</v>
      </c>
      <c r="U5">
        <v>4</v>
      </c>
      <c r="V5">
        <v>170947</v>
      </c>
      <c r="W5">
        <v>4</v>
      </c>
      <c r="X5">
        <v>170947</v>
      </c>
      <c r="Y5" t="s">
        <v>16</v>
      </c>
      <c r="Z5" t="str">
        <f>LOOKUP(B5,{0,1083,124200,681950},{"1st","2nd","3rd","4th"})&amp;" Quartile"</f>
        <v>4th Quartile</v>
      </c>
    </row>
    <row r="6" spans="1:26">
      <c r="A6">
        <v>2022</v>
      </c>
      <c r="B6">
        <v>14100000</v>
      </c>
      <c r="C6" t="s">
        <v>1144</v>
      </c>
      <c r="D6" t="s">
        <v>421</v>
      </c>
      <c r="E6">
        <v>82</v>
      </c>
      <c r="F6" t="s">
        <v>1143</v>
      </c>
      <c r="G6">
        <v>70</v>
      </c>
      <c r="H6">
        <v>0.84299999999999997</v>
      </c>
      <c r="I6">
        <v>0.74099999999999999</v>
      </c>
      <c r="J6">
        <v>-5.609</v>
      </c>
      <c r="K6">
        <v>1</v>
      </c>
      <c r="L6">
        <v>11</v>
      </c>
      <c r="M6">
        <v>0.33400000000000002</v>
      </c>
      <c r="N6">
        <v>2.52E-2</v>
      </c>
      <c r="O6">
        <v>0</v>
      </c>
      <c r="P6">
        <v>9.6000000000000002E-2</v>
      </c>
      <c r="Q6">
        <v>0.68</v>
      </c>
      <c r="R6">
        <v>168.983</v>
      </c>
      <c r="S6">
        <v>4</v>
      </c>
      <c r="T6">
        <v>155497</v>
      </c>
      <c r="U6">
        <v>4</v>
      </c>
      <c r="V6">
        <v>155497</v>
      </c>
      <c r="W6">
        <v>4</v>
      </c>
      <c r="X6">
        <v>155497</v>
      </c>
      <c r="Y6" t="s">
        <v>16</v>
      </c>
      <c r="Z6" t="str">
        <f>LOOKUP(B6,{0,1083,124200,681950},{"1st","2nd","3rd","4th"})&amp;" Quartile"</f>
        <v>4th Quartile</v>
      </c>
    </row>
    <row r="7" spans="1:26">
      <c r="A7">
        <v>2020</v>
      </c>
      <c r="B7">
        <v>14100000</v>
      </c>
      <c r="C7" t="s">
        <v>1144</v>
      </c>
      <c r="D7" t="s">
        <v>421</v>
      </c>
      <c r="E7">
        <v>82</v>
      </c>
      <c r="F7" t="s">
        <v>1143</v>
      </c>
      <c r="G7">
        <v>70</v>
      </c>
      <c r="H7">
        <v>0.84299999999999997</v>
      </c>
      <c r="I7">
        <v>0.74099999999999999</v>
      </c>
      <c r="J7">
        <v>-5.609</v>
      </c>
      <c r="K7">
        <v>1</v>
      </c>
      <c r="L7">
        <v>11</v>
      </c>
      <c r="M7">
        <v>0.33400000000000002</v>
      </c>
      <c r="N7">
        <v>2.52E-2</v>
      </c>
      <c r="O7">
        <v>0</v>
      </c>
      <c r="P7">
        <v>9.6000000000000002E-2</v>
      </c>
      <c r="Q7">
        <v>0.68</v>
      </c>
      <c r="R7">
        <v>168.983</v>
      </c>
      <c r="S7">
        <v>4</v>
      </c>
      <c r="T7">
        <v>155497</v>
      </c>
      <c r="U7">
        <v>4</v>
      </c>
      <c r="V7">
        <v>155497</v>
      </c>
      <c r="W7">
        <v>4</v>
      </c>
      <c r="X7">
        <v>155497</v>
      </c>
      <c r="Y7" t="s">
        <v>16</v>
      </c>
      <c r="Z7" t="str">
        <f>LOOKUP(B7,{0,1083,124200,681950},{"1st","2nd","3rd","4th"})&amp;" Quartile"</f>
        <v>4th Quartile</v>
      </c>
    </row>
    <row r="8" spans="1:26">
      <c r="A8">
        <v>2019</v>
      </c>
      <c r="B8">
        <v>13300000</v>
      </c>
      <c r="C8" t="s">
        <v>186</v>
      </c>
      <c r="D8" t="s">
        <v>85</v>
      </c>
      <c r="E8">
        <v>76</v>
      </c>
      <c r="F8" t="s">
        <v>185</v>
      </c>
      <c r="G8">
        <v>67</v>
      </c>
      <c r="H8">
        <v>0.33600000000000002</v>
      </c>
      <c r="I8">
        <v>0.627</v>
      </c>
      <c r="J8">
        <v>-7.4630000000000001</v>
      </c>
      <c r="K8">
        <v>1</v>
      </c>
      <c r="L8">
        <v>7</v>
      </c>
      <c r="M8">
        <v>3.8399999999999997E-2</v>
      </c>
      <c r="N8">
        <v>0.16400000000000001</v>
      </c>
      <c r="O8">
        <v>0</v>
      </c>
      <c r="P8">
        <v>7.0800000000000002E-2</v>
      </c>
      <c r="Q8">
        <v>0.35</v>
      </c>
      <c r="R8">
        <v>150.273</v>
      </c>
      <c r="S8">
        <v>4</v>
      </c>
      <c r="T8">
        <v>241107</v>
      </c>
      <c r="U8">
        <v>4</v>
      </c>
      <c r="V8">
        <v>241107</v>
      </c>
      <c r="W8">
        <v>4</v>
      </c>
      <c r="X8">
        <v>241107</v>
      </c>
      <c r="Y8" t="s">
        <v>16</v>
      </c>
      <c r="Z8" t="str">
        <f>LOOKUP(B8,{0,1083,124200,681950},{"1st","2nd","3rd","4th"})&amp;" Quartile"</f>
        <v>4th Quartile</v>
      </c>
    </row>
    <row r="9" spans="1:26">
      <c r="A9">
        <v>2020</v>
      </c>
      <c r="B9">
        <v>12200000</v>
      </c>
      <c r="C9" t="s">
        <v>930</v>
      </c>
      <c r="D9" t="s">
        <v>931</v>
      </c>
      <c r="E9">
        <v>56</v>
      </c>
      <c r="F9" t="s">
        <v>930</v>
      </c>
      <c r="G9">
        <v>60</v>
      </c>
      <c r="H9">
        <v>0.84699999999999998</v>
      </c>
      <c r="I9">
        <v>0.57299999999999995</v>
      </c>
      <c r="J9">
        <v>-6.032</v>
      </c>
      <c r="K9">
        <v>1</v>
      </c>
      <c r="L9">
        <v>0</v>
      </c>
      <c r="M9">
        <v>0.253</v>
      </c>
      <c r="N9">
        <v>7.3899999999999999E-3</v>
      </c>
      <c r="O9">
        <v>1.49E-2</v>
      </c>
      <c r="P9">
        <v>8.4500000000000006E-2</v>
      </c>
      <c r="Q9">
        <v>0.33200000000000002</v>
      </c>
      <c r="R9">
        <v>99.918999999999997</v>
      </c>
      <c r="S9">
        <v>4</v>
      </c>
      <c r="T9">
        <v>137595</v>
      </c>
      <c r="U9">
        <v>4</v>
      </c>
      <c r="V9">
        <v>137595</v>
      </c>
      <c r="W9">
        <v>4</v>
      </c>
      <c r="X9">
        <v>137595</v>
      </c>
      <c r="Y9" t="s">
        <v>16</v>
      </c>
      <c r="Z9" t="str">
        <f>LOOKUP(B9,{0,1083,124200,681950},{"1st","2nd","3rd","4th"})&amp;" Quartile"</f>
        <v>4th Quartile</v>
      </c>
    </row>
    <row r="10" spans="1:26">
      <c r="A10">
        <v>2021</v>
      </c>
      <c r="B10">
        <v>11300000</v>
      </c>
      <c r="C10" t="s">
        <v>1152</v>
      </c>
      <c r="D10" t="s">
        <v>1153</v>
      </c>
      <c r="E10">
        <v>71</v>
      </c>
      <c r="F10" t="s">
        <v>1152</v>
      </c>
      <c r="G10">
        <v>65</v>
      </c>
      <c r="H10">
        <v>0.88</v>
      </c>
      <c r="I10">
        <v>0.501</v>
      </c>
      <c r="J10">
        <v>-6.774</v>
      </c>
      <c r="K10">
        <v>1</v>
      </c>
      <c r="L10">
        <v>2</v>
      </c>
      <c r="M10">
        <v>6.2E-2</v>
      </c>
      <c r="N10">
        <v>4.9399999999999999E-2</v>
      </c>
      <c r="O10">
        <v>6.9500000000000006E-2</v>
      </c>
      <c r="P10">
        <v>0.436</v>
      </c>
      <c r="Q10">
        <v>0.45900000000000002</v>
      </c>
      <c r="R10">
        <v>120.038</v>
      </c>
      <c r="S10">
        <v>4</v>
      </c>
      <c r="T10">
        <v>114500</v>
      </c>
      <c r="U10">
        <v>4</v>
      </c>
      <c r="V10">
        <v>114500</v>
      </c>
      <c r="W10">
        <v>4</v>
      </c>
      <c r="X10">
        <v>114500</v>
      </c>
      <c r="Y10" t="s">
        <v>16</v>
      </c>
      <c r="Z10" t="str">
        <f>LOOKUP(B10,{0,1083,124200,681950},{"1st","2nd","3rd","4th"})&amp;" Quartile"</f>
        <v>4th Quartile</v>
      </c>
    </row>
    <row r="11" spans="1:26">
      <c r="A11">
        <v>2021</v>
      </c>
      <c r="B11">
        <v>11000000</v>
      </c>
      <c r="C11" t="s">
        <v>1194</v>
      </c>
      <c r="D11" t="s">
        <v>1193</v>
      </c>
      <c r="E11">
        <v>69</v>
      </c>
      <c r="F11" t="s">
        <v>1192</v>
      </c>
      <c r="G11">
        <v>62</v>
      </c>
      <c r="H11">
        <v>0.88600000000000001</v>
      </c>
      <c r="I11">
        <v>0.60499999999999998</v>
      </c>
      <c r="J11">
        <v>-4.3109999999999999</v>
      </c>
      <c r="K11">
        <v>1</v>
      </c>
      <c r="L11">
        <v>6</v>
      </c>
      <c r="M11">
        <v>0.109</v>
      </c>
      <c r="N11">
        <v>1.2700000000000001E-3</v>
      </c>
      <c r="O11">
        <v>1.67E-2</v>
      </c>
      <c r="P11">
        <v>7.6700000000000004E-2</v>
      </c>
      <c r="Q11">
        <v>0.64600000000000002</v>
      </c>
      <c r="R11">
        <v>122.05200000000001</v>
      </c>
      <c r="S11">
        <v>4</v>
      </c>
      <c r="T11">
        <v>166971</v>
      </c>
      <c r="U11">
        <v>4</v>
      </c>
      <c r="V11">
        <v>166971</v>
      </c>
      <c r="W11">
        <v>4</v>
      </c>
      <c r="X11">
        <v>166971</v>
      </c>
      <c r="Y11" t="s">
        <v>16</v>
      </c>
      <c r="Z11" t="str">
        <f>LOOKUP(B11,{0,1083,124200,681950},{"1st","2nd","3rd","4th"})&amp;" Quartile"</f>
        <v>4th Quartile</v>
      </c>
    </row>
    <row r="12" spans="1:26">
      <c r="A12">
        <v>2019</v>
      </c>
      <c r="B12">
        <v>10600000</v>
      </c>
      <c r="C12" t="s">
        <v>550</v>
      </c>
      <c r="D12" t="s">
        <v>551</v>
      </c>
      <c r="E12">
        <v>39</v>
      </c>
      <c r="F12" t="s">
        <v>550</v>
      </c>
      <c r="G12">
        <v>56</v>
      </c>
      <c r="H12">
        <v>0.88800000000000001</v>
      </c>
      <c r="I12">
        <v>0.52200000000000002</v>
      </c>
      <c r="J12">
        <v>-8.9359999999999999</v>
      </c>
      <c r="K12">
        <v>1</v>
      </c>
      <c r="L12">
        <v>1</v>
      </c>
      <c r="M12">
        <v>0.43</v>
      </c>
      <c r="N12">
        <v>7.3899999999999999E-3</v>
      </c>
      <c r="O12">
        <v>0</v>
      </c>
      <c r="P12">
        <v>4.5199999999999997E-2</v>
      </c>
      <c r="Q12">
        <v>0.623</v>
      </c>
      <c r="R12">
        <v>144.011</v>
      </c>
      <c r="S12">
        <v>4</v>
      </c>
      <c r="T12">
        <v>123373</v>
      </c>
      <c r="U12">
        <v>4</v>
      </c>
      <c r="V12">
        <v>123373</v>
      </c>
      <c r="W12">
        <v>4</v>
      </c>
      <c r="X12">
        <v>123373</v>
      </c>
      <c r="Y12" t="s">
        <v>16</v>
      </c>
      <c r="Z12" t="str">
        <f>LOOKUP(B12,{0,1083,124200,681950},{"1st","2nd","3rd","4th"})&amp;" Quartile"</f>
        <v>4th Quartile</v>
      </c>
    </row>
    <row r="13" spans="1:26">
      <c r="A13">
        <v>2022</v>
      </c>
      <c r="B13">
        <v>9800000</v>
      </c>
      <c r="C13" t="s">
        <v>176</v>
      </c>
      <c r="D13" t="s">
        <v>175</v>
      </c>
      <c r="E13">
        <v>88</v>
      </c>
      <c r="F13" t="s">
        <v>174</v>
      </c>
      <c r="G13">
        <v>80</v>
      </c>
      <c r="H13">
        <v>0.78700000000000003</v>
      </c>
      <c r="I13">
        <v>0.67300000000000004</v>
      </c>
      <c r="J13">
        <v>-4.5830000000000002</v>
      </c>
      <c r="K13">
        <v>0</v>
      </c>
      <c r="L13">
        <v>11</v>
      </c>
      <c r="M13">
        <v>0.159</v>
      </c>
      <c r="N13">
        <v>0.26400000000000001</v>
      </c>
      <c r="O13">
        <v>3.3500000000000001E-6</v>
      </c>
      <c r="P13">
        <v>9.0399999999999994E-2</v>
      </c>
      <c r="Q13">
        <v>0.77900000000000003</v>
      </c>
      <c r="R13">
        <v>110.962</v>
      </c>
      <c r="S13">
        <v>4</v>
      </c>
      <c r="T13">
        <v>237893</v>
      </c>
      <c r="U13">
        <v>4</v>
      </c>
      <c r="V13">
        <v>237893</v>
      </c>
      <c r="W13">
        <v>4</v>
      </c>
      <c r="X13">
        <v>237893</v>
      </c>
      <c r="Y13" t="s">
        <v>16</v>
      </c>
      <c r="Z13" t="str">
        <f>LOOKUP(B13,{0,1083,124200,681950},{"1st","2nd","3rd","4th"})&amp;" Quartile"</f>
        <v>4th Quartile</v>
      </c>
    </row>
    <row r="14" spans="1:26">
      <c r="A14">
        <v>2019</v>
      </c>
      <c r="B14">
        <v>9800000</v>
      </c>
      <c r="C14" t="s">
        <v>176</v>
      </c>
      <c r="D14" t="s">
        <v>175</v>
      </c>
      <c r="E14">
        <v>88</v>
      </c>
      <c r="F14" t="s">
        <v>174</v>
      </c>
      <c r="G14">
        <v>80</v>
      </c>
      <c r="H14">
        <v>0.78700000000000003</v>
      </c>
      <c r="I14">
        <v>0.67300000000000004</v>
      </c>
      <c r="J14">
        <v>-4.5830000000000002</v>
      </c>
      <c r="K14">
        <v>0</v>
      </c>
      <c r="L14">
        <v>11</v>
      </c>
      <c r="M14">
        <v>0.159</v>
      </c>
      <c r="N14">
        <v>0.26400000000000001</v>
      </c>
      <c r="O14">
        <v>3.3500000000000001E-6</v>
      </c>
      <c r="P14">
        <v>9.0399999999999994E-2</v>
      </c>
      <c r="Q14">
        <v>0.77900000000000003</v>
      </c>
      <c r="R14">
        <v>110.962</v>
      </c>
      <c r="S14">
        <v>4</v>
      </c>
      <c r="T14">
        <v>237893</v>
      </c>
      <c r="U14">
        <v>4</v>
      </c>
      <c r="V14">
        <v>237893</v>
      </c>
      <c r="W14">
        <v>4</v>
      </c>
      <c r="X14">
        <v>237893</v>
      </c>
      <c r="Y14" t="s">
        <v>16</v>
      </c>
      <c r="Z14" t="str">
        <f>LOOKUP(B14,{0,1083,124200,681950},{"1st","2nd","3rd","4th"})&amp;" Quartile"</f>
        <v>4th Quartile</v>
      </c>
    </row>
    <row r="15" spans="1:26">
      <c r="A15">
        <v>2022</v>
      </c>
      <c r="B15">
        <v>9500000</v>
      </c>
      <c r="C15" t="s">
        <v>1838</v>
      </c>
      <c r="D15" t="s">
        <v>1839</v>
      </c>
      <c r="E15">
        <v>73</v>
      </c>
      <c r="F15" t="s">
        <v>1838</v>
      </c>
      <c r="G15">
        <v>44</v>
      </c>
      <c r="H15">
        <v>0.76800000000000002</v>
      </c>
      <c r="I15">
        <v>0.71599999999999997</v>
      </c>
      <c r="J15">
        <v>-5.1100000000000003</v>
      </c>
      <c r="K15">
        <v>1</v>
      </c>
      <c r="L15">
        <v>10</v>
      </c>
      <c r="M15">
        <v>4.0399999999999998E-2</v>
      </c>
      <c r="N15">
        <v>0.35</v>
      </c>
      <c r="O15">
        <v>0</v>
      </c>
      <c r="P15">
        <v>0.15</v>
      </c>
      <c r="Q15">
        <v>0.84099999999999997</v>
      </c>
      <c r="R15">
        <v>131.43</v>
      </c>
      <c r="S15">
        <v>4</v>
      </c>
      <c r="T15">
        <v>163026</v>
      </c>
      <c r="U15">
        <v>4</v>
      </c>
      <c r="V15">
        <v>163026</v>
      </c>
      <c r="W15">
        <v>4</v>
      </c>
      <c r="X15">
        <v>163026</v>
      </c>
      <c r="Y15" t="s">
        <v>16</v>
      </c>
      <c r="Z15" t="str">
        <f>LOOKUP(B15,{0,1083,124200,681950},{"1st","2nd","3rd","4th"})&amp;" Quartile"</f>
        <v>4th Quartile</v>
      </c>
    </row>
    <row r="16" spans="1:26">
      <c r="A16">
        <v>2022</v>
      </c>
      <c r="B16">
        <v>8400000</v>
      </c>
      <c r="C16" t="s">
        <v>1103</v>
      </c>
      <c r="D16" t="s">
        <v>1487</v>
      </c>
      <c r="E16">
        <v>78</v>
      </c>
      <c r="F16" t="s">
        <v>1486</v>
      </c>
      <c r="G16">
        <v>86</v>
      </c>
      <c r="H16">
        <v>0.71399999999999997</v>
      </c>
      <c r="I16">
        <v>0.8</v>
      </c>
      <c r="J16">
        <v>-4.8079999999999998</v>
      </c>
      <c r="K16">
        <v>0</v>
      </c>
      <c r="L16">
        <v>11</v>
      </c>
      <c r="M16">
        <v>5.04E-2</v>
      </c>
      <c r="N16">
        <v>0.127</v>
      </c>
      <c r="O16">
        <v>0</v>
      </c>
      <c r="P16">
        <v>0.35899999999999999</v>
      </c>
      <c r="Q16">
        <v>0.58899999999999997</v>
      </c>
      <c r="R16">
        <v>134.00200000000001</v>
      </c>
      <c r="S16">
        <v>4</v>
      </c>
      <c r="T16">
        <v>211560</v>
      </c>
      <c r="U16">
        <v>4</v>
      </c>
      <c r="V16">
        <v>211560</v>
      </c>
      <c r="W16">
        <v>4</v>
      </c>
      <c r="X16">
        <v>211560</v>
      </c>
      <c r="Y16" t="s">
        <v>16</v>
      </c>
      <c r="Z16" t="str">
        <f>LOOKUP(B16,{0,1083,124200,681950},{"1st","2nd","3rd","4th"})&amp;" Quartile"</f>
        <v>4th Quartile</v>
      </c>
    </row>
    <row r="17" spans="1:26">
      <c r="A17">
        <v>2021</v>
      </c>
      <c r="B17">
        <v>8400000</v>
      </c>
      <c r="C17" t="s">
        <v>1103</v>
      </c>
      <c r="D17" t="s">
        <v>1487</v>
      </c>
      <c r="E17">
        <v>78</v>
      </c>
      <c r="F17" t="s">
        <v>1486</v>
      </c>
      <c r="G17">
        <v>86</v>
      </c>
      <c r="H17">
        <v>0.71399999999999997</v>
      </c>
      <c r="I17">
        <v>0.8</v>
      </c>
      <c r="J17">
        <v>-4.8079999999999998</v>
      </c>
      <c r="K17">
        <v>0</v>
      </c>
      <c r="L17">
        <v>11</v>
      </c>
      <c r="M17">
        <v>5.04E-2</v>
      </c>
      <c r="N17">
        <v>0.127</v>
      </c>
      <c r="O17">
        <v>0</v>
      </c>
      <c r="P17">
        <v>0.35899999999999999</v>
      </c>
      <c r="Q17">
        <v>0.58899999999999997</v>
      </c>
      <c r="R17">
        <v>134.00200000000001</v>
      </c>
      <c r="S17">
        <v>4</v>
      </c>
      <c r="T17">
        <v>211560</v>
      </c>
      <c r="U17">
        <v>4</v>
      </c>
      <c r="V17">
        <v>211560</v>
      </c>
      <c r="W17">
        <v>4</v>
      </c>
      <c r="X17">
        <v>211560</v>
      </c>
      <c r="Y17" t="s">
        <v>16</v>
      </c>
      <c r="Z17" t="str">
        <f>LOOKUP(B17,{0,1083,124200,681950},{"1st","2nd","3rd","4th"})&amp;" Quartile"</f>
        <v>4th Quartile</v>
      </c>
    </row>
    <row r="18" spans="1:26">
      <c r="A18">
        <v>2022</v>
      </c>
      <c r="B18">
        <v>8300000</v>
      </c>
      <c r="C18" t="s">
        <v>956</v>
      </c>
      <c r="D18" t="s">
        <v>955</v>
      </c>
      <c r="E18">
        <v>65</v>
      </c>
      <c r="F18" t="s">
        <v>955</v>
      </c>
      <c r="G18">
        <v>77</v>
      </c>
      <c r="H18">
        <v>0.80200000000000005</v>
      </c>
      <c r="I18">
        <v>0.59099999999999997</v>
      </c>
      <c r="J18">
        <v>-4.8949999999999996</v>
      </c>
      <c r="K18">
        <v>1</v>
      </c>
      <c r="L18">
        <v>8</v>
      </c>
      <c r="M18">
        <v>0.22500000000000001</v>
      </c>
      <c r="N18">
        <v>1.04E-2</v>
      </c>
      <c r="O18">
        <v>0</v>
      </c>
      <c r="P18">
        <v>0.19600000000000001</v>
      </c>
      <c r="Q18">
        <v>0.309</v>
      </c>
      <c r="R18">
        <v>139.864</v>
      </c>
      <c r="S18">
        <v>4</v>
      </c>
      <c r="T18">
        <v>157712</v>
      </c>
      <c r="U18">
        <v>4</v>
      </c>
      <c r="V18">
        <v>157712</v>
      </c>
      <c r="W18">
        <v>4</v>
      </c>
      <c r="X18">
        <v>157712</v>
      </c>
      <c r="Y18" t="s">
        <v>16</v>
      </c>
      <c r="Z18" t="str">
        <f>LOOKUP(B18,{0,1083,124200,681950},{"1st","2nd","3rd","4th"})&amp;" Quartile"</f>
        <v>4th Quartile</v>
      </c>
    </row>
    <row r="19" spans="1:26">
      <c r="A19">
        <v>2020</v>
      </c>
      <c r="B19">
        <v>8300000</v>
      </c>
      <c r="C19" t="s">
        <v>956</v>
      </c>
      <c r="D19" t="s">
        <v>955</v>
      </c>
      <c r="E19">
        <v>65</v>
      </c>
      <c r="F19" t="s">
        <v>955</v>
      </c>
      <c r="G19">
        <v>77</v>
      </c>
      <c r="H19">
        <v>0.80200000000000005</v>
      </c>
      <c r="I19">
        <v>0.59099999999999997</v>
      </c>
      <c r="J19">
        <v>-4.8949999999999996</v>
      </c>
      <c r="K19">
        <v>1</v>
      </c>
      <c r="L19">
        <v>8</v>
      </c>
      <c r="M19">
        <v>0.22500000000000001</v>
      </c>
      <c r="N19">
        <v>1.04E-2</v>
      </c>
      <c r="O19">
        <v>0</v>
      </c>
      <c r="P19">
        <v>0.19600000000000001</v>
      </c>
      <c r="Q19">
        <v>0.309</v>
      </c>
      <c r="R19">
        <v>139.864</v>
      </c>
      <c r="S19">
        <v>4</v>
      </c>
      <c r="T19">
        <v>157712</v>
      </c>
      <c r="U19">
        <v>4</v>
      </c>
      <c r="V19">
        <v>157712</v>
      </c>
      <c r="W19">
        <v>4</v>
      </c>
      <c r="X19">
        <v>157712</v>
      </c>
      <c r="Y19" t="s">
        <v>16</v>
      </c>
      <c r="Z19" t="str">
        <f>LOOKUP(B19,{0,1083,124200,681950},{"1st","2nd","3rd","4th"})&amp;" Quartile"</f>
        <v>4th Quartile</v>
      </c>
    </row>
    <row r="20" spans="1:26">
      <c r="A20">
        <v>2021</v>
      </c>
      <c r="B20">
        <v>6800000</v>
      </c>
      <c r="C20" t="s">
        <v>1359</v>
      </c>
      <c r="D20" t="s">
        <v>1360</v>
      </c>
      <c r="E20">
        <v>81</v>
      </c>
      <c r="F20" t="s">
        <v>1359</v>
      </c>
      <c r="G20">
        <v>77</v>
      </c>
      <c r="H20">
        <v>0.69899999999999995</v>
      </c>
      <c r="I20">
        <v>0.52900000000000003</v>
      </c>
      <c r="J20">
        <v>-7.548</v>
      </c>
      <c r="K20">
        <v>1</v>
      </c>
      <c r="L20">
        <v>2</v>
      </c>
      <c r="M20">
        <v>4.87E-2</v>
      </c>
      <c r="N20">
        <v>3.1699999999999999E-2</v>
      </c>
      <c r="O20">
        <v>3.5899999999999998E-5</v>
      </c>
      <c r="P20">
        <v>0.28499999999999998</v>
      </c>
      <c r="Q20">
        <v>0.121</v>
      </c>
      <c r="R20">
        <v>119.98699999999999</v>
      </c>
      <c r="S20">
        <v>4</v>
      </c>
      <c r="T20">
        <v>206167</v>
      </c>
      <c r="U20">
        <v>4</v>
      </c>
      <c r="V20">
        <v>206167</v>
      </c>
      <c r="W20">
        <v>4</v>
      </c>
      <c r="X20">
        <v>206167</v>
      </c>
      <c r="Y20" t="s">
        <v>16</v>
      </c>
      <c r="Z20" t="str">
        <f>LOOKUP(B20,{0,1083,124200,681950},{"1st","2nd","3rd","4th"})&amp;" Quartile"</f>
        <v>4th Quartile</v>
      </c>
    </row>
    <row r="21" spans="1:26">
      <c r="A21">
        <v>2022</v>
      </c>
      <c r="B21">
        <v>6700000</v>
      </c>
      <c r="C21" t="s">
        <v>1767</v>
      </c>
      <c r="D21" t="s">
        <v>1768</v>
      </c>
      <c r="E21">
        <v>72</v>
      </c>
      <c r="F21" t="s">
        <v>1767</v>
      </c>
      <c r="G21">
        <v>82</v>
      </c>
      <c r="H21">
        <v>0.79200000000000004</v>
      </c>
      <c r="I21">
        <v>0.89500000000000002</v>
      </c>
      <c r="J21">
        <v>-3.1120000000000001</v>
      </c>
      <c r="K21">
        <v>0</v>
      </c>
      <c r="L21">
        <v>1</v>
      </c>
      <c r="M21">
        <v>5.8900000000000001E-2</v>
      </c>
      <c r="N21">
        <v>0.16500000000000001</v>
      </c>
      <c r="O21">
        <v>0</v>
      </c>
      <c r="P21">
        <v>5.0099999999999999E-2</v>
      </c>
      <c r="Q21">
        <v>0.79400000000000004</v>
      </c>
      <c r="R21">
        <v>94.968000000000004</v>
      </c>
      <c r="S21">
        <v>4</v>
      </c>
      <c r="T21">
        <v>201526</v>
      </c>
      <c r="U21">
        <v>4</v>
      </c>
      <c r="V21">
        <v>201526</v>
      </c>
      <c r="W21">
        <v>4</v>
      </c>
      <c r="X21">
        <v>201526</v>
      </c>
      <c r="Y21" t="s">
        <v>16</v>
      </c>
      <c r="Z21" t="str">
        <f>LOOKUP(B21,{0,1083,124200,681950},{"1st","2nd","3rd","4th"})&amp;" Quartile"</f>
        <v>4th Quartile</v>
      </c>
    </row>
    <row r="22" spans="1:26">
      <c r="A22">
        <v>2022</v>
      </c>
      <c r="B22">
        <v>6700000</v>
      </c>
      <c r="C22" t="s">
        <v>1079</v>
      </c>
      <c r="D22" t="s">
        <v>1080</v>
      </c>
      <c r="E22">
        <v>59</v>
      </c>
      <c r="F22" t="s">
        <v>1079</v>
      </c>
      <c r="G22">
        <v>71</v>
      </c>
      <c r="H22">
        <v>0.72799999999999998</v>
      </c>
      <c r="I22">
        <v>0.43099999999999999</v>
      </c>
      <c r="J22">
        <v>-9.9659999999999993</v>
      </c>
      <c r="K22">
        <v>0</v>
      </c>
      <c r="L22">
        <v>6</v>
      </c>
      <c r="M22">
        <v>6.2199999999999998E-2</v>
      </c>
      <c r="N22">
        <v>0.749</v>
      </c>
      <c r="O22">
        <v>0</v>
      </c>
      <c r="P22">
        <v>9.9599999999999994E-2</v>
      </c>
      <c r="Q22">
        <v>0.629</v>
      </c>
      <c r="R22">
        <v>130.02199999999999</v>
      </c>
      <c r="S22">
        <v>4</v>
      </c>
      <c r="T22">
        <v>147800</v>
      </c>
      <c r="U22">
        <v>4</v>
      </c>
      <c r="V22">
        <v>147800</v>
      </c>
      <c r="W22">
        <v>4</v>
      </c>
      <c r="X22">
        <v>147800</v>
      </c>
      <c r="Y22" t="s">
        <v>16</v>
      </c>
      <c r="Z22" t="str">
        <f>LOOKUP(B22,{0,1083,124200,681950},{"1st","2nd","3rd","4th"})&amp;" Quartile"</f>
        <v>4th Quartile</v>
      </c>
    </row>
    <row r="23" spans="1:26">
      <c r="A23">
        <v>2020</v>
      </c>
      <c r="B23">
        <v>6700000</v>
      </c>
      <c r="C23" t="s">
        <v>1079</v>
      </c>
      <c r="D23" t="s">
        <v>1080</v>
      </c>
      <c r="E23">
        <v>59</v>
      </c>
      <c r="F23" t="s">
        <v>1079</v>
      </c>
      <c r="G23">
        <v>71</v>
      </c>
      <c r="H23">
        <v>0.72799999999999998</v>
      </c>
      <c r="I23">
        <v>0.43099999999999999</v>
      </c>
      <c r="J23">
        <v>-9.9659999999999993</v>
      </c>
      <c r="K23">
        <v>0</v>
      </c>
      <c r="L23">
        <v>6</v>
      </c>
      <c r="M23">
        <v>6.2199999999999998E-2</v>
      </c>
      <c r="N23">
        <v>0.749</v>
      </c>
      <c r="O23">
        <v>0</v>
      </c>
      <c r="P23">
        <v>9.9599999999999994E-2</v>
      </c>
      <c r="Q23">
        <v>0.629</v>
      </c>
      <c r="R23">
        <v>130.02199999999999</v>
      </c>
      <c r="S23">
        <v>4</v>
      </c>
      <c r="T23">
        <v>147800</v>
      </c>
      <c r="U23">
        <v>4</v>
      </c>
      <c r="V23">
        <v>147800</v>
      </c>
      <c r="W23">
        <v>4</v>
      </c>
      <c r="X23">
        <v>147800</v>
      </c>
      <c r="Y23" t="s">
        <v>16</v>
      </c>
      <c r="Z23" t="str">
        <f>LOOKUP(B23,{0,1083,124200,681950},{"1st","2nd","3rd","4th"})&amp;" Quartile"</f>
        <v>4th Quartile</v>
      </c>
    </row>
    <row r="24" spans="1:26">
      <c r="A24">
        <v>2022</v>
      </c>
      <c r="B24">
        <v>6200000</v>
      </c>
      <c r="C24" t="s">
        <v>1451</v>
      </c>
      <c r="D24" t="s">
        <v>1452</v>
      </c>
      <c r="E24">
        <v>68</v>
      </c>
      <c r="F24" t="s">
        <v>1451</v>
      </c>
      <c r="G24">
        <v>79</v>
      </c>
      <c r="H24">
        <v>0.77800000000000002</v>
      </c>
      <c r="I24">
        <v>0.69499999999999995</v>
      </c>
      <c r="J24">
        <v>-6.8650000000000002</v>
      </c>
      <c r="K24">
        <v>0</v>
      </c>
      <c r="L24">
        <v>4</v>
      </c>
      <c r="M24">
        <v>9.1300000000000006E-2</v>
      </c>
      <c r="N24">
        <v>0.17499999999999999</v>
      </c>
      <c r="O24">
        <v>0</v>
      </c>
      <c r="P24">
        <v>0.15</v>
      </c>
      <c r="Q24">
        <v>0.47199999999999998</v>
      </c>
      <c r="R24">
        <v>149.99600000000001</v>
      </c>
      <c r="S24">
        <v>4</v>
      </c>
      <c r="T24">
        <v>132780</v>
      </c>
      <c r="U24">
        <v>4</v>
      </c>
      <c r="V24">
        <v>132780</v>
      </c>
      <c r="W24">
        <v>4</v>
      </c>
      <c r="X24">
        <v>132780</v>
      </c>
      <c r="Y24" t="s">
        <v>16</v>
      </c>
      <c r="Z24" t="str">
        <f>LOOKUP(B24,{0,1083,124200,681950},{"1st","2nd","3rd","4th"})&amp;" Quartile"</f>
        <v>4th Quartile</v>
      </c>
    </row>
    <row r="25" spans="1:26">
      <c r="A25">
        <v>2021</v>
      </c>
      <c r="B25">
        <v>6200000</v>
      </c>
      <c r="C25" t="s">
        <v>1451</v>
      </c>
      <c r="D25" t="s">
        <v>1452</v>
      </c>
      <c r="E25">
        <v>68</v>
      </c>
      <c r="F25" t="s">
        <v>1451</v>
      </c>
      <c r="G25">
        <v>79</v>
      </c>
      <c r="H25">
        <v>0.77800000000000002</v>
      </c>
      <c r="I25">
        <v>0.69499999999999995</v>
      </c>
      <c r="J25">
        <v>-6.8650000000000002</v>
      </c>
      <c r="K25">
        <v>0</v>
      </c>
      <c r="L25">
        <v>4</v>
      </c>
      <c r="M25">
        <v>9.1300000000000006E-2</v>
      </c>
      <c r="N25">
        <v>0.17499999999999999</v>
      </c>
      <c r="O25">
        <v>0</v>
      </c>
      <c r="P25">
        <v>0.15</v>
      </c>
      <c r="Q25">
        <v>0.47199999999999998</v>
      </c>
      <c r="R25">
        <v>149.99600000000001</v>
      </c>
      <c r="S25">
        <v>4</v>
      </c>
      <c r="T25">
        <v>132780</v>
      </c>
      <c r="U25">
        <v>4</v>
      </c>
      <c r="V25">
        <v>132780</v>
      </c>
      <c r="W25">
        <v>4</v>
      </c>
      <c r="X25">
        <v>132780</v>
      </c>
      <c r="Y25" t="s">
        <v>16</v>
      </c>
      <c r="Z25" t="str">
        <f>LOOKUP(B25,{0,1083,124200,681950},{"1st","2nd","3rd","4th"})&amp;" Quartile"</f>
        <v>4th Quartile</v>
      </c>
    </row>
    <row r="26" spans="1:26">
      <c r="A26">
        <v>2022</v>
      </c>
      <c r="B26">
        <v>6100000</v>
      </c>
      <c r="C26" t="s">
        <v>1739</v>
      </c>
      <c r="D26" t="s">
        <v>1740</v>
      </c>
      <c r="E26">
        <v>64</v>
      </c>
      <c r="F26" t="s">
        <v>1739</v>
      </c>
      <c r="G26">
        <v>81</v>
      </c>
      <c r="H26">
        <v>0.86399999999999999</v>
      </c>
      <c r="I26">
        <v>0.41199999999999998</v>
      </c>
      <c r="J26">
        <v>-5.8860000000000001</v>
      </c>
      <c r="K26">
        <v>1</v>
      </c>
      <c r="L26">
        <v>1</v>
      </c>
      <c r="M26">
        <v>0.27300000000000002</v>
      </c>
      <c r="N26">
        <v>0.45800000000000002</v>
      </c>
      <c r="O26">
        <v>8.7000000000000001E-4</v>
      </c>
      <c r="P26">
        <v>0.124</v>
      </c>
      <c r="Q26">
        <v>0.65400000000000003</v>
      </c>
      <c r="R26">
        <v>99.992000000000004</v>
      </c>
      <c r="S26">
        <v>4</v>
      </c>
      <c r="T26">
        <v>97209</v>
      </c>
      <c r="U26">
        <v>4</v>
      </c>
      <c r="V26">
        <v>97209</v>
      </c>
      <c r="W26">
        <v>4</v>
      </c>
      <c r="X26">
        <v>97209</v>
      </c>
      <c r="Y26" t="s">
        <v>16</v>
      </c>
      <c r="Z26" t="str">
        <f>LOOKUP(B26,{0,1083,124200,681950},{"1st","2nd","3rd","4th"})&amp;" Quartile"</f>
        <v>4th Quartile</v>
      </c>
    </row>
    <row r="27" spans="1:26">
      <c r="A27">
        <v>2022</v>
      </c>
      <c r="B27">
        <v>6100000</v>
      </c>
      <c r="C27" t="s">
        <v>1366</v>
      </c>
      <c r="D27" t="s">
        <v>1365</v>
      </c>
      <c r="E27">
        <v>83</v>
      </c>
      <c r="F27" t="s">
        <v>1364</v>
      </c>
      <c r="G27">
        <v>81</v>
      </c>
      <c r="H27">
        <v>0.70899999999999996</v>
      </c>
      <c r="I27">
        <v>0.54800000000000004</v>
      </c>
      <c r="J27">
        <v>-8.4930000000000003</v>
      </c>
      <c r="K27">
        <v>1</v>
      </c>
      <c r="L27">
        <v>10</v>
      </c>
      <c r="M27">
        <v>0.35299999999999998</v>
      </c>
      <c r="N27">
        <v>0.65</v>
      </c>
      <c r="O27">
        <v>1.59E-6</v>
      </c>
      <c r="P27">
        <v>0.13300000000000001</v>
      </c>
      <c r="Q27">
        <v>0.54300000000000004</v>
      </c>
      <c r="R27">
        <v>83.995000000000005</v>
      </c>
      <c r="S27">
        <v>4</v>
      </c>
      <c r="T27">
        <v>160000</v>
      </c>
      <c r="U27">
        <v>4</v>
      </c>
      <c r="V27">
        <v>160000</v>
      </c>
      <c r="W27">
        <v>4</v>
      </c>
      <c r="X27">
        <v>160000</v>
      </c>
      <c r="Y27" t="s">
        <v>16</v>
      </c>
      <c r="Z27" t="str">
        <f>LOOKUP(B27,{0,1083,124200,681950},{"1st","2nd","3rd","4th"})&amp;" Quartile"</f>
        <v>4th Quartile</v>
      </c>
    </row>
    <row r="28" spans="1:26">
      <c r="A28">
        <v>2021</v>
      </c>
      <c r="B28">
        <v>6100000</v>
      </c>
      <c r="C28" t="s">
        <v>1366</v>
      </c>
      <c r="D28" t="s">
        <v>1365</v>
      </c>
      <c r="E28">
        <v>83</v>
      </c>
      <c r="F28" t="s">
        <v>1364</v>
      </c>
      <c r="G28">
        <v>81</v>
      </c>
      <c r="H28">
        <v>0.70899999999999996</v>
      </c>
      <c r="I28">
        <v>0.54800000000000004</v>
      </c>
      <c r="J28">
        <v>-8.4930000000000003</v>
      </c>
      <c r="K28">
        <v>1</v>
      </c>
      <c r="L28">
        <v>10</v>
      </c>
      <c r="M28">
        <v>0.35299999999999998</v>
      </c>
      <c r="N28">
        <v>0.65</v>
      </c>
      <c r="O28">
        <v>1.59E-6</v>
      </c>
      <c r="P28">
        <v>0.13300000000000001</v>
      </c>
      <c r="Q28">
        <v>0.54300000000000004</v>
      </c>
      <c r="R28">
        <v>83.995000000000005</v>
      </c>
      <c r="S28">
        <v>4</v>
      </c>
      <c r="T28">
        <v>160000</v>
      </c>
      <c r="U28">
        <v>4</v>
      </c>
      <c r="V28">
        <v>160000</v>
      </c>
      <c r="W28">
        <v>4</v>
      </c>
      <c r="X28">
        <v>160000</v>
      </c>
      <c r="Y28" t="s">
        <v>16</v>
      </c>
      <c r="Z28" t="str">
        <f>LOOKUP(B28,{0,1083,124200,681950},{"1st","2nd","3rd","4th"})&amp;" Quartile"</f>
        <v>4th Quartile</v>
      </c>
    </row>
    <row r="29" spans="1:26">
      <c r="A29">
        <v>2022</v>
      </c>
      <c r="B29">
        <v>5900000</v>
      </c>
      <c r="C29" t="s">
        <v>1217</v>
      </c>
      <c r="D29" t="s">
        <v>1218</v>
      </c>
      <c r="E29">
        <v>64</v>
      </c>
      <c r="F29" t="s">
        <v>1217</v>
      </c>
      <c r="G29">
        <v>80</v>
      </c>
      <c r="H29">
        <v>0.87</v>
      </c>
      <c r="I29">
        <v>0.52300000000000002</v>
      </c>
      <c r="J29">
        <v>-8.0519999999999996</v>
      </c>
      <c r="K29">
        <v>0</v>
      </c>
      <c r="L29">
        <v>1</v>
      </c>
      <c r="M29">
        <v>6.0199999999999997E-2</v>
      </c>
      <c r="N29">
        <v>0.433</v>
      </c>
      <c r="O29">
        <v>2.0699999999999998E-5</v>
      </c>
      <c r="P29">
        <v>0.113</v>
      </c>
      <c r="Q29">
        <v>0.31900000000000001</v>
      </c>
      <c r="R29">
        <v>110.02</v>
      </c>
      <c r="S29">
        <v>4</v>
      </c>
      <c r="T29">
        <v>204764</v>
      </c>
      <c r="U29">
        <v>4</v>
      </c>
      <c r="V29">
        <v>204764</v>
      </c>
      <c r="W29">
        <v>4</v>
      </c>
      <c r="X29">
        <v>204764</v>
      </c>
      <c r="Y29" t="s">
        <v>16</v>
      </c>
      <c r="Z29" t="str">
        <f>LOOKUP(B29,{0,1083,124200,681950},{"1st","2nd","3rd","4th"})&amp;" Quartile"</f>
        <v>4th Quartile</v>
      </c>
    </row>
    <row r="30" spans="1:26">
      <c r="A30">
        <v>2021</v>
      </c>
      <c r="B30">
        <v>5900000</v>
      </c>
      <c r="C30" t="s">
        <v>1217</v>
      </c>
      <c r="D30" t="s">
        <v>1218</v>
      </c>
      <c r="E30">
        <v>64</v>
      </c>
      <c r="F30" t="s">
        <v>1217</v>
      </c>
      <c r="G30">
        <v>7</v>
      </c>
      <c r="H30">
        <v>0.85899999999999999</v>
      </c>
      <c r="I30">
        <v>0.52500000000000002</v>
      </c>
      <c r="J30">
        <v>-8.0510000000000002</v>
      </c>
      <c r="K30">
        <v>0</v>
      </c>
      <c r="L30">
        <v>1</v>
      </c>
      <c r="M30">
        <v>5.9200000000000003E-2</v>
      </c>
      <c r="N30">
        <v>0.434</v>
      </c>
      <c r="O30">
        <v>2.34E-5</v>
      </c>
      <c r="P30">
        <v>0.108</v>
      </c>
      <c r="Q30">
        <v>0.312</v>
      </c>
      <c r="R30">
        <v>110.066</v>
      </c>
      <c r="S30">
        <v>4</v>
      </c>
      <c r="T30">
        <v>204764</v>
      </c>
      <c r="U30">
        <v>4</v>
      </c>
      <c r="V30">
        <v>204764</v>
      </c>
      <c r="W30">
        <v>4</v>
      </c>
      <c r="X30">
        <v>204764</v>
      </c>
      <c r="Y30" t="s">
        <v>16</v>
      </c>
      <c r="Z30" t="str">
        <f>LOOKUP(B30,{0,1083,124200,681950},{"1st","2nd","3rd","4th"})&amp;" Quartile"</f>
        <v>4th Quartile</v>
      </c>
    </row>
    <row r="31" spans="1:26">
      <c r="A31">
        <v>2019</v>
      </c>
      <c r="B31">
        <v>5600000</v>
      </c>
      <c r="C31" t="s">
        <v>89</v>
      </c>
      <c r="D31" t="s">
        <v>88</v>
      </c>
      <c r="E31">
        <v>72</v>
      </c>
      <c r="F31" t="s">
        <v>87</v>
      </c>
      <c r="G31">
        <v>67</v>
      </c>
      <c r="H31">
        <v>0.745</v>
      </c>
      <c r="I31">
        <v>0.56100000000000005</v>
      </c>
      <c r="J31">
        <v>-5.5129999999999999</v>
      </c>
      <c r="K31">
        <v>0</v>
      </c>
      <c r="L31">
        <v>9</v>
      </c>
      <c r="M31">
        <v>7.1999999999999995E-2</v>
      </c>
      <c r="N31">
        <v>0.46500000000000002</v>
      </c>
      <c r="O31">
        <v>1.1200000000000001E-6</v>
      </c>
      <c r="P31">
        <v>3.3799999999999997E-2</v>
      </c>
      <c r="Q31">
        <v>0.90200000000000002</v>
      </c>
      <c r="R31">
        <v>195.91800000000001</v>
      </c>
      <c r="S31">
        <v>4</v>
      </c>
      <c r="T31">
        <v>167553</v>
      </c>
      <c r="U31">
        <v>4</v>
      </c>
      <c r="V31">
        <v>167553</v>
      </c>
      <c r="W31">
        <v>4</v>
      </c>
      <c r="X31">
        <v>167553</v>
      </c>
      <c r="Y31" t="s">
        <v>16</v>
      </c>
      <c r="Z31" t="str">
        <f>LOOKUP(B31,{0,1083,124200,681950},{"1st","2nd","3rd","4th"})&amp;" Quartile"</f>
        <v>4th Quartile</v>
      </c>
    </row>
    <row r="32" spans="1:26">
      <c r="A32">
        <v>2020</v>
      </c>
      <c r="B32">
        <v>5500000</v>
      </c>
      <c r="C32" t="s">
        <v>932</v>
      </c>
      <c r="D32" t="s">
        <v>933</v>
      </c>
      <c r="E32">
        <v>74</v>
      </c>
      <c r="F32" t="s">
        <v>932</v>
      </c>
      <c r="G32">
        <v>78</v>
      </c>
      <c r="H32">
        <v>0.59799999999999998</v>
      </c>
      <c r="I32">
        <v>0.52600000000000002</v>
      </c>
      <c r="J32">
        <v>-8.6590000000000007</v>
      </c>
      <c r="K32">
        <v>0</v>
      </c>
      <c r="L32">
        <v>10</v>
      </c>
      <c r="M32">
        <v>4.1500000000000002E-2</v>
      </c>
      <c r="N32">
        <v>0.129</v>
      </c>
      <c r="O32">
        <v>0</v>
      </c>
      <c r="P32">
        <v>0.14000000000000001</v>
      </c>
      <c r="Q32">
        <v>0.52900000000000003</v>
      </c>
      <c r="R32">
        <v>123.935</v>
      </c>
      <c r="S32">
        <v>4</v>
      </c>
      <c r="T32">
        <v>168387</v>
      </c>
      <c r="U32">
        <v>4</v>
      </c>
      <c r="V32">
        <v>168387</v>
      </c>
      <c r="W32">
        <v>4</v>
      </c>
      <c r="X32">
        <v>168387</v>
      </c>
      <c r="Y32" t="s">
        <v>16</v>
      </c>
      <c r="Z32" t="str">
        <f>LOOKUP(B32,{0,1083,124200,681950},{"1st","2nd","3rd","4th"})&amp;" Quartile"</f>
        <v>4th Quartile</v>
      </c>
    </row>
    <row r="33" spans="1:26">
      <c r="A33">
        <v>2019</v>
      </c>
      <c r="B33">
        <v>5400000</v>
      </c>
      <c r="C33" t="s">
        <v>167</v>
      </c>
      <c r="D33" t="s">
        <v>166</v>
      </c>
      <c r="E33">
        <v>82</v>
      </c>
      <c r="F33" t="s">
        <v>165</v>
      </c>
      <c r="G33">
        <v>73</v>
      </c>
      <c r="H33">
        <v>0.77500000000000002</v>
      </c>
      <c r="I33">
        <v>0.57299999999999995</v>
      </c>
      <c r="J33">
        <v>-4.9329999999999998</v>
      </c>
      <c r="K33">
        <v>1</v>
      </c>
      <c r="L33">
        <v>11</v>
      </c>
      <c r="M33">
        <v>5.8500000000000003E-2</v>
      </c>
      <c r="N33">
        <v>0.495</v>
      </c>
      <c r="O33">
        <v>0</v>
      </c>
      <c r="P33">
        <v>0.126</v>
      </c>
      <c r="Q33">
        <v>0.66700000000000004</v>
      </c>
      <c r="R33">
        <v>101.925</v>
      </c>
      <c r="S33">
        <v>4</v>
      </c>
      <c r="T33">
        <v>171806</v>
      </c>
      <c r="U33">
        <v>4</v>
      </c>
      <c r="V33">
        <v>171806</v>
      </c>
      <c r="W33">
        <v>4</v>
      </c>
      <c r="X33">
        <v>171806</v>
      </c>
      <c r="Y33" t="s">
        <v>16</v>
      </c>
      <c r="Z33" t="str">
        <f>LOOKUP(B33,{0,1083,124200,681950},{"1st","2nd","3rd","4th"})&amp;" Quartile"</f>
        <v>4th Quartile</v>
      </c>
    </row>
    <row r="34" spans="1:26">
      <c r="A34">
        <v>2022</v>
      </c>
      <c r="B34">
        <v>5300000</v>
      </c>
      <c r="C34" t="s">
        <v>1353</v>
      </c>
      <c r="D34" t="s">
        <v>1352</v>
      </c>
      <c r="E34">
        <v>70</v>
      </c>
      <c r="F34" t="s">
        <v>1351</v>
      </c>
      <c r="G34">
        <v>80</v>
      </c>
      <c r="H34">
        <v>0.7</v>
      </c>
      <c r="I34">
        <v>0.49</v>
      </c>
      <c r="J34">
        <v>-5.1870000000000003</v>
      </c>
      <c r="K34">
        <v>1</v>
      </c>
      <c r="L34">
        <v>0</v>
      </c>
      <c r="M34">
        <v>7.5999999999999998E-2</v>
      </c>
      <c r="N34">
        <v>0.186</v>
      </c>
      <c r="O34">
        <v>0</v>
      </c>
      <c r="P34">
        <v>0.11700000000000001</v>
      </c>
      <c r="Q34">
        <v>0.56899999999999995</v>
      </c>
      <c r="R34">
        <v>79.981999999999999</v>
      </c>
      <c r="S34">
        <v>4</v>
      </c>
      <c r="T34">
        <v>161803</v>
      </c>
      <c r="U34">
        <v>4</v>
      </c>
      <c r="V34">
        <v>161803</v>
      </c>
      <c r="W34">
        <v>4</v>
      </c>
      <c r="X34">
        <v>161803</v>
      </c>
      <c r="Y34" t="s">
        <v>16</v>
      </c>
      <c r="Z34" t="str">
        <f>LOOKUP(B34,{0,1083,124200,681950},{"1st","2nd","3rd","4th"})&amp;" Quartile"</f>
        <v>4th Quartile</v>
      </c>
    </row>
    <row r="35" spans="1:26">
      <c r="A35">
        <v>2021</v>
      </c>
      <c r="B35">
        <v>5300000</v>
      </c>
      <c r="C35" t="s">
        <v>1353</v>
      </c>
      <c r="D35" t="s">
        <v>1352</v>
      </c>
      <c r="E35">
        <v>70</v>
      </c>
      <c r="F35" t="s">
        <v>1351</v>
      </c>
      <c r="G35">
        <v>80</v>
      </c>
      <c r="H35">
        <v>0.7</v>
      </c>
      <c r="I35">
        <v>0.49</v>
      </c>
      <c r="J35">
        <v>-5.1870000000000003</v>
      </c>
      <c r="K35">
        <v>1</v>
      </c>
      <c r="L35">
        <v>0</v>
      </c>
      <c r="M35">
        <v>7.5999999999999998E-2</v>
      </c>
      <c r="N35">
        <v>0.186</v>
      </c>
      <c r="O35">
        <v>0</v>
      </c>
      <c r="P35">
        <v>0.11700000000000001</v>
      </c>
      <c r="Q35">
        <v>0.56899999999999995</v>
      </c>
      <c r="R35">
        <v>79.981999999999999</v>
      </c>
      <c r="S35">
        <v>4</v>
      </c>
      <c r="T35">
        <v>161803</v>
      </c>
      <c r="U35">
        <v>4</v>
      </c>
      <c r="V35">
        <v>161803</v>
      </c>
      <c r="W35">
        <v>4</v>
      </c>
      <c r="X35">
        <v>161803</v>
      </c>
      <c r="Y35" t="s">
        <v>16</v>
      </c>
      <c r="Z35" t="str">
        <f>LOOKUP(B35,{0,1083,124200,681950},{"1st","2nd","3rd","4th"})&amp;" Quartile"</f>
        <v>4th Quartile</v>
      </c>
    </row>
    <row r="36" spans="1:26">
      <c r="A36">
        <v>2022</v>
      </c>
      <c r="B36">
        <v>5200000</v>
      </c>
      <c r="C36" t="s">
        <v>1562</v>
      </c>
      <c r="D36" t="s">
        <v>1131</v>
      </c>
      <c r="E36">
        <v>67</v>
      </c>
      <c r="F36" t="s">
        <v>1561</v>
      </c>
      <c r="G36">
        <v>72</v>
      </c>
      <c r="H36">
        <v>0.86299999999999999</v>
      </c>
      <c r="I36">
        <v>0.63100000000000001</v>
      </c>
      <c r="J36">
        <v>-4.6890000000000001</v>
      </c>
      <c r="K36">
        <v>1</v>
      </c>
      <c r="L36">
        <v>7</v>
      </c>
      <c r="M36">
        <v>5.3400000000000003E-2</v>
      </c>
      <c r="N36">
        <v>0.30499999999999999</v>
      </c>
      <c r="O36">
        <v>3.04E-5</v>
      </c>
      <c r="P36">
        <v>0.123</v>
      </c>
      <c r="Q36">
        <v>0.81699999999999995</v>
      </c>
      <c r="R36">
        <v>128.977</v>
      </c>
      <c r="S36">
        <v>4</v>
      </c>
      <c r="T36">
        <v>223480</v>
      </c>
      <c r="U36">
        <v>4</v>
      </c>
      <c r="V36">
        <v>223480</v>
      </c>
      <c r="W36">
        <v>4</v>
      </c>
      <c r="X36">
        <v>223480</v>
      </c>
      <c r="Y36" t="s">
        <v>16</v>
      </c>
      <c r="Z36" t="str">
        <f>LOOKUP(B36,{0,1083,124200,681950},{"1st","2nd","3rd","4th"})&amp;" Quartile"</f>
        <v>4th Quartile</v>
      </c>
    </row>
    <row r="37" spans="1:26">
      <c r="A37">
        <v>2020</v>
      </c>
      <c r="B37">
        <v>5200000</v>
      </c>
      <c r="C37" t="s">
        <v>1146</v>
      </c>
      <c r="D37" t="s">
        <v>1131</v>
      </c>
      <c r="E37">
        <v>67</v>
      </c>
      <c r="F37" t="s">
        <v>1145</v>
      </c>
      <c r="G37">
        <v>63</v>
      </c>
      <c r="H37">
        <v>0.86199999999999999</v>
      </c>
      <c r="I37">
        <v>0.63100000000000001</v>
      </c>
      <c r="J37">
        <v>-4.7460000000000004</v>
      </c>
      <c r="K37">
        <v>1</v>
      </c>
      <c r="L37">
        <v>7</v>
      </c>
      <c r="M37">
        <v>5.1499999999999997E-2</v>
      </c>
      <c r="N37">
        <v>0.29099999999999998</v>
      </c>
      <c r="O37">
        <v>2.0900000000000001E-4</v>
      </c>
      <c r="P37">
        <v>0.123</v>
      </c>
      <c r="Q37">
        <v>0.84099999999999997</v>
      </c>
      <c r="R37">
        <v>128.97800000000001</v>
      </c>
      <c r="S37">
        <v>4</v>
      </c>
      <c r="T37">
        <v>223488</v>
      </c>
      <c r="U37">
        <v>4</v>
      </c>
      <c r="V37">
        <v>223488</v>
      </c>
      <c r="W37">
        <v>4</v>
      </c>
      <c r="X37">
        <v>223488</v>
      </c>
      <c r="Y37" t="s">
        <v>16</v>
      </c>
      <c r="Z37" t="str">
        <f>LOOKUP(B37,{0,1083,124200,681950},{"1st","2nd","3rd","4th"})&amp;" Quartile"</f>
        <v>4th Quartile</v>
      </c>
    </row>
    <row r="38" spans="1:26">
      <c r="A38">
        <v>2021</v>
      </c>
      <c r="B38">
        <v>5100000</v>
      </c>
      <c r="C38" t="s">
        <v>1446</v>
      </c>
      <c r="D38" t="s">
        <v>1447</v>
      </c>
      <c r="E38">
        <v>57</v>
      </c>
      <c r="F38" t="s">
        <v>1446</v>
      </c>
      <c r="G38">
        <v>1</v>
      </c>
      <c r="H38">
        <v>0.745</v>
      </c>
      <c r="I38">
        <v>0.74</v>
      </c>
      <c r="J38">
        <v>-6.5579999999999998</v>
      </c>
      <c r="K38">
        <v>1</v>
      </c>
      <c r="L38">
        <v>0</v>
      </c>
      <c r="M38">
        <v>9.7000000000000003E-2</v>
      </c>
      <c r="N38">
        <v>0.53</v>
      </c>
      <c r="O38">
        <v>7.3700000000000002E-5</v>
      </c>
      <c r="P38">
        <v>9.3600000000000003E-2</v>
      </c>
      <c r="Q38">
        <v>0.36</v>
      </c>
      <c r="R38">
        <v>97.734999999999999</v>
      </c>
      <c r="S38">
        <v>4</v>
      </c>
      <c r="T38">
        <v>80118</v>
      </c>
      <c r="U38">
        <v>4</v>
      </c>
      <c r="V38">
        <v>80118</v>
      </c>
      <c r="W38">
        <v>4</v>
      </c>
      <c r="X38">
        <v>80118</v>
      </c>
      <c r="Y38" t="s">
        <v>16</v>
      </c>
      <c r="Z38" t="str">
        <f>LOOKUP(B38,{0,1083,124200,681950},{"1st","2nd","3rd","4th"})&amp;" Quartile"</f>
        <v>4th Quartile</v>
      </c>
    </row>
    <row r="39" spans="1:26">
      <c r="A39">
        <v>2019</v>
      </c>
      <c r="B39">
        <v>4900000</v>
      </c>
      <c r="C39" t="s">
        <v>570</v>
      </c>
      <c r="D39" t="s">
        <v>569</v>
      </c>
      <c r="E39">
        <v>49</v>
      </c>
      <c r="F39" t="s">
        <v>568</v>
      </c>
      <c r="G39">
        <v>50</v>
      </c>
      <c r="H39">
        <v>0.80600000000000005</v>
      </c>
      <c r="I39">
        <v>0.44700000000000001</v>
      </c>
      <c r="J39">
        <v>-10.180999999999999</v>
      </c>
      <c r="K39">
        <v>1</v>
      </c>
      <c r="L39">
        <v>7</v>
      </c>
      <c r="M39">
        <v>4.6100000000000002E-2</v>
      </c>
      <c r="N39">
        <v>0.27</v>
      </c>
      <c r="O39">
        <v>3.7000000000000002E-6</v>
      </c>
      <c r="P39">
        <v>0.33500000000000002</v>
      </c>
      <c r="Q39">
        <v>0.91400000000000003</v>
      </c>
      <c r="R39">
        <v>77.033000000000001</v>
      </c>
      <c r="S39">
        <v>5</v>
      </c>
      <c r="T39">
        <v>127627</v>
      </c>
      <c r="U39">
        <v>5</v>
      </c>
      <c r="V39">
        <v>127627</v>
      </c>
      <c r="W39">
        <v>5</v>
      </c>
      <c r="X39">
        <v>127627</v>
      </c>
      <c r="Y39" t="s">
        <v>16</v>
      </c>
      <c r="Z39" t="str">
        <f>LOOKUP(B39,{0,1083,124200,681950},{"1st","2nd","3rd","4th"})&amp;" Quartile"</f>
        <v>4th Quartile</v>
      </c>
    </row>
    <row r="40" spans="1:26">
      <c r="A40">
        <v>2021</v>
      </c>
      <c r="B40">
        <v>4700000</v>
      </c>
      <c r="C40" t="s">
        <v>1216</v>
      </c>
      <c r="D40" t="s">
        <v>1215</v>
      </c>
      <c r="E40">
        <v>71</v>
      </c>
      <c r="F40" t="s">
        <v>1214</v>
      </c>
      <c r="G40">
        <v>86</v>
      </c>
      <c r="H40">
        <v>0.67100000000000004</v>
      </c>
      <c r="I40">
        <v>0.67300000000000004</v>
      </c>
      <c r="J40">
        <v>-6.9409999999999998</v>
      </c>
      <c r="K40">
        <v>0</v>
      </c>
      <c r="L40">
        <v>11</v>
      </c>
      <c r="M40">
        <v>4.4400000000000002E-2</v>
      </c>
      <c r="N40">
        <v>0.14799999999999999</v>
      </c>
      <c r="O40">
        <v>5.2899999999999998E-5</v>
      </c>
      <c r="P40">
        <v>0.30399999999999999</v>
      </c>
      <c r="Q40">
        <v>0.49399999999999999</v>
      </c>
      <c r="R40">
        <v>121.96299999999999</v>
      </c>
      <c r="S40">
        <v>4</v>
      </c>
      <c r="T40">
        <v>237720</v>
      </c>
      <c r="U40">
        <v>4</v>
      </c>
      <c r="V40">
        <v>237720</v>
      </c>
      <c r="W40">
        <v>4</v>
      </c>
      <c r="X40">
        <v>237720</v>
      </c>
      <c r="Y40" t="s">
        <v>16</v>
      </c>
      <c r="Z40" t="str">
        <f>LOOKUP(B40,{0,1083,124200,681950},{"1st","2nd","3rd","4th"})&amp;" Quartile"</f>
        <v>4th Quartile</v>
      </c>
    </row>
    <row r="41" spans="1:26">
      <c r="A41">
        <v>2021</v>
      </c>
      <c r="B41">
        <v>4500000</v>
      </c>
      <c r="C41" t="s">
        <v>1278</v>
      </c>
      <c r="D41" t="s">
        <v>1277</v>
      </c>
      <c r="E41">
        <v>60</v>
      </c>
      <c r="F41" t="s">
        <v>1276</v>
      </c>
      <c r="G41">
        <v>71</v>
      </c>
      <c r="H41">
        <v>0.745</v>
      </c>
      <c r="I41">
        <v>0.73899999999999999</v>
      </c>
      <c r="J41">
        <v>-4.5910000000000002</v>
      </c>
      <c r="K41">
        <v>1</v>
      </c>
      <c r="L41">
        <v>10</v>
      </c>
      <c r="M41">
        <v>3.27E-2</v>
      </c>
      <c r="N41">
        <v>0.40500000000000003</v>
      </c>
      <c r="O41">
        <v>1.83E-4</v>
      </c>
      <c r="P41">
        <v>0.127</v>
      </c>
      <c r="Q41">
        <v>0.55600000000000005</v>
      </c>
      <c r="R41">
        <v>99.912999999999997</v>
      </c>
      <c r="S41">
        <v>4</v>
      </c>
      <c r="T41">
        <v>214137</v>
      </c>
      <c r="U41">
        <v>4</v>
      </c>
      <c r="V41">
        <v>214137</v>
      </c>
      <c r="W41">
        <v>4</v>
      </c>
      <c r="X41">
        <v>214137</v>
      </c>
      <c r="Y41" t="s">
        <v>16</v>
      </c>
      <c r="Z41" t="str">
        <f>LOOKUP(B41,{0,1083,124200,681950},{"1st","2nd","3rd","4th"})&amp;" Quartile"</f>
        <v>4th Quartile</v>
      </c>
    </row>
    <row r="42" spans="1:26">
      <c r="A42">
        <v>2020</v>
      </c>
      <c r="B42">
        <v>4400000</v>
      </c>
      <c r="C42" t="s">
        <v>1101</v>
      </c>
      <c r="D42" t="s">
        <v>1100</v>
      </c>
      <c r="E42">
        <v>47</v>
      </c>
      <c r="F42" t="s">
        <v>1099</v>
      </c>
      <c r="G42">
        <v>56</v>
      </c>
      <c r="H42">
        <v>0.71799999999999997</v>
      </c>
      <c r="I42">
        <v>0.40300000000000002</v>
      </c>
      <c r="J42">
        <v>-11.064</v>
      </c>
      <c r="K42">
        <v>0</v>
      </c>
      <c r="L42">
        <v>2</v>
      </c>
      <c r="M42">
        <v>0.20499999999999999</v>
      </c>
      <c r="N42">
        <v>0.26300000000000001</v>
      </c>
      <c r="O42">
        <v>1.5600000000000001E-6</v>
      </c>
      <c r="P42">
        <v>0.22800000000000001</v>
      </c>
      <c r="Q42">
        <v>0.63600000000000001</v>
      </c>
      <c r="R42">
        <v>129.58199999999999</v>
      </c>
      <c r="S42">
        <v>4</v>
      </c>
      <c r="T42">
        <v>177856</v>
      </c>
      <c r="U42">
        <v>4</v>
      </c>
      <c r="V42">
        <v>177856</v>
      </c>
      <c r="W42">
        <v>4</v>
      </c>
      <c r="X42">
        <v>177856</v>
      </c>
      <c r="Y42" t="s">
        <v>16</v>
      </c>
      <c r="Z42" t="str">
        <f>LOOKUP(B42,{0,1083,124200,681950},{"1st","2nd","3rd","4th"})&amp;" Quartile"</f>
        <v>4th Quartile</v>
      </c>
    </row>
    <row r="43" spans="1:26">
      <c r="A43">
        <v>2022</v>
      </c>
      <c r="B43">
        <v>4200000</v>
      </c>
      <c r="C43" t="s">
        <v>1371</v>
      </c>
      <c r="D43" t="s">
        <v>1370</v>
      </c>
      <c r="E43">
        <v>70</v>
      </c>
      <c r="F43" t="s">
        <v>1369</v>
      </c>
      <c r="G43">
        <v>79</v>
      </c>
      <c r="H43">
        <v>0.83099999999999996</v>
      </c>
      <c r="I43">
        <v>0.55400000000000005</v>
      </c>
      <c r="J43">
        <v>-9.9979999999999993</v>
      </c>
      <c r="K43">
        <v>0</v>
      </c>
      <c r="L43">
        <v>1</v>
      </c>
      <c r="M43">
        <v>0.218</v>
      </c>
      <c r="N43">
        <v>0.161</v>
      </c>
      <c r="O43">
        <v>6.1199999999999997E-5</v>
      </c>
      <c r="P43">
        <v>0.152</v>
      </c>
      <c r="Q43">
        <v>0.39600000000000002</v>
      </c>
      <c r="R43">
        <v>140.02600000000001</v>
      </c>
      <c r="S43">
        <v>4</v>
      </c>
      <c r="T43">
        <v>168228</v>
      </c>
      <c r="U43">
        <v>4</v>
      </c>
      <c r="V43">
        <v>168228</v>
      </c>
      <c r="W43">
        <v>4</v>
      </c>
      <c r="X43">
        <v>168228</v>
      </c>
      <c r="Y43" t="s">
        <v>16</v>
      </c>
      <c r="Z43" t="str">
        <f>LOOKUP(B43,{0,1083,124200,681950},{"1st","2nd","3rd","4th"})&amp;" Quartile"</f>
        <v>4th Quartile</v>
      </c>
    </row>
    <row r="44" spans="1:26">
      <c r="A44">
        <v>2021</v>
      </c>
      <c r="B44">
        <v>4200000</v>
      </c>
      <c r="C44" t="s">
        <v>1371</v>
      </c>
      <c r="D44" t="s">
        <v>1370</v>
      </c>
      <c r="E44">
        <v>70</v>
      </c>
      <c r="F44" t="s">
        <v>1369</v>
      </c>
      <c r="G44">
        <v>77</v>
      </c>
      <c r="H44">
        <v>0.82599999999999996</v>
      </c>
      <c r="I44">
        <v>0.55300000000000005</v>
      </c>
      <c r="J44">
        <v>-10.121</v>
      </c>
      <c r="K44">
        <v>0</v>
      </c>
      <c r="L44">
        <v>1</v>
      </c>
      <c r="M44">
        <v>0.23400000000000001</v>
      </c>
      <c r="N44">
        <v>0.16300000000000001</v>
      </c>
      <c r="O44">
        <v>4.1199999999999999E-5</v>
      </c>
      <c r="P44">
        <v>0.13500000000000001</v>
      </c>
      <c r="Q44">
        <v>0.4</v>
      </c>
      <c r="R44">
        <v>140.03700000000001</v>
      </c>
      <c r="S44">
        <v>4</v>
      </c>
      <c r="T44">
        <v>168228</v>
      </c>
      <c r="U44">
        <v>4</v>
      </c>
      <c r="V44">
        <v>168228</v>
      </c>
      <c r="W44">
        <v>4</v>
      </c>
      <c r="X44">
        <v>168228</v>
      </c>
      <c r="Y44" t="s">
        <v>16</v>
      </c>
      <c r="Z44" t="str">
        <f>LOOKUP(B44,{0,1083,124200,681950},{"1st","2nd","3rd","4th"})&amp;" Quartile"</f>
        <v>4th Quartile</v>
      </c>
    </row>
    <row r="45" spans="1:26">
      <c r="A45">
        <v>2022</v>
      </c>
      <c r="B45">
        <v>4100000</v>
      </c>
      <c r="C45" t="s">
        <v>1312</v>
      </c>
      <c r="D45" t="s">
        <v>1311</v>
      </c>
      <c r="E45">
        <v>73</v>
      </c>
      <c r="F45" t="s">
        <v>1310</v>
      </c>
      <c r="G45">
        <v>84</v>
      </c>
      <c r="H45">
        <v>0.72699999999999998</v>
      </c>
      <c r="I45">
        <v>0.73899999999999999</v>
      </c>
      <c r="J45">
        <v>-3.8050000000000002</v>
      </c>
      <c r="K45">
        <v>1</v>
      </c>
      <c r="L45">
        <v>8</v>
      </c>
      <c r="M45">
        <v>4.1099999999999998E-2</v>
      </c>
      <c r="N45">
        <v>0.36499999999999999</v>
      </c>
      <c r="O45">
        <v>1.3699999999999999E-3</v>
      </c>
      <c r="P45">
        <v>0.161</v>
      </c>
      <c r="Q45">
        <v>0.53300000000000003</v>
      </c>
      <c r="R45">
        <v>93.004999999999995</v>
      </c>
      <c r="S45">
        <v>4</v>
      </c>
      <c r="T45">
        <v>145800</v>
      </c>
      <c r="U45">
        <v>4</v>
      </c>
      <c r="V45">
        <v>145800</v>
      </c>
      <c r="W45">
        <v>4</v>
      </c>
      <c r="X45">
        <v>145800</v>
      </c>
      <c r="Y45" t="s">
        <v>16</v>
      </c>
      <c r="Z45" t="str">
        <f>LOOKUP(B45,{0,1083,124200,681950},{"1st","2nd","3rd","4th"})&amp;" Quartile"</f>
        <v>4th Quartile</v>
      </c>
    </row>
    <row r="46" spans="1:26">
      <c r="A46">
        <v>2022</v>
      </c>
      <c r="B46">
        <v>4100000</v>
      </c>
      <c r="C46" t="s">
        <v>1087</v>
      </c>
      <c r="D46" t="s">
        <v>1088</v>
      </c>
      <c r="E46">
        <v>71</v>
      </c>
      <c r="F46" t="s">
        <v>1087</v>
      </c>
      <c r="G46">
        <v>82</v>
      </c>
      <c r="H46">
        <v>0.72599999999999998</v>
      </c>
      <c r="I46">
        <v>0.43099999999999999</v>
      </c>
      <c r="J46">
        <v>-8.7650000000000006</v>
      </c>
      <c r="K46">
        <v>0</v>
      </c>
      <c r="L46">
        <v>8</v>
      </c>
      <c r="M46">
        <v>0.13500000000000001</v>
      </c>
      <c r="N46">
        <v>0.73099999999999998</v>
      </c>
      <c r="O46">
        <v>0</v>
      </c>
      <c r="P46">
        <v>0.69599999999999995</v>
      </c>
      <c r="Q46">
        <v>0.34799999999999998</v>
      </c>
      <c r="R46">
        <v>144.02600000000001</v>
      </c>
      <c r="S46">
        <v>4</v>
      </c>
      <c r="T46">
        <v>173333</v>
      </c>
      <c r="U46">
        <v>4</v>
      </c>
      <c r="V46">
        <v>173333</v>
      </c>
      <c r="W46">
        <v>4</v>
      </c>
      <c r="X46">
        <v>173333</v>
      </c>
      <c r="Y46" t="s">
        <v>16</v>
      </c>
      <c r="Z46" t="str">
        <f>LOOKUP(B46,{0,1083,124200,681950},{"1st","2nd","3rd","4th"})&amp;" Quartile"</f>
        <v>4th Quartile</v>
      </c>
    </row>
    <row r="47" spans="1:26">
      <c r="A47">
        <v>2021</v>
      </c>
      <c r="B47">
        <v>4100000</v>
      </c>
      <c r="C47" t="s">
        <v>1312</v>
      </c>
      <c r="D47" t="s">
        <v>1311</v>
      </c>
      <c r="E47">
        <v>73</v>
      </c>
      <c r="F47" t="s">
        <v>1310</v>
      </c>
      <c r="G47">
        <v>84</v>
      </c>
      <c r="H47">
        <v>0.72699999999999998</v>
      </c>
      <c r="I47">
        <v>0.73899999999999999</v>
      </c>
      <c r="J47">
        <v>-3.8050000000000002</v>
      </c>
      <c r="K47">
        <v>1</v>
      </c>
      <c r="L47">
        <v>8</v>
      </c>
      <c r="M47">
        <v>4.1099999999999998E-2</v>
      </c>
      <c r="N47">
        <v>0.36499999999999999</v>
      </c>
      <c r="O47">
        <v>1.3699999999999999E-3</v>
      </c>
      <c r="P47">
        <v>0.161</v>
      </c>
      <c r="Q47">
        <v>0.53300000000000003</v>
      </c>
      <c r="R47">
        <v>93.004999999999995</v>
      </c>
      <c r="S47">
        <v>4</v>
      </c>
      <c r="T47">
        <v>145800</v>
      </c>
      <c r="U47">
        <v>4</v>
      </c>
      <c r="V47">
        <v>145800</v>
      </c>
      <c r="W47">
        <v>4</v>
      </c>
      <c r="X47">
        <v>145800</v>
      </c>
      <c r="Y47" t="s">
        <v>16</v>
      </c>
      <c r="Z47" t="str">
        <f>LOOKUP(B47,{0,1083,124200,681950},{"1st","2nd","3rd","4th"})&amp;" Quartile"</f>
        <v>4th Quartile</v>
      </c>
    </row>
    <row r="48" spans="1:26">
      <c r="A48">
        <v>2020</v>
      </c>
      <c r="B48">
        <v>4100000</v>
      </c>
      <c r="C48" t="s">
        <v>1087</v>
      </c>
      <c r="D48" t="s">
        <v>1088</v>
      </c>
      <c r="E48">
        <v>71</v>
      </c>
      <c r="F48" t="s">
        <v>1087</v>
      </c>
      <c r="G48">
        <v>82</v>
      </c>
      <c r="H48">
        <v>0.72599999999999998</v>
      </c>
      <c r="I48">
        <v>0.43099999999999999</v>
      </c>
      <c r="J48">
        <v>-8.7650000000000006</v>
      </c>
      <c r="K48">
        <v>0</v>
      </c>
      <c r="L48">
        <v>8</v>
      </c>
      <c r="M48">
        <v>0.13500000000000001</v>
      </c>
      <c r="N48">
        <v>0.73099999999999998</v>
      </c>
      <c r="O48">
        <v>0</v>
      </c>
      <c r="P48">
        <v>0.69599999999999995</v>
      </c>
      <c r="Q48">
        <v>0.34799999999999998</v>
      </c>
      <c r="R48">
        <v>144.02600000000001</v>
      </c>
      <c r="S48">
        <v>4</v>
      </c>
      <c r="T48">
        <v>173333</v>
      </c>
      <c r="U48">
        <v>4</v>
      </c>
      <c r="V48">
        <v>173333</v>
      </c>
      <c r="W48">
        <v>4</v>
      </c>
      <c r="X48">
        <v>173333</v>
      </c>
      <c r="Y48" t="s">
        <v>16</v>
      </c>
      <c r="Z48" t="str">
        <f>LOOKUP(B48,{0,1083,124200,681950},{"1st","2nd","3rd","4th"})&amp;" Quartile"</f>
        <v>4th Quartile</v>
      </c>
    </row>
    <row r="49" spans="1:26">
      <c r="A49">
        <v>2021</v>
      </c>
      <c r="B49">
        <v>3800000</v>
      </c>
      <c r="C49" t="s">
        <v>1230</v>
      </c>
      <c r="D49" t="s">
        <v>1231</v>
      </c>
      <c r="E49">
        <v>82</v>
      </c>
      <c r="F49" t="s">
        <v>1230</v>
      </c>
      <c r="G49">
        <v>69</v>
      </c>
      <c r="H49">
        <v>0.88600000000000001</v>
      </c>
      <c r="I49">
        <v>0.84</v>
      </c>
      <c r="J49">
        <v>-3.3860000000000001</v>
      </c>
      <c r="K49">
        <v>1</v>
      </c>
      <c r="L49">
        <v>2</v>
      </c>
      <c r="M49">
        <v>5.0200000000000002E-2</v>
      </c>
      <c r="N49">
        <v>1.6400000000000001E-2</v>
      </c>
      <c r="O49">
        <v>6.2199999999999998E-3</v>
      </c>
      <c r="P49">
        <v>0.32900000000000001</v>
      </c>
      <c r="Q49">
        <v>0.20300000000000001</v>
      </c>
      <c r="R49">
        <v>123.035</v>
      </c>
      <c r="S49">
        <v>4</v>
      </c>
      <c r="T49">
        <v>179512</v>
      </c>
      <c r="U49">
        <v>4</v>
      </c>
      <c r="V49">
        <v>179512</v>
      </c>
      <c r="W49">
        <v>4</v>
      </c>
      <c r="X49">
        <v>179512</v>
      </c>
      <c r="Y49" t="s">
        <v>16</v>
      </c>
      <c r="Z49" t="str">
        <f>LOOKUP(B49,{0,1083,124200,681950},{"1st","2nd","3rd","4th"})&amp;" Quartile"</f>
        <v>4th Quartile</v>
      </c>
    </row>
    <row r="50" spans="1:26">
      <c r="A50">
        <v>2020</v>
      </c>
      <c r="B50">
        <v>3800000</v>
      </c>
      <c r="C50" t="s">
        <v>245</v>
      </c>
      <c r="D50" t="s">
        <v>246</v>
      </c>
      <c r="E50">
        <v>78</v>
      </c>
      <c r="F50" t="s">
        <v>245</v>
      </c>
      <c r="G50">
        <v>2</v>
      </c>
      <c r="H50">
        <v>0.65100000000000002</v>
      </c>
      <c r="I50">
        <v>0.63100000000000001</v>
      </c>
      <c r="J50">
        <v>-5.7169999999999996</v>
      </c>
      <c r="K50">
        <v>0</v>
      </c>
      <c r="L50">
        <v>6</v>
      </c>
      <c r="M50">
        <v>8.9599999999999999E-2</v>
      </c>
      <c r="N50">
        <v>0.51900000000000002</v>
      </c>
      <c r="O50">
        <v>5.7899999999999998E-4</v>
      </c>
      <c r="P50">
        <v>0.16500000000000001</v>
      </c>
      <c r="Q50">
        <v>0.35</v>
      </c>
      <c r="R50">
        <v>127.994</v>
      </c>
      <c r="S50">
        <v>4</v>
      </c>
      <c r="T50">
        <v>154424</v>
      </c>
      <c r="U50">
        <v>4</v>
      </c>
      <c r="V50">
        <v>154424</v>
      </c>
      <c r="W50">
        <v>4</v>
      </c>
      <c r="X50">
        <v>154424</v>
      </c>
      <c r="Y50" t="s">
        <v>16</v>
      </c>
      <c r="Z50" t="str">
        <f>LOOKUP(B50,{0,1083,124200,681950},{"1st","2nd","3rd","4th"})&amp;" Quartile"</f>
        <v>4th Quartile</v>
      </c>
    </row>
    <row r="51" spans="1:26">
      <c r="A51">
        <v>2020</v>
      </c>
      <c r="B51">
        <v>3800000</v>
      </c>
      <c r="C51" t="s">
        <v>245</v>
      </c>
      <c r="D51" t="s">
        <v>246</v>
      </c>
      <c r="E51">
        <v>78</v>
      </c>
      <c r="F51" t="s">
        <v>867</v>
      </c>
      <c r="G51">
        <v>79</v>
      </c>
      <c r="H51">
        <v>0.65200000000000002</v>
      </c>
      <c r="I51">
        <v>0.63100000000000001</v>
      </c>
      <c r="J51">
        <v>-5.718</v>
      </c>
      <c r="K51">
        <v>0</v>
      </c>
      <c r="L51">
        <v>6</v>
      </c>
      <c r="M51">
        <v>8.9300000000000004E-2</v>
      </c>
      <c r="N51">
        <v>0.52400000000000002</v>
      </c>
      <c r="O51">
        <v>5.7899999999999998E-4</v>
      </c>
      <c r="P51">
        <v>0.16500000000000001</v>
      </c>
      <c r="Q51">
        <v>0.35</v>
      </c>
      <c r="R51">
        <v>127.998</v>
      </c>
      <c r="S51">
        <v>4</v>
      </c>
      <c r="T51">
        <v>154424</v>
      </c>
      <c r="U51">
        <v>4</v>
      </c>
      <c r="V51">
        <v>154424</v>
      </c>
      <c r="W51">
        <v>4</v>
      </c>
      <c r="X51">
        <v>154424</v>
      </c>
      <c r="Y51" t="s">
        <v>16</v>
      </c>
      <c r="Z51" t="str">
        <f>LOOKUP(B51,{0,1083,124200,681950},{"1st","2nd","3rd","4th"})&amp;" Quartile"</f>
        <v>4th Quartile</v>
      </c>
    </row>
    <row r="52" spans="1:26">
      <c r="A52">
        <v>2019</v>
      </c>
      <c r="B52">
        <v>3800000</v>
      </c>
      <c r="C52" t="s">
        <v>245</v>
      </c>
      <c r="D52" t="s">
        <v>246</v>
      </c>
      <c r="E52">
        <v>78</v>
      </c>
      <c r="F52" t="s">
        <v>245</v>
      </c>
      <c r="G52">
        <v>2</v>
      </c>
      <c r="H52">
        <v>0.65100000000000002</v>
      </c>
      <c r="I52">
        <v>0.63100000000000001</v>
      </c>
      <c r="J52">
        <v>-5.7169999999999996</v>
      </c>
      <c r="K52">
        <v>0</v>
      </c>
      <c r="L52">
        <v>6</v>
      </c>
      <c r="M52">
        <v>8.9599999999999999E-2</v>
      </c>
      <c r="N52">
        <v>0.51900000000000002</v>
      </c>
      <c r="O52">
        <v>5.7899999999999998E-4</v>
      </c>
      <c r="P52">
        <v>0.16500000000000001</v>
      </c>
      <c r="Q52">
        <v>0.35</v>
      </c>
      <c r="R52">
        <v>127.994</v>
      </c>
      <c r="S52">
        <v>4</v>
      </c>
      <c r="T52">
        <v>154424</v>
      </c>
      <c r="U52">
        <v>4</v>
      </c>
      <c r="V52">
        <v>154424</v>
      </c>
      <c r="W52">
        <v>4</v>
      </c>
      <c r="X52">
        <v>154424</v>
      </c>
      <c r="Y52" t="s">
        <v>16</v>
      </c>
      <c r="Z52" t="str">
        <f>LOOKUP(B52,{0,1083,124200,681950},{"1st","2nd","3rd","4th"})&amp;" Quartile"</f>
        <v>4th Quartile</v>
      </c>
    </row>
    <row r="53" spans="1:26">
      <c r="A53">
        <v>2020</v>
      </c>
      <c r="B53">
        <v>3600000</v>
      </c>
      <c r="C53" t="s">
        <v>1093</v>
      </c>
      <c r="D53" t="s">
        <v>158</v>
      </c>
      <c r="E53">
        <v>76</v>
      </c>
      <c r="F53" t="s">
        <v>157</v>
      </c>
      <c r="G53">
        <v>66</v>
      </c>
      <c r="H53">
        <v>0.71</v>
      </c>
      <c r="I53">
        <v>0.68</v>
      </c>
      <c r="J53">
        <v>-4.6760000000000002</v>
      </c>
      <c r="K53">
        <v>1</v>
      </c>
      <c r="L53">
        <v>1</v>
      </c>
      <c r="M53">
        <v>0.106</v>
      </c>
      <c r="N53">
        <v>7.7999999999999996E-3</v>
      </c>
      <c r="O53">
        <v>1.6500000000000001E-2</v>
      </c>
      <c r="P53">
        <v>4.9299999999999997E-2</v>
      </c>
      <c r="Q53">
        <v>0.57099999999999995</v>
      </c>
      <c r="R53">
        <v>129.971</v>
      </c>
      <c r="S53">
        <v>4</v>
      </c>
      <c r="T53">
        <v>194253</v>
      </c>
      <c r="U53">
        <v>4</v>
      </c>
      <c r="V53">
        <v>194253</v>
      </c>
      <c r="W53">
        <v>4</v>
      </c>
      <c r="X53">
        <v>194253</v>
      </c>
      <c r="Y53" t="s">
        <v>16</v>
      </c>
      <c r="Z53" t="str">
        <f>LOOKUP(B53,{0,1083,124200,681950},{"1st","2nd","3rd","4th"})&amp;" Quartile"</f>
        <v>4th Quartile</v>
      </c>
    </row>
    <row r="54" spans="1:26">
      <c r="A54">
        <v>2020</v>
      </c>
      <c r="B54">
        <v>3600000</v>
      </c>
      <c r="C54" t="s">
        <v>986</v>
      </c>
      <c r="D54" t="s">
        <v>987</v>
      </c>
      <c r="E54">
        <v>40</v>
      </c>
      <c r="F54" t="s">
        <v>986</v>
      </c>
      <c r="G54">
        <v>58</v>
      </c>
      <c r="H54">
        <v>0.89700000000000002</v>
      </c>
      <c r="I54">
        <v>0.51300000000000001</v>
      </c>
      <c r="J54">
        <v>-6.9729999999999999</v>
      </c>
      <c r="K54">
        <v>0</v>
      </c>
      <c r="L54">
        <v>10</v>
      </c>
      <c r="M54">
        <v>0.309</v>
      </c>
      <c r="N54">
        <v>0.57099999999999995</v>
      </c>
      <c r="O54">
        <v>0</v>
      </c>
      <c r="P54">
        <v>0.10100000000000001</v>
      </c>
      <c r="Q54">
        <v>0.69199999999999995</v>
      </c>
      <c r="R54">
        <v>139.935</v>
      </c>
      <c r="S54">
        <v>4</v>
      </c>
      <c r="T54">
        <v>137744</v>
      </c>
      <c r="U54">
        <v>4</v>
      </c>
      <c r="V54">
        <v>137744</v>
      </c>
      <c r="W54">
        <v>4</v>
      </c>
      <c r="X54">
        <v>137744</v>
      </c>
      <c r="Y54" t="s">
        <v>16</v>
      </c>
      <c r="Z54" t="str">
        <f>LOOKUP(B54,{0,1083,124200,681950},{"1st","2nd","3rd","4th"})&amp;" Quartile"</f>
        <v>4th Quartile</v>
      </c>
    </row>
    <row r="55" spans="1:26">
      <c r="A55">
        <v>2020</v>
      </c>
      <c r="B55">
        <v>3600000</v>
      </c>
      <c r="C55" t="s">
        <v>674</v>
      </c>
      <c r="D55" t="s">
        <v>673</v>
      </c>
      <c r="E55">
        <v>57</v>
      </c>
      <c r="F55" t="s">
        <v>672</v>
      </c>
      <c r="G55">
        <v>65</v>
      </c>
      <c r="H55">
        <v>0.63100000000000001</v>
      </c>
      <c r="I55">
        <v>0.69599999999999995</v>
      </c>
      <c r="J55">
        <v>-5.6310000000000002</v>
      </c>
      <c r="K55">
        <v>0</v>
      </c>
      <c r="L55">
        <v>0</v>
      </c>
      <c r="M55">
        <v>0.21099999999999999</v>
      </c>
      <c r="N55">
        <v>0.57799999999999996</v>
      </c>
      <c r="O55">
        <v>0</v>
      </c>
      <c r="P55">
        <v>7.8399999999999997E-2</v>
      </c>
      <c r="Q55">
        <v>0.92700000000000005</v>
      </c>
      <c r="R55">
        <v>173.53700000000001</v>
      </c>
      <c r="S55">
        <v>4</v>
      </c>
      <c r="T55">
        <v>192177</v>
      </c>
      <c r="U55">
        <v>4</v>
      </c>
      <c r="V55">
        <v>192177</v>
      </c>
      <c r="W55">
        <v>4</v>
      </c>
      <c r="X55">
        <v>192177</v>
      </c>
      <c r="Y55" t="s">
        <v>16</v>
      </c>
      <c r="Z55" t="str">
        <f>LOOKUP(B55,{0,1083,124200,681950},{"1st","2nd","3rd","4th"})&amp;" Quartile"</f>
        <v>4th Quartile</v>
      </c>
    </row>
    <row r="56" spans="1:26">
      <c r="A56">
        <v>2022</v>
      </c>
      <c r="B56">
        <v>3500000</v>
      </c>
      <c r="C56" t="s">
        <v>1617</v>
      </c>
      <c r="D56" t="s">
        <v>1618</v>
      </c>
      <c r="E56">
        <v>81</v>
      </c>
      <c r="F56" t="s">
        <v>1617</v>
      </c>
      <c r="G56">
        <v>80</v>
      </c>
      <c r="H56">
        <v>0.93500000000000005</v>
      </c>
      <c r="I56">
        <v>0.45400000000000001</v>
      </c>
      <c r="J56">
        <v>-7.5090000000000003</v>
      </c>
      <c r="K56">
        <v>1</v>
      </c>
      <c r="L56">
        <v>1</v>
      </c>
      <c r="M56">
        <v>0.375</v>
      </c>
      <c r="N56">
        <v>1.9400000000000001E-2</v>
      </c>
      <c r="O56">
        <v>0</v>
      </c>
      <c r="P56">
        <v>8.2400000000000001E-2</v>
      </c>
      <c r="Q56">
        <v>0.35699999999999998</v>
      </c>
      <c r="R56">
        <v>133.07300000000001</v>
      </c>
      <c r="S56">
        <v>4</v>
      </c>
      <c r="T56">
        <v>187541</v>
      </c>
      <c r="U56">
        <v>4</v>
      </c>
      <c r="V56">
        <v>187541</v>
      </c>
      <c r="W56">
        <v>4</v>
      </c>
      <c r="X56">
        <v>187541</v>
      </c>
      <c r="Y56" t="s">
        <v>16</v>
      </c>
      <c r="Z56" t="str">
        <f>LOOKUP(B56,{0,1083,124200,681950},{"1st","2nd","3rd","4th"})&amp;" Quartile"</f>
        <v>4th Quartile</v>
      </c>
    </row>
    <row r="57" spans="1:26">
      <c r="A57">
        <v>2021</v>
      </c>
      <c r="B57">
        <v>3500000</v>
      </c>
      <c r="C57" t="s">
        <v>1444</v>
      </c>
      <c r="D57" t="s">
        <v>1445</v>
      </c>
      <c r="E57">
        <v>70</v>
      </c>
      <c r="F57" t="s">
        <v>1444</v>
      </c>
      <c r="G57">
        <v>0</v>
      </c>
      <c r="H57">
        <v>0.84399999999999997</v>
      </c>
      <c r="I57">
        <v>0.42899999999999999</v>
      </c>
      <c r="J57">
        <v>-9.3079999999999998</v>
      </c>
      <c r="K57">
        <v>1</v>
      </c>
      <c r="L57">
        <v>2</v>
      </c>
      <c r="M57">
        <v>4.48E-2</v>
      </c>
      <c r="N57">
        <v>0.57399999999999995</v>
      </c>
      <c r="O57">
        <v>0</v>
      </c>
      <c r="P57">
        <v>9.4899999999999998E-2</v>
      </c>
      <c r="Q57">
        <v>0.76400000000000001</v>
      </c>
      <c r="R57">
        <v>119.989</v>
      </c>
      <c r="S57">
        <v>4</v>
      </c>
      <c r="T57">
        <v>196000</v>
      </c>
      <c r="U57">
        <v>4</v>
      </c>
      <c r="V57">
        <v>196000</v>
      </c>
      <c r="W57">
        <v>4</v>
      </c>
      <c r="X57">
        <v>196000</v>
      </c>
      <c r="Y57" t="s">
        <v>16</v>
      </c>
      <c r="Z57" t="str">
        <f>LOOKUP(B57,{0,1083,124200,681950},{"1st","2nd","3rd","4th"})&amp;" Quartile"</f>
        <v>4th Quartile</v>
      </c>
    </row>
    <row r="58" spans="1:26">
      <c r="A58">
        <v>2020</v>
      </c>
      <c r="B58">
        <v>3500000</v>
      </c>
      <c r="C58" t="s">
        <v>813</v>
      </c>
      <c r="D58" t="s">
        <v>812</v>
      </c>
      <c r="E58">
        <v>61</v>
      </c>
      <c r="F58" t="s">
        <v>811</v>
      </c>
      <c r="G58">
        <v>1</v>
      </c>
      <c r="H58">
        <v>0.64</v>
      </c>
      <c r="I58">
        <v>0.35499999999999998</v>
      </c>
      <c r="J58">
        <v>-10.599</v>
      </c>
      <c r="K58">
        <v>1</v>
      </c>
      <c r="L58">
        <v>5</v>
      </c>
      <c r="M58">
        <v>9.06E-2</v>
      </c>
      <c r="N58">
        <v>0.83</v>
      </c>
      <c r="O58">
        <v>9.3800000000000003E-4</v>
      </c>
      <c r="P58">
        <v>0.11</v>
      </c>
      <c r="Q58">
        <v>0.45100000000000001</v>
      </c>
      <c r="R58">
        <v>120.063</v>
      </c>
      <c r="S58">
        <v>4</v>
      </c>
      <c r="T58">
        <v>148640</v>
      </c>
      <c r="U58">
        <v>4</v>
      </c>
      <c r="V58">
        <v>148640</v>
      </c>
      <c r="W58">
        <v>4</v>
      </c>
      <c r="X58">
        <v>148640</v>
      </c>
      <c r="Y58" t="s">
        <v>16</v>
      </c>
      <c r="Z58" t="str">
        <f>LOOKUP(B58,{0,1083,124200,681950},{"1st","2nd","3rd","4th"})&amp;" Quartile"</f>
        <v>4th Quartile</v>
      </c>
    </row>
    <row r="59" spans="1:26">
      <c r="A59">
        <v>2022</v>
      </c>
      <c r="B59">
        <v>3300000</v>
      </c>
      <c r="C59" t="s">
        <v>1725</v>
      </c>
      <c r="D59" t="s">
        <v>1726</v>
      </c>
      <c r="E59">
        <v>52</v>
      </c>
      <c r="F59" t="s">
        <v>1725</v>
      </c>
      <c r="G59">
        <v>68</v>
      </c>
      <c r="H59">
        <v>0.80700000000000005</v>
      </c>
      <c r="I59">
        <v>0.89800000000000002</v>
      </c>
      <c r="J59">
        <v>-5.8369999999999997</v>
      </c>
      <c r="K59">
        <v>0</v>
      </c>
      <c r="L59">
        <v>6</v>
      </c>
      <c r="M59">
        <v>3.9300000000000002E-2</v>
      </c>
      <c r="N59">
        <v>0.188</v>
      </c>
      <c r="O59">
        <v>3.9500000000000001E-4</v>
      </c>
      <c r="P59">
        <v>8.2400000000000001E-2</v>
      </c>
      <c r="Q59">
        <v>0.74299999999999999</v>
      </c>
      <c r="R59">
        <v>112.998</v>
      </c>
      <c r="S59">
        <v>4</v>
      </c>
      <c r="T59">
        <v>227101</v>
      </c>
      <c r="U59">
        <v>4</v>
      </c>
      <c r="V59">
        <v>227101</v>
      </c>
      <c r="W59">
        <v>4</v>
      </c>
      <c r="X59">
        <v>227101</v>
      </c>
      <c r="Y59" t="s">
        <v>16</v>
      </c>
      <c r="Z59" t="str">
        <f>LOOKUP(B59,{0,1083,124200,681950},{"1st","2nd","3rd","4th"})&amp;" Quartile"</f>
        <v>4th Quartile</v>
      </c>
    </row>
    <row r="60" spans="1:26">
      <c r="A60">
        <v>2022</v>
      </c>
      <c r="B60">
        <v>3300000</v>
      </c>
      <c r="C60" t="s">
        <v>1705</v>
      </c>
      <c r="D60" t="s">
        <v>1706</v>
      </c>
      <c r="E60">
        <v>54</v>
      </c>
      <c r="F60" t="s">
        <v>1705</v>
      </c>
      <c r="G60">
        <v>0</v>
      </c>
      <c r="H60">
        <v>0.91800000000000004</v>
      </c>
      <c r="I60">
        <v>0.434</v>
      </c>
      <c r="J60">
        <v>-9.5410000000000004</v>
      </c>
      <c r="K60">
        <v>1</v>
      </c>
      <c r="L60">
        <v>9</v>
      </c>
      <c r="M60">
        <v>0.17299999999999999</v>
      </c>
      <c r="N60">
        <v>0.56899999999999995</v>
      </c>
      <c r="O60">
        <v>3.14E-6</v>
      </c>
      <c r="P60">
        <v>0.123</v>
      </c>
      <c r="Q60">
        <v>0.75</v>
      </c>
      <c r="R60">
        <v>109.997</v>
      </c>
      <c r="S60">
        <v>4</v>
      </c>
      <c r="T60">
        <v>188735</v>
      </c>
      <c r="U60">
        <v>4</v>
      </c>
      <c r="V60">
        <v>188735</v>
      </c>
      <c r="W60">
        <v>4</v>
      </c>
      <c r="X60">
        <v>188735</v>
      </c>
      <c r="Y60" t="s">
        <v>16</v>
      </c>
      <c r="Z60" t="str">
        <f>LOOKUP(B60,{0,1083,124200,681950},{"1st","2nd","3rd","4th"})&amp;" Quartile"</f>
        <v>4th Quartile</v>
      </c>
    </row>
    <row r="61" spans="1:26">
      <c r="A61">
        <v>2020</v>
      </c>
      <c r="B61">
        <v>3300000</v>
      </c>
      <c r="C61" t="s">
        <v>937</v>
      </c>
      <c r="D61" t="s">
        <v>938</v>
      </c>
      <c r="E61">
        <v>46</v>
      </c>
      <c r="F61" t="s">
        <v>937</v>
      </c>
      <c r="G61">
        <v>64</v>
      </c>
      <c r="H61">
        <v>0.71399999999999997</v>
      </c>
      <c r="I61">
        <v>0.84499999999999997</v>
      </c>
      <c r="J61">
        <v>-4.234</v>
      </c>
      <c r="K61">
        <v>0</v>
      </c>
      <c r="L61">
        <v>7</v>
      </c>
      <c r="M61">
        <v>8.5599999999999996E-2</v>
      </c>
      <c r="N61">
        <v>0.19900000000000001</v>
      </c>
      <c r="O61">
        <v>7.62E-3</v>
      </c>
      <c r="P61">
        <v>0.372</v>
      </c>
      <c r="Q61">
        <v>0.51</v>
      </c>
      <c r="R61">
        <v>75.984999999999999</v>
      </c>
      <c r="S61">
        <v>4</v>
      </c>
      <c r="T61">
        <v>229671</v>
      </c>
      <c r="U61">
        <v>4</v>
      </c>
      <c r="V61">
        <v>229671</v>
      </c>
      <c r="W61">
        <v>4</v>
      </c>
      <c r="X61">
        <v>229671</v>
      </c>
      <c r="Y61" t="s">
        <v>16</v>
      </c>
      <c r="Z61" t="str">
        <f>LOOKUP(B61,{0,1083,124200,681950},{"1st","2nd","3rd","4th"})&amp;" Quartile"</f>
        <v>4th Quartile</v>
      </c>
    </row>
    <row r="62" spans="1:26">
      <c r="A62">
        <v>2021</v>
      </c>
      <c r="B62">
        <v>3200000</v>
      </c>
      <c r="C62" t="s">
        <v>1390</v>
      </c>
      <c r="D62" t="s">
        <v>1389</v>
      </c>
      <c r="E62">
        <v>69</v>
      </c>
      <c r="F62" t="s">
        <v>1388</v>
      </c>
      <c r="G62">
        <v>74</v>
      </c>
      <c r="H62">
        <v>0.81299999999999994</v>
      </c>
      <c r="I62">
        <v>0.41499999999999998</v>
      </c>
      <c r="J62">
        <v>-5.9260000000000002</v>
      </c>
      <c r="K62">
        <v>1</v>
      </c>
      <c r="L62">
        <v>0</v>
      </c>
      <c r="M62">
        <v>3.49E-2</v>
      </c>
      <c r="N62">
        <v>0.77700000000000002</v>
      </c>
      <c r="O62">
        <v>0</v>
      </c>
      <c r="P62">
        <v>0.13100000000000001</v>
      </c>
      <c r="Q62">
        <v>0.66700000000000004</v>
      </c>
      <c r="R62">
        <v>91.921000000000006</v>
      </c>
      <c r="S62">
        <v>4</v>
      </c>
      <c r="T62">
        <v>170345</v>
      </c>
      <c r="U62">
        <v>4</v>
      </c>
      <c r="V62">
        <v>170345</v>
      </c>
      <c r="W62">
        <v>4</v>
      </c>
      <c r="X62">
        <v>170345</v>
      </c>
      <c r="Y62" t="s">
        <v>16</v>
      </c>
      <c r="Z62" t="str">
        <f>LOOKUP(B62,{0,1083,124200,681950},{"1st","2nd","3rd","4th"})&amp;" Quartile"</f>
        <v>4th Quartile</v>
      </c>
    </row>
    <row r="63" spans="1:26">
      <c r="A63">
        <v>2020</v>
      </c>
      <c r="B63">
        <v>3200000</v>
      </c>
      <c r="C63" t="s">
        <v>334</v>
      </c>
      <c r="D63" t="s">
        <v>175</v>
      </c>
      <c r="E63">
        <v>88</v>
      </c>
      <c r="F63" t="s">
        <v>333</v>
      </c>
      <c r="G63">
        <v>71</v>
      </c>
      <c r="H63">
        <v>0.68899999999999995</v>
      </c>
      <c r="I63">
        <v>0.51600000000000001</v>
      </c>
      <c r="J63">
        <v>-5.8570000000000002</v>
      </c>
      <c r="K63">
        <v>1</v>
      </c>
      <c r="L63">
        <v>8</v>
      </c>
      <c r="M63">
        <v>4.4400000000000002E-2</v>
      </c>
      <c r="N63">
        <v>0.51300000000000001</v>
      </c>
      <c r="O63">
        <v>0</v>
      </c>
      <c r="P63">
        <v>0.16300000000000001</v>
      </c>
      <c r="Q63">
        <v>0.20899999999999999</v>
      </c>
      <c r="R63">
        <v>124.876</v>
      </c>
      <c r="S63">
        <v>4</v>
      </c>
      <c r="T63">
        <v>190920</v>
      </c>
      <c r="U63">
        <v>4</v>
      </c>
      <c r="V63">
        <v>190920</v>
      </c>
      <c r="W63">
        <v>4</v>
      </c>
      <c r="X63">
        <v>190920</v>
      </c>
      <c r="Y63" t="s">
        <v>16</v>
      </c>
      <c r="Z63" t="str">
        <f>LOOKUP(B63,{0,1083,124200,681950},{"1st","2nd","3rd","4th"})&amp;" Quartile"</f>
        <v>4th Quartile</v>
      </c>
    </row>
    <row r="64" spans="1:26">
      <c r="A64">
        <v>2019</v>
      </c>
      <c r="B64">
        <v>3200000</v>
      </c>
      <c r="C64" t="s">
        <v>334</v>
      </c>
      <c r="D64" t="s">
        <v>175</v>
      </c>
      <c r="E64">
        <v>88</v>
      </c>
      <c r="F64" t="s">
        <v>333</v>
      </c>
      <c r="G64">
        <v>71</v>
      </c>
      <c r="H64">
        <v>0.68899999999999995</v>
      </c>
      <c r="I64">
        <v>0.51600000000000001</v>
      </c>
      <c r="J64">
        <v>-5.8570000000000002</v>
      </c>
      <c r="K64">
        <v>1</v>
      </c>
      <c r="L64">
        <v>8</v>
      </c>
      <c r="M64">
        <v>4.4400000000000002E-2</v>
      </c>
      <c r="N64">
        <v>0.51300000000000001</v>
      </c>
      <c r="O64">
        <v>0</v>
      </c>
      <c r="P64">
        <v>0.16300000000000001</v>
      </c>
      <c r="Q64">
        <v>0.20899999999999999</v>
      </c>
      <c r="R64">
        <v>124.876</v>
      </c>
      <c r="S64">
        <v>4</v>
      </c>
      <c r="T64">
        <v>190920</v>
      </c>
      <c r="U64">
        <v>4</v>
      </c>
      <c r="V64">
        <v>190920</v>
      </c>
      <c r="W64">
        <v>4</v>
      </c>
      <c r="X64">
        <v>190920</v>
      </c>
      <c r="Y64" t="s">
        <v>16</v>
      </c>
      <c r="Z64" t="str">
        <f>LOOKUP(B64,{0,1083,124200,681950},{"1st","2nd","3rd","4th"})&amp;" Quartile"</f>
        <v>4th Quartile</v>
      </c>
    </row>
    <row r="65" spans="1:26">
      <c r="A65">
        <v>2021</v>
      </c>
      <c r="B65">
        <v>3000000</v>
      </c>
      <c r="C65" t="s">
        <v>1428</v>
      </c>
      <c r="D65" t="s">
        <v>1427</v>
      </c>
      <c r="E65">
        <v>70</v>
      </c>
      <c r="F65" t="s">
        <v>1426</v>
      </c>
      <c r="G65">
        <v>70</v>
      </c>
      <c r="H65">
        <v>0.69</v>
      </c>
      <c r="I65">
        <v>0.752</v>
      </c>
      <c r="J65">
        <v>-11.47</v>
      </c>
      <c r="K65">
        <v>0</v>
      </c>
      <c r="L65">
        <v>6</v>
      </c>
      <c r="M65">
        <v>4.5499999999999999E-2</v>
      </c>
      <c r="N65">
        <v>0.46300000000000002</v>
      </c>
      <c r="O65">
        <v>1.0200000000000001E-3</v>
      </c>
      <c r="P65">
        <v>0.59499999999999997</v>
      </c>
      <c r="Q65">
        <v>0.97</v>
      </c>
      <c r="R65">
        <v>126.005</v>
      </c>
      <c r="S65">
        <v>4</v>
      </c>
      <c r="T65">
        <v>220667</v>
      </c>
      <c r="U65">
        <v>4</v>
      </c>
      <c r="V65">
        <v>220667</v>
      </c>
      <c r="W65">
        <v>4</v>
      </c>
      <c r="X65">
        <v>220667</v>
      </c>
      <c r="Y65" t="s">
        <v>16</v>
      </c>
      <c r="Z65" t="str">
        <f>LOOKUP(B65,{0,1083,124200,681950},{"1st","2nd","3rd","4th"})&amp;" Quartile"</f>
        <v>4th Quartile</v>
      </c>
    </row>
    <row r="66" spans="1:26">
      <c r="A66">
        <v>2022</v>
      </c>
      <c r="B66">
        <v>2900000</v>
      </c>
      <c r="C66" t="s">
        <v>1324</v>
      </c>
      <c r="D66" t="s">
        <v>1620</v>
      </c>
      <c r="E66">
        <v>54</v>
      </c>
      <c r="F66" t="s">
        <v>1324</v>
      </c>
      <c r="G66">
        <v>58</v>
      </c>
      <c r="H66">
        <v>0.69099999999999995</v>
      </c>
      <c r="I66">
        <v>0.82299999999999995</v>
      </c>
      <c r="J66">
        <v>-4.9740000000000002</v>
      </c>
      <c r="K66">
        <v>1</v>
      </c>
      <c r="L66">
        <v>7</v>
      </c>
      <c r="M66">
        <v>6.2600000000000003E-2</v>
      </c>
      <c r="N66">
        <v>2.35E-2</v>
      </c>
      <c r="O66">
        <v>0</v>
      </c>
      <c r="P66">
        <v>7.8100000000000003E-2</v>
      </c>
      <c r="Q66">
        <v>0.14899999999999999</v>
      </c>
      <c r="R66">
        <v>125.973</v>
      </c>
      <c r="S66">
        <v>4</v>
      </c>
      <c r="T66">
        <v>134330</v>
      </c>
      <c r="U66">
        <v>4</v>
      </c>
      <c r="V66">
        <v>134330</v>
      </c>
      <c r="W66">
        <v>4</v>
      </c>
      <c r="X66">
        <v>134330</v>
      </c>
      <c r="Y66" t="s">
        <v>16</v>
      </c>
      <c r="Z66" t="str">
        <f>LOOKUP(B66,{0,1083,124200,681950},{"1st","2nd","3rd","4th"})&amp;" Quartile"</f>
        <v>4th Quartile</v>
      </c>
    </row>
    <row r="67" spans="1:26">
      <c r="A67">
        <v>2022</v>
      </c>
      <c r="B67">
        <v>2900000</v>
      </c>
      <c r="C67" t="s">
        <v>871</v>
      </c>
      <c r="D67" t="s">
        <v>662</v>
      </c>
      <c r="E67">
        <v>95</v>
      </c>
      <c r="F67" t="s">
        <v>1560</v>
      </c>
      <c r="G67">
        <v>69</v>
      </c>
      <c r="H67">
        <v>0.83</v>
      </c>
      <c r="I67">
        <v>0.49</v>
      </c>
      <c r="J67">
        <v>-8.82</v>
      </c>
      <c r="K67">
        <v>0</v>
      </c>
      <c r="L67">
        <v>1</v>
      </c>
      <c r="M67">
        <v>0.20899999999999999</v>
      </c>
      <c r="N67">
        <v>0.28899999999999998</v>
      </c>
      <c r="O67">
        <v>3.0400000000000001E-6</v>
      </c>
      <c r="P67">
        <v>0.113</v>
      </c>
      <c r="Q67">
        <v>0.84499999999999997</v>
      </c>
      <c r="R67">
        <v>81.603999999999999</v>
      </c>
      <c r="S67">
        <v>4</v>
      </c>
      <c r="T67">
        <v>247059</v>
      </c>
      <c r="U67">
        <v>4</v>
      </c>
      <c r="V67">
        <v>247059</v>
      </c>
      <c r="W67">
        <v>4</v>
      </c>
      <c r="X67">
        <v>247059</v>
      </c>
      <c r="Y67" t="s">
        <v>16</v>
      </c>
      <c r="Z67" t="str">
        <f>LOOKUP(B67,{0,1083,124200,681950},{"1st","2nd","3rd","4th"})&amp;" Quartile"</f>
        <v>4th Quartile</v>
      </c>
    </row>
    <row r="68" spans="1:26">
      <c r="A68">
        <v>2021</v>
      </c>
      <c r="B68">
        <v>2900000</v>
      </c>
      <c r="C68" t="s">
        <v>1324</v>
      </c>
      <c r="D68" t="s">
        <v>1325</v>
      </c>
      <c r="E68">
        <v>84</v>
      </c>
      <c r="F68" t="s">
        <v>1324</v>
      </c>
      <c r="G68">
        <v>87</v>
      </c>
      <c r="H68">
        <v>0.76200000000000001</v>
      </c>
      <c r="I68">
        <v>0.76600000000000001</v>
      </c>
      <c r="J68">
        <v>-3.9550000000000001</v>
      </c>
      <c r="K68">
        <v>1</v>
      </c>
      <c r="L68">
        <v>7</v>
      </c>
      <c r="M68">
        <v>3.4299999999999997E-2</v>
      </c>
      <c r="N68">
        <v>7.7600000000000004E-3</v>
      </c>
      <c r="O68">
        <v>6.9800000000000003E-5</v>
      </c>
      <c r="P68">
        <v>0.128</v>
      </c>
      <c r="Q68">
        <v>0.442</v>
      </c>
      <c r="R68">
        <v>130.001</v>
      </c>
      <c r="S68">
        <v>4</v>
      </c>
      <c r="T68">
        <v>287120</v>
      </c>
      <c r="U68">
        <v>4</v>
      </c>
      <c r="V68">
        <v>287120</v>
      </c>
      <c r="W68">
        <v>4</v>
      </c>
      <c r="X68">
        <v>287120</v>
      </c>
      <c r="Y68" t="s">
        <v>16</v>
      </c>
      <c r="Z68" t="str">
        <f>LOOKUP(B68,{0,1083,124200,681950},{"1st","2nd","3rd","4th"})&amp;" Quartile"</f>
        <v>4th Quartile</v>
      </c>
    </row>
    <row r="69" spans="1:26">
      <c r="A69">
        <v>2020</v>
      </c>
      <c r="B69">
        <v>2900000</v>
      </c>
      <c r="C69" t="s">
        <v>871</v>
      </c>
      <c r="D69" t="s">
        <v>662</v>
      </c>
      <c r="E69">
        <v>95</v>
      </c>
      <c r="F69" t="s">
        <v>871</v>
      </c>
      <c r="G69">
        <v>73</v>
      </c>
      <c r="H69">
        <v>0.83399999999999996</v>
      </c>
      <c r="I69">
        <v>0.45400000000000001</v>
      </c>
      <c r="J69">
        <v>-9.75</v>
      </c>
      <c r="K69">
        <v>0</v>
      </c>
      <c r="L69">
        <v>1</v>
      </c>
      <c r="M69">
        <v>0.20100000000000001</v>
      </c>
      <c r="N69">
        <v>0.32100000000000001</v>
      </c>
      <c r="O69">
        <v>6.1500000000000004E-6</v>
      </c>
      <c r="P69">
        <v>0.114</v>
      </c>
      <c r="Q69">
        <v>0.83699999999999997</v>
      </c>
      <c r="R69">
        <v>81.617999999999995</v>
      </c>
      <c r="S69">
        <v>4</v>
      </c>
      <c r="T69">
        <v>247059</v>
      </c>
      <c r="U69">
        <v>4</v>
      </c>
      <c r="V69">
        <v>247059</v>
      </c>
      <c r="W69">
        <v>4</v>
      </c>
      <c r="X69">
        <v>247059</v>
      </c>
      <c r="Y69" t="s">
        <v>16</v>
      </c>
      <c r="Z69" t="str">
        <f>LOOKUP(B69,{0,1083,124200,681950},{"1st","2nd","3rd","4th"})&amp;" Quartile"</f>
        <v>4th Quartile</v>
      </c>
    </row>
    <row r="70" spans="1:26">
      <c r="A70">
        <v>2022</v>
      </c>
      <c r="B70">
        <v>2800000</v>
      </c>
      <c r="C70" t="s">
        <v>1098</v>
      </c>
      <c r="D70" t="s">
        <v>1097</v>
      </c>
      <c r="E70">
        <v>78</v>
      </c>
      <c r="F70" t="s">
        <v>1096</v>
      </c>
      <c r="G70">
        <v>78</v>
      </c>
      <c r="H70">
        <v>0.68</v>
      </c>
      <c r="I70">
        <v>0.72899999999999998</v>
      </c>
      <c r="J70">
        <v>-5.077</v>
      </c>
      <c r="K70">
        <v>1</v>
      </c>
      <c r="L70">
        <v>5</v>
      </c>
      <c r="M70">
        <v>4.7500000000000001E-2</v>
      </c>
      <c r="N70">
        <v>0.61199999999999999</v>
      </c>
      <c r="O70">
        <v>0</v>
      </c>
      <c r="P70">
        <v>0.224</v>
      </c>
      <c r="Q70">
        <v>0.44600000000000001</v>
      </c>
      <c r="R70">
        <v>123.97</v>
      </c>
      <c r="S70">
        <v>4</v>
      </c>
      <c r="T70">
        <v>179867</v>
      </c>
      <c r="U70">
        <v>4</v>
      </c>
      <c r="V70">
        <v>179867</v>
      </c>
      <c r="W70">
        <v>4</v>
      </c>
      <c r="X70">
        <v>179867</v>
      </c>
      <c r="Y70" t="s">
        <v>16</v>
      </c>
      <c r="Z70" t="str">
        <f>LOOKUP(B70,{0,1083,124200,681950},{"1st","2nd","3rd","4th"})&amp;" Quartile"</f>
        <v>4th Quartile</v>
      </c>
    </row>
    <row r="71" spans="1:26">
      <c r="A71">
        <v>2022</v>
      </c>
      <c r="B71">
        <v>2800000</v>
      </c>
      <c r="C71" t="s">
        <v>763</v>
      </c>
      <c r="D71" t="s">
        <v>391</v>
      </c>
      <c r="E71">
        <v>73</v>
      </c>
      <c r="F71" t="s">
        <v>763</v>
      </c>
      <c r="G71">
        <v>67</v>
      </c>
      <c r="H71">
        <v>0.95399999999999996</v>
      </c>
      <c r="I71">
        <v>0.69599999999999995</v>
      </c>
      <c r="J71">
        <v>-7.117</v>
      </c>
      <c r="K71">
        <v>0</v>
      </c>
      <c r="L71">
        <v>10</v>
      </c>
      <c r="M71">
        <v>0.20399999999999999</v>
      </c>
      <c r="N71">
        <v>5.7600000000000004E-3</v>
      </c>
      <c r="O71">
        <v>4.9799999999999996E-4</v>
      </c>
      <c r="P71">
        <v>7.5399999999999995E-2</v>
      </c>
      <c r="Q71">
        <v>0.432</v>
      </c>
      <c r="R71">
        <v>100.036</v>
      </c>
      <c r="S71">
        <v>4</v>
      </c>
      <c r="T71">
        <v>139413</v>
      </c>
      <c r="U71">
        <v>4</v>
      </c>
      <c r="V71">
        <v>139413</v>
      </c>
      <c r="W71">
        <v>4</v>
      </c>
      <c r="X71">
        <v>139413</v>
      </c>
      <c r="Y71" t="s">
        <v>16</v>
      </c>
      <c r="Z71" t="str">
        <f>LOOKUP(B71,{0,1083,124200,681950},{"1st","2nd","3rd","4th"})&amp;" Quartile"</f>
        <v>4th Quartile</v>
      </c>
    </row>
    <row r="72" spans="1:26">
      <c r="A72">
        <v>2021</v>
      </c>
      <c r="B72">
        <v>2800000</v>
      </c>
      <c r="C72" t="s">
        <v>1098</v>
      </c>
      <c r="D72" t="s">
        <v>1097</v>
      </c>
      <c r="E72">
        <v>78</v>
      </c>
      <c r="F72" t="s">
        <v>1096</v>
      </c>
      <c r="G72">
        <v>78</v>
      </c>
      <c r="H72">
        <v>0.68</v>
      </c>
      <c r="I72">
        <v>0.72899999999999998</v>
      </c>
      <c r="J72">
        <v>-5.077</v>
      </c>
      <c r="K72">
        <v>1</v>
      </c>
      <c r="L72">
        <v>5</v>
      </c>
      <c r="M72">
        <v>4.7500000000000001E-2</v>
      </c>
      <c r="N72">
        <v>0.61199999999999999</v>
      </c>
      <c r="O72">
        <v>0</v>
      </c>
      <c r="P72">
        <v>0.224</v>
      </c>
      <c r="Q72">
        <v>0.44600000000000001</v>
      </c>
      <c r="R72">
        <v>123.97</v>
      </c>
      <c r="S72">
        <v>4</v>
      </c>
      <c r="T72">
        <v>179867</v>
      </c>
      <c r="U72">
        <v>4</v>
      </c>
      <c r="V72">
        <v>179867</v>
      </c>
      <c r="W72">
        <v>4</v>
      </c>
      <c r="X72">
        <v>179867</v>
      </c>
      <c r="Y72" t="s">
        <v>16</v>
      </c>
      <c r="Z72" t="str">
        <f>LOOKUP(B72,{0,1083,124200,681950},{"1st","2nd","3rd","4th"})&amp;" Quartile"</f>
        <v>4th Quartile</v>
      </c>
    </row>
    <row r="73" spans="1:26">
      <c r="A73">
        <v>2020</v>
      </c>
      <c r="B73">
        <v>2800000</v>
      </c>
      <c r="C73" t="s">
        <v>1098</v>
      </c>
      <c r="D73" t="s">
        <v>1097</v>
      </c>
      <c r="E73">
        <v>78</v>
      </c>
      <c r="F73" t="s">
        <v>1096</v>
      </c>
      <c r="G73">
        <v>78</v>
      </c>
      <c r="H73">
        <v>0.68</v>
      </c>
      <c r="I73">
        <v>0.72899999999999998</v>
      </c>
      <c r="J73">
        <v>-5.077</v>
      </c>
      <c r="K73">
        <v>1</v>
      </c>
      <c r="L73">
        <v>5</v>
      </c>
      <c r="M73">
        <v>4.7500000000000001E-2</v>
      </c>
      <c r="N73">
        <v>0.61199999999999999</v>
      </c>
      <c r="O73">
        <v>0</v>
      </c>
      <c r="P73">
        <v>0.224</v>
      </c>
      <c r="Q73">
        <v>0.44600000000000001</v>
      </c>
      <c r="R73">
        <v>123.97</v>
      </c>
      <c r="S73">
        <v>4</v>
      </c>
      <c r="T73">
        <v>179867</v>
      </c>
      <c r="U73">
        <v>4</v>
      </c>
      <c r="V73">
        <v>179867</v>
      </c>
      <c r="W73">
        <v>4</v>
      </c>
      <c r="X73">
        <v>179867</v>
      </c>
      <c r="Y73" t="s">
        <v>16</v>
      </c>
      <c r="Z73" t="str">
        <f>LOOKUP(B73,{0,1083,124200,681950},{"1st","2nd","3rd","4th"})&amp;" Quartile"</f>
        <v>4th Quartile</v>
      </c>
    </row>
    <row r="74" spans="1:26">
      <c r="A74">
        <v>2020</v>
      </c>
      <c r="B74">
        <v>2800000</v>
      </c>
      <c r="C74" t="s">
        <v>763</v>
      </c>
      <c r="D74" t="s">
        <v>391</v>
      </c>
      <c r="E74">
        <v>73</v>
      </c>
      <c r="F74" t="s">
        <v>763</v>
      </c>
      <c r="G74">
        <v>67</v>
      </c>
      <c r="H74">
        <v>0.95399999999999996</v>
      </c>
      <c r="I74">
        <v>0.69599999999999995</v>
      </c>
      <c r="J74">
        <v>-7.117</v>
      </c>
      <c r="K74">
        <v>0</v>
      </c>
      <c r="L74">
        <v>10</v>
      </c>
      <c r="M74">
        <v>0.20399999999999999</v>
      </c>
      <c r="N74">
        <v>5.7600000000000004E-3</v>
      </c>
      <c r="O74">
        <v>4.9799999999999996E-4</v>
      </c>
      <c r="P74">
        <v>7.5399999999999995E-2</v>
      </c>
      <c r="Q74">
        <v>0.432</v>
      </c>
      <c r="R74">
        <v>100.036</v>
      </c>
      <c r="S74">
        <v>4</v>
      </c>
      <c r="T74">
        <v>139413</v>
      </c>
      <c r="U74">
        <v>4</v>
      </c>
      <c r="V74">
        <v>139413</v>
      </c>
      <c r="W74">
        <v>4</v>
      </c>
      <c r="X74">
        <v>139413</v>
      </c>
      <c r="Y74" t="s">
        <v>16</v>
      </c>
      <c r="Z74" t="str">
        <f>LOOKUP(B74,{0,1083,124200,681950},{"1st","2nd","3rd","4th"})&amp;" Quartile"</f>
        <v>4th Quartile</v>
      </c>
    </row>
    <row r="75" spans="1:26">
      <c r="A75">
        <v>2020</v>
      </c>
      <c r="B75">
        <v>2800000</v>
      </c>
      <c r="C75" t="s">
        <v>733</v>
      </c>
      <c r="D75" t="s">
        <v>500</v>
      </c>
      <c r="E75">
        <v>66</v>
      </c>
      <c r="F75" t="s">
        <v>733</v>
      </c>
      <c r="G75">
        <v>72</v>
      </c>
      <c r="H75">
        <v>0.746</v>
      </c>
      <c r="I75">
        <v>0.65300000000000002</v>
      </c>
      <c r="J75">
        <v>-6.7450000000000001</v>
      </c>
      <c r="K75">
        <v>1</v>
      </c>
      <c r="L75">
        <v>7</v>
      </c>
      <c r="M75">
        <v>0.28899999999999998</v>
      </c>
      <c r="N75">
        <v>0.378</v>
      </c>
      <c r="O75">
        <v>0</v>
      </c>
      <c r="P75">
        <v>0.22900000000000001</v>
      </c>
      <c r="Q75">
        <v>0.67200000000000004</v>
      </c>
      <c r="R75">
        <v>75.016000000000005</v>
      </c>
      <c r="S75">
        <v>4</v>
      </c>
      <c r="T75">
        <v>253107</v>
      </c>
      <c r="U75">
        <v>4</v>
      </c>
      <c r="V75">
        <v>253107</v>
      </c>
      <c r="W75">
        <v>4</v>
      </c>
      <c r="X75">
        <v>253107</v>
      </c>
      <c r="Y75" t="s">
        <v>16</v>
      </c>
      <c r="Z75" t="str">
        <f>LOOKUP(B75,{0,1083,124200,681950},{"1st","2nd","3rd","4th"})&amp;" Quartile"</f>
        <v>4th Quartile</v>
      </c>
    </row>
    <row r="76" spans="1:26">
      <c r="A76">
        <v>2021</v>
      </c>
      <c r="B76">
        <v>2700000</v>
      </c>
      <c r="C76" t="s">
        <v>1440</v>
      </c>
      <c r="D76" t="s">
        <v>1439</v>
      </c>
      <c r="E76">
        <v>52</v>
      </c>
      <c r="F76" t="s">
        <v>1438</v>
      </c>
      <c r="G76">
        <v>0</v>
      </c>
      <c r="H76">
        <v>0.89600000000000002</v>
      </c>
      <c r="I76">
        <v>0.55500000000000005</v>
      </c>
      <c r="J76">
        <v>-12.145</v>
      </c>
      <c r="K76">
        <v>1</v>
      </c>
      <c r="L76">
        <v>4</v>
      </c>
      <c r="M76">
        <v>8.5000000000000006E-2</v>
      </c>
      <c r="N76">
        <v>0.252</v>
      </c>
      <c r="O76">
        <v>1.43E-2</v>
      </c>
      <c r="P76">
        <v>0.109</v>
      </c>
      <c r="Q76">
        <v>0.77200000000000002</v>
      </c>
      <c r="R76">
        <v>120.01300000000001</v>
      </c>
      <c r="S76">
        <v>4</v>
      </c>
      <c r="T76">
        <v>91067</v>
      </c>
      <c r="U76">
        <v>4</v>
      </c>
      <c r="V76">
        <v>91067</v>
      </c>
      <c r="W76">
        <v>4</v>
      </c>
      <c r="X76">
        <v>91067</v>
      </c>
      <c r="Y76" t="s">
        <v>16</v>
      </c>
      <c r="Z76" t="str">
        <f>LOOKUP(B76,{0,1083,124200,681950},{"1st","2nd","3rd","4th"})&amp;" Quartile"</f>
        <v>4th Quartile</v>
      </c>
    </row>
    <row r="77" spans="1:26">
      <c r="A77">
        <v>2020</v>
      </c>
      <c r="B77">
        <v>2700000</v>
      </c>
      <c r="C77" t="s">
        <v>746</v>
      </c>
      <c r="D77" t="s">
        <v>747</v>
      </c>
      <c r="E77">
        <v>58</v>
      </c>
      <c r="F77" t="s">
        <v>746</v>
      </c>
      <c r="G77">
        <v>56</v>
      </c>
      <c r="H77">
        <v>0.69499999999999995</v>
      </c>
      <c r="I77">
        <v>0.64200000000000002</v>
      </c>
      <c r="J77">
        <v>-6.13</v>
      </c>
      <c r="K77">
        <v>0</v>
      </c>
      <c r="L77">
        <v>1</v>
      </c>
      <c r="M77">
        <v>0.19400000000000001</v>
      </c>
      <c r="N77">
        <v>0.23799999999999999</v>
      </c>
      <c r="O77">
        <v>0</v>
      </c>
      <c r="P77">
        <v>0.35899999999999999</v>
      </c>
      <c r="Q77">
        <v>0.316</v>
      </c>
      <c r="R77">
        <v>128.02199999999999</v>
      </c>
      <c r="S77">
        <v>4</v>
      </c>
      <c r="T77">
        <v>209848</v>
      </c>
      <c r="U77">
        <v>4</v>
      </c>
      <c r="V77">
        <v>209848</v>
      </c>
      <c r="W77">
        <v>4</v>
      </c>
      <c r="X77">
        <v>209848</v>
      </c>
      <c r="Y77" t="s">
        <v>16</v>
      </c>
      <c r="Z77" t="str">
        <f>LOOKUP(B77,{0,1083,124200,681950},{"1st","2nd","3rd","4th"})&amp;" Quartile"</f>
        <v>4th Quartile</v>
      </c>
    </row>
    <row r="78" spans="1:26">
      <c r="A78">
        <v>2022</v>
      </c>
      <c r="B78">
        <v>2600000</v>
      </c>
      <c r="C78" t="s">
        <v>1669</v>
      </c>
      <c r="D78" t="s">
        <v>1670</v>
      </c>
      <c r="E78">
        <v>89</v>
      </c>
      <c r="F78" t="s">
        <v>1669</v>
      </c>
      <c r="G78">
        <v>82</v>
      </c>
      <c r="H78">
        <v>0.78</v>
      </c>
      <c r="I78">
        <v>0.71799999999999997</v>
      </c>
      <c r="J78">
        <v>-3.605</v>
      </c>
      <c r="K78">
        <v>0</v>
      </c>
      <c r="L78">
        <v>3</v>
      </c>
      <c r="M78">
        <v>5.0599999999999999E-2</v>
      </c>
      <c r="N78">
        <v>0.31</v>
      </c>
      <c r="O78">
        <v>1.63E-4</v>
      </c>
      <c r="P78">
        <v>9.3200000000000005E-2</v>
      </c>
      <c r="Q78">
        <v>0.34200000000000003</v>
      </c>
      <c r="R78">
        <v>127.949</v>
      </c>
      <c r="S78">
        <v>4</v>
      </c>
      <c r="T78">
        <v>199604</v>
      </c>
      <c r="U78">
        <v>4</v>
      </c>
      <c r="V78">
        <v>199604</v>
      </c>
      <c r="W78">
        <v>4</v>
      </c>
      <c r="X78">
        <v>199604</v>
      </c>
      <c r="Y78" t="s">
        <v>16</v>
      </c>
      <c r="Z78" t="str">
        <f>LOOKUP(B78,{0,1083,124200,681950},{"1st","2nd","3rd","4th"})&amp;" Quartile"</f>
        <v>4th Quartile</v>
      </c>
    </row>
    <row r="79" spans="1:26">
      <c r="A79">
        <v>2022</v>
      </c>
      <c r="B79">
        <v>2600000</v>
      </c>
      <c r="C79" t="s">
        <v>1055</v>
      </c>
      <c r="D79" t="s">
        <v>293</v>
      </c>
      <c r="E79">
        <v>74</v>
      </c>
      <c r="F79" t="s">
        <v>1055</v>
      </c>
      <c r="G79">
        <v>18</v>
      </c>
      <c r="H79">
        <v>0.7</v>
      </c>
      <c r="I79">
        <v>0.72199999999999998</v>
      </c>
      <c r="J79">
        <v>-3.5579999999999998</v>
      </c>
      <c r="K79">
        <v>0</v>
      </c>
      <c r="L79">
        <v>7</v>
      </c>
      <c r="M79">
        <v>3.6900000000000002E-2</v>
      </c>
      <c r="N79">
        <v>0.221</v>
      </c>
      <c r="O79">
        <v>0</v>
      </c>
      <c r="P79">
        <v>0.27200000000000002</v>
      </c>
      <c r="Q79">
        <v>0.75600000000000001</v>
      </c>
      <c r="R79">
        <v>90.989000000000004</v>
      </c>
      <c r="S79">
        <v>4</v>
      </c>
      <c r="T79">
        <v>140526</v>
      </c>
      <c r="U79">
        <v>4</v>
      </c>
      <c r="V79">
        <v>140526</v>
      </c>
      <c r="W79">
        <v>4</v>
      </c>
      <c r="X79">
        <v>140526</v>
      </c>
      <c r="Y79" t="s">
        <v>16</v>
      </c>
      <c r="Z79" t="str">
        <f>LOOKUP(B79,{0,1083,124200,681950},{"1st","2nd","3rd","4th"})&amp;" Quartile"</f>
        <v>4th Quartile</v>
      </c>
    </row>
    <row r="80" spans="1:26">
      <c r="A80">
        <v>2021</v>
      </c>
      <c r="B80">
        <v>2600000</v>
      </c>
      <c r="C80" t="s">
        <v>1055</v>
      </c>
      <c r="D80" t="s">
        <v>293</v>
      </c>
      <c r="E80">
        <v>74</v>
      </c>
      <c r="F80" t="s">
        <v>1055</v>
      </c>
      <c r="G80">
        <v>18</v>
      </c>
      <c r="H80">
        <v>0.7</v>
      </c>
      <c r="I80">
        <v>0.72199999999999998</v>
      </c>
      <c r="J80">
        <v>-3.5579999999999998</v>
      </c>
      <c r="K80">
        <v>0</v>
      </c>
      <c r="L80">
        <v>7</v>
      </c>
      <c r="M80">
        <v>3.6900000000000002E-2</v>
      </c>
      <c r="N80">
        <v>0.221</v>
      </c>
      <c r="O80">
        <v>0</v>
      </c>
      <c r="P80">
        <v>0.27200000000000002</v>
      </c>
      <c r="Q80">
        <v>0.75600000000000001</v>
      </c>
      <c r="R80">
        <v>90.989000000000004</v>
      </c>
      <c r="S80">
        <v>4</v>
      </c>
      <c r="T80">
        <v>140526</v>
      </c>
      <c r="U80">
        <v>4</v>
      </c>
      <c r="V80">
        <v>140526</v>
      </c>
      <c r="W80">
        <v>4</v>
      </c>
      <c r="X80">
        <v>140526</v>
      </c>
      <c r="Y80" t="s">
        <v>16</v>
      </c>
      <c r="Z80" t="str">
        <f>LOOKUP(B80,{0,1083,124200,681950},{"1st","2nd","3rd","4th"})&amp;" Quartile"</f>
        <v>4th Quartile</v>
      </c>
    </row>
    <row r="81" spans="1:26">
      <c r="A81">
        <v>2021</v>
      </c>
      <c r="B81">
        <v>2600000</v>
      </c>
      <c r="C81" t="s">
        <v>1244</v>
      </c>
      <c r="D81" t="s">
        <v>1243</v>
      </c>
      <c r="E81">
        <v>48</v>
      </c>
      <c r="F81" t="s">
        <v>1242</v>
      </c>
      <c r="G81">
        <v>49</v>
      </c>
      <c r="H81">
        <v>0.44800000000000001</v>
      </c>
      <c r="I81">
        <v>0.78200000000000003</v>
      </c>
      <c r="J81">
        <v>-6.766</v>
      </c>
      <c r="K81">
        <v>0</v>
      </c>
      <c r="L81">
        <v>9</v>
      </c>
      <c r="M81">
        <v>0.45800000000000002</v>
      </c>
      <c r="N81">
        <v>0.378</v>
      </c>
      <c r="O81">
        <v>0</v>
      </c>
      <c r="P81">
        <v>0.114</v>
      </c>
      <c r="Q81">
        <v>0.69399999999999995</v>
      </c>
      <c r="R81">
        <v>74.037000000000006</v>
      </c>
      <c r="S81">
        <v>4</v>
      </c>
      <c r="T81">
        <v>210704</v>
      </c>
      <c r="U81">
        <v>4</v>
      </c>
      <c r="V81">
        <v>210704</v>
      </c>
      <c r="W81">
        <v>4</v>
      </c>
      <c r="X81">
        <v>210704</v>
      </c>
      <c r="Y81" t="s">
        <v>16</v>
      </c>
      <c r="Z81" t="str">
        <f>LOOKUP(B81,{0,1083,124200,681950},{"1st","2nd","3rd","4th"})&amp;" Quartile"</f>
        <v>4th Quartile</v>
      </c>
    </row>
    <row r="82" spans="1:26">
      <c r="A82">
        <v>2020</v>
      </c>
      <c r="B82">
        <v>2600000</v>
      </c>
      <c r="C82" t="s">
        <v>1055</v>
      </c>
      <c r="D82" t="s">
        <v>293</v>
      </c>
      <c r="E82">
        <v>74</v>
      </c>
      <c r="F82" t="s">
        <v>1054</v>
      </c>
      <c r="G82">
        <v>83</v>
      </c>
      <c r="H82">
        <v>0.70099999999999996</v>
      </c>
      <c r="I82">
        <v>0.71599999999999997</v>
      </c>
      <c r="J82">
        <v>-3.6709999999999998</v>
      </c>
      <c r="K82">
        <v>0</v>
      </c>
      <c r="L82">
        <v>7</v>
      </c>
      <c r="M82">
        <v>3.61E-2</v>
      </c>
      <c r="N82">
        <v>0.17399999999999999</v>
      </c>
      <c r="O82">
        <v>0</v>
      </c>
      <c r="P82">
        <v>0.32400000000000001</v>
      </c>
      <c r="Q82">
        <v>0.73199999999999998</v>
      </c>
      <c r="R82">
        <v>91.007000000000005</v>
      </c>
      <c r="S82">
        <v>4</v>
      </c>
      <c r="T82">
        <v>140533</v>
      </c>
      <c r="U82">
        <v>4</v>
      </c>
      <c r="V82">
        <v>140533</v>
      </c>
      <c r="W82">
        <v>4</v>
      </c>
      <c r="X82">
        <v>140533</v>
      </c>
      <c r="Y82" t="s">
        <v>16</v>
      </c>
      <c r="Z82" t="str">
        <f>LOOKUP(B82,{0,1083,124200,681950},{"1st","2nd","3rd","4th"})&amp;" Quartile"</f>
        <v>4th Quartile</v>
      </c>
    </row>
    <row r="83" spans="1:26">
      <c r="A83">
        <v>2019</v>
      </c>
      <c r="B83">
        <v>2600000</v>
      </c>
      <c r="C83" t="s">
        <v>581</v>
      </c>
      <c r="D83" t="s">
        <v>582</v>
      </c>
      <c r="E83">
        <v>65</v>
      </c>
      <c r="F83" t="s">
        <v>581</v>
      </c>
      <c r="G83">
        <v>0</v>
      </c>
      <c r="H83">
        <v>0.877</v>
      </c>
      <c r="I83">
        <v>0.503</v>
      </c>
      <c r="J83">
        <v>-10.269</v>
      </c>
      <c r="K83">
        <v>0</v>
      </c>
      <c r="L83">
        <v>7</v>
      </c>
      <c r="M83">
        <v>0.22</v>
      </c>
      <c r="N83">
        <v>0.16400000000000001</v>
      </c>
      <c r="O83">
        <v>1.32E-2</v>
      </c>
      <c r="P83">
        <v>0.10199999999999999</v>
      </c>
      <c r="Q83">
        <v>0.52900000000000003</v>
      </c>
      <c r="R83">
        <v>100.069</v>
      </c>
      <c r="S83">
        <v>4</v>
      </c>
      <c r="T83">
        <v>144000</v>
      </c>
      <c r="U83">
        <v>4</v>
      </c>
      <c r="V83">
        <v>144000</v>
      </c>
      <c r="W83">
        <v>4</v>
      </c>
      <c r="X83">
        <v>144000</v>
      </c>
      <c r="Y83" t="s">
        <v>16</v>
      </c>
      <c r="Z83" t="str">
        <f>LOOKUP(B83,{0,1083,124200,681950},{"1st","2nd","3rd","4th"})&amp;" Quartile"</f>
        <v>4th Quartile</v>
      </c>
    </row>
    <row r="84" spans="1:26">
      <c r="A84">
        <v>2022</v>
      </c>
      <c r="B84">
        <v>2500000</v>
      </c>
      <c r="C84" t="s">
        <v>1718</v>
      </c>
      <c r="D84" t="s">
        <v>1719</v>
      </c>
      <c r="E84">
        <v>65</v>
      </c>
      <c r="F84" t="s">
        <v>1718</v>
      </c>
      <c r="G84">
        <v>67</v>
      </c>
      <c r="H84">
        <v>0.73599999999999999</v>
      </c>
      <c r="I84">
        <v>0.751</v>
      </c>
      <c r="J84">
        <v>-5.5880000000000001</v>
      </c>
      <c r="K84">
        <v>1</v>
      </c>
      <c r="L84">
        <v>8</v>
      </c>
      <c r="M84">
        <v>3.4000000000000002E-2</v>
      </c>
      <c r="N84">
        <v>3.8100000000000002E-2</v>
      </c>
      <c r="O84">
        <v>0</v>
      </c>
      <c r="P84">
        <v>0.105</v>
      </c>
      <c r="Q84">
        <v>0.83899999999999997</v>
      </c>
      <c r="R84">
        <v>150.06399999999999</v>
      </c>
      <c r="S84">
        <v>4</v>
      </c>
      <c r="T84">
        <v>209722</v>
      </c>
      <c r="U84">
        <v>4</v>
      </c>
      <c r="V84">
        <v>209722</v>
      </c>
      <c r="W84">
        <v>4</v>
      </c>
      <c r="X84">
        <v>209722</v>
      </c>
      <c r="Y84" t="s">
        <v>16</v>
      </c>
      <c r="Z84" t="str">
        <f>LOOKUP(B84,{0,1083,124200,681950},{"1st","2nd","3rd","4th"})&amp;" Quartile"</f>
        <v>4th Quartile</v>
      </c>
    </row>
    <row r="85" spans="1:26">
      <c r="A85">
        <v>2021</v>
      </c>
      <c r="B85">
        <v>2500000</v>
      </c>
      <c r="C85" t="s">
        <v>1203</v>
      </c>
      <c r="D85" t="s">
        <v>1202</v>
      </c>
      <c r="E85">
        <v>74</v>
      </c>
      <c r="F85" t="s">
        <v>1201</v>
      </c>
      <c r="G85">
        <v>73</v>
      </c>
      <c r="H85">
        <v>0.77900000000000003</v>
      </c>
      <c r="I85">
        <v>0.754</v>
      </c>
      <c r="J85">
        <v>-4.3579999999999997</v>
      </c>
      <c r="K85">
        <v>1</v>
      </c>
      <c r="L85">
        <v>5</v>
      </c>
      <c r="M85">
        <v>9.6600000000000005E-2</v>
      </c>
      <c r="N85">
        <v>0.34300000000000003</v>
      </c>
      <c r="O85">
        <v>2.6000000000000001E-6</v>
      </c>
      <c r="P85">
        <v>9.6500000000000002E-2</v>
      </c>
      <c r="Q85">
        <v>0.88300000000000001</v>
      </c>
      <c r="R85">
        <v>89.998000000000005</v>
      </c>
      <c r="S85">
        <v>4</v>
      </c>
      <c r="T85">
        <v>174733</v>
      </c>
      <c r="U85">
        <v>4</v>
      </c>
      <c r="V85">
        <v>174733</v>
      </c>
      <c r="W85">
        <v>4</v>
      </c>
      <c r="X85">
        <v>174733</v>
      </c>
      <c r="Y85" t="s">
        <v>16</v>
      </c>
      <c r="Z85" t="str">
        <f>LOOKUP(B85,{0,1083,124200,681950},{"1st","2nd","3rd","4th"})&amp;" Quartile"</f>
        <v>4th Quartile</v>
      </c>
    </row>
    <row r="86" spans="1:26">
      <c r="A86">
        <v>2022</v>
      </c>
      <c r="B86">
        <v>2400000</v>
      </c>
      <c r="C86" t="s">
        <v>1842</v>
      </c>
      <c r="D86" t="s">
        <v>1841</v>
      </c>
      <c r="E86">
        <v>81</v>
      </c>
      <c r="F86" t="s">
        <v>1840</v>
      </c>
      <c r="G86">
        <v>95</v>
      </c>
      <c r="H86">
        <v>0.629</v>
      </c>
      <c r="I86">
        <v>0.54700000000000004</v>
      </c>
      <c r="J86">
        <v>-13.122999999999999</v>
      </c>
      <c r="K86">
        <v>0</v>
      </c>
      <c r="L86">
        <v>10</v>
      </c>
      <c r="M86">
        <v>5.5E-2</v>
      </c>
      <c r="N86">
        <v>0.72</v>
      </c>
      <c r="O86">
        <v>3.14E-3</v>
      </c>
      <c r="P86">
        <v>6.0400000000000002E-2</v>
      </c>
      <c r="Q86">
        <v>0.19700000000000001</v>
      </c>
      <c r="R86">
        <v>108.375</v>
      </c>
      <c r="S86">
        <v>4</v>
      </c>
      <c r="T86">
        <v>298933</v>
      </c>
      <c r="U86">
        <v>4</v>
      </c>
      <c r="V86">
        <v>298933</v>
      </c>
      <c r="W86">
        <v>4</v>
      </c>
      <c r="X86">
        <v>298933</v>
      </c>
      <c r="Y86" t="s">
        <v>16</v>
      </c>
      <c r="Z86" t="str">
        <f>LOOKUP(B86,{0,1083,124200,681950},{"1st","2nd","3rd","4th"})&amp;" Quartile"</f>
        <v>4th Quartile</v>
      </c>
    </row>
    <row r="87" spans="1:26">
      <c r="A87">
        <v>2020</v>
      </c>
      <c r="B87">
        <v>2400000</v>
      </c>
      <c r="C87" t="s">
        <v>854</v>
      </c>
      <c r="D87" t="s">
        <v>853</v>
      </c>
      <c r="E87">
        <v>82</v>
      </c>
      <c r="F87" t="s">
        <v>852</v>
      </c>
      <c r="G87">
        <v>59</v>
      </c>
      <c r="H87">
        <v>0.81399999999999995</v>
      </c>
      <c r="I87">
        <v>0.63500000000000001</v>
      </c>
      <c r="J87">
        <v>-6.609</v>
      </c>
      <c r="K87">
        <v>0</v>
      </c>
      <c r="L87">
        <v>7</v>
      </c>
      <c r="M87">
        <v>8.09E-2</v>
      </c>
      <c r="N87">
        <v>9.35E-2</v>
      </c>
      <c r="O87">
        <v>0</v>
      </c>
      <c r="P87">
        <v>8.9200000000000002E-2</v>
      </c>
      <c r="Q87">
        <v>0.78400000000000003</v>
      </c>
      <c r="R87">
        <v>87.581000000000003</v>
      </c>
      <c r="S87">
        <v>4</v>
      </c>
      <c r="T87">
        <v>200774</v>
      </c>
      <c r="U87">
        <v>4</v>
      </c>
      <c r="V87">
        <v>200774</v>
      </c>
      <c r="W87">
        <v>4</v>
      </c>
      <c r="X87">
        <v>200774</v>
      </c>
      <c r="Y87" t="s">
        <v>16</v>
      </c>
      <c r="Z87" t="str">
        <f>LOOKUP(B87,{0,1083,124200,681950},{"1st","2nd","3rd","4th"})&amp;" Quartile"</f>
        <v>4th Quartile</v>
      </c>
    </row>
    <row r="88" spans="1:26">
      <c r="A88">
        <v>2021</v>
      </c>
      <c r="B88">
        <v>2300000</v>
      </c>
      <c r="C88" t="s">
        <v>1481</v>
      </c>
      <c r="D88" t="s">
        <v>1482</v>
      </c>
      <c r="E88">
        <v>67</v>
      </c>
      <c r="F88" t="s">
        <v>1481</v>
      </c>
      <c r="G88">
        <v>6</v>
      </c>
      <c r="H88">
        <v>0.65400000000000003</v>
      </c>
      <c r="I88">
        <v>0.434</v>
      </c>
      <c r="J88">
        <v>-11.163</v>
      </c>
      <c r="K88">
        <v>1</v>
      </c>
      <c r="L88">
        <v>8</v>
      </c>
      <c r="M88">
        <v>6.6500000000000004E-2</v>
      </c>
      <c r="N88">
        <v>0.83699999999999997</v>
      </c>
      <c r="O88">
        <v>0</v>
      </c>
      <c r="P88">
        <v>0.216</v>
      </c>
      <c r="Q88">
        <v>0.223</v>
      </c>
      <c r="R88">
        <v>109.069</v>
      </c>
      <c r="S88">
        <v>4</v>
      </c>
      <c r="T88">
        <v>171743</v>
      </c>
      <c r="U88">
        <v>4</v>
      </c>
      <c r="V88">
        <v>171743</v>
      </c>
      <c r="W88">
        <v>4</v>
      </c>
      <c r="X88">
        <v>171743</v>
      </c>
      <c r="Y88" t="s">
        <v>16</v>
      </c>
      <c r="Z88" t="str">
        <f>LOOKUP(B88,{0,1083,124200,681950},{"1st","2nd","3rd","4th"})&amp;" Quartile"</f>
        <v>4th Quartile</v>
      </c>
    </row>
    <row r="89" spans="1:26">
      <c r="A89">
        <v>2020</v>
      </c>
      <c r="B89">
        <v>2300000</v>
      </c>
      <c r="C89" t="s">
        <v>1064</v>
      </c>
      <c r="D89" t="s">
        <v>1065</v>
      </c>
      <c r="E89">
        <v>65</v>
      </c>
      <c r="F89" t="s">
        <v>1064</v>
      </c>
      <c r="G89">
        <v>68</v>
      </c>
      <c r="H89">
        <v>0.71099999999999997</v>
      </c>
      <c r="I89">
        <v>0.59199999999999997</v>
      </c>
      <c r="J89">
        <v>-7.1360000000000001</v>
      </c>
      <c r="K89">
        <v>0</v>
      </c>
      <c r="L89">
        <v>4</v>
      </c>
      <c r="M89">
        <v>0.23</v>
      </c>
      <c r="N89">
        <v>0.75800000000000001</v>
      </c>
      <c r="O89">
        <v>0</v>
      </c>
      <c r="P89">
        <v>0.156</v>
      </c>
      <c r="Q89">
        <v>0.53500000000000003</v>
      </c>
      <c r="R89">
        <v>124.749</v>
      </c>
      <c r="S89">
        <v>4</v>
      </c>
      <c r="T89">
        <v>141224</v>
      </c>
      <c r="U89">
        <v>4</v>
      </c>
      <c r="V89">
        <v>141224</v>
      </c>
      <c r="W89">
        <v>4</v>
      </c>
      <c r="X89">
        <v>141224</v>
      </c>
      <c r="Y89" t="s">
        <v>16</v>
      </c>
      <c r="Z89" t="str">
        <f>LOOKUP(B89,{0,1083,124200,681950},{"1st","2nd","3rd","4th"})&amp;" Quartile"</f>
        <v>4th Quartile</v>
      </c>
    </row>
    <row r="90" spans="1:26">
      <c r="A90">
        <v>2020</v>
      </c>
      <c r="B90">
        <v>2300000</v>
      </c>
      <c r="C90" t="s">
        <v>1052</v>
      </c>
      <c r="D90" t="s">
        <v>1053</v>
      </c>
      <c r="E90">
        <v>66</v>
      </c>
      <c r="F90" t="s">
        <v>1052</v>
      </c>
      <c r="G90">
        <v>72</v>
      </c>
      <c r="H90">
        <v>0.73799999999999999</v>
      </c>
      <c r="I90">
        <v>0.621</v>
      </c>
      <c r="J90">
        <v>-7.3129999999999997</v>
      </c>
      <c r="K90">
        <v>1</v>
      </c>
      <c r="L90">
        <v>0</v>
      </c>
      <c r="M90">
        <v>4.8599999999999997E-2</v>
      </c>
      <c r="N90">
        <v>0.42399999999999999</v>
      </c>
      <c r="O90">
        <v>7.3900000000000004E-6</v>
      </c>
      <c r="P90">
        <v>0.69199999999999995</v>
      </c>
      <c r="Q90">
        <v>0.71499999999999997</v>
      </c>
      <c r="R90">
        <v>113.968</v>
      </c>
      <c r="S90">
        <v>4</v>
      </c>
      <c r="T90">
        <v>136839</v>
      </c>
      <c r="U90">
        <v>4</v>
      </c>
      <c r="V90">
        <v>136839</v>
      </c>
      <c r="W90">
        <v>4</v>
      </c>
      <c r="X90">
        <v>136839</v>
      </c>
      <c r="Y90" t="s">
        <v>16</v>
      </c>
      <c r="Z90" t="str">
        <f>LOOKUP(B90,{0,1083,124200,681950},{"1st","2nd","3rd","4th"})&amp;" Quartile"</f>
        <v>4th Quartile</v>
      </c>
    </row>
    <row r="91" spans="1:26">
      <c r="A91">
        <v>2022</v>
      </c>
      <c r="B91">
        <v>2200000</v>
      </c>
      <c r="C91" t="s">
        <v>1821</v>
      </c>
      <c r="D91" t="s">
        <v>1822</v>
      </c>
      <c r="E91">
        <v>80</v>
      </c>
      <c r="F91" t="s">
        <v>1821</v>
      </c>
      <c r="G91">
        <v>86</v>
      </c>
      <c r="H91">
        <v>0.81200000000000006</v>
      </c>
      <c r="I91">
        <v>0.73599999999999999</v>
      </c>
      <c r="J91">
        <v>-5.4210000000000003</v>
      </c>
      <c r="K91">
        <v>0</v>
      </c>
      <c r="L91">
        <v>4</v>
      </c>
      <c r="M91">
        <v>8.3299999999999999E-2</v>
      </c>
      <c r="N91">
        <v>0.152</v>
      </c>
      <c r="O91">
        <v>2.5400000000000002E-3</v>
      </c>
      <c r="P91">
        <v>9.1399999999999995E-2</v>
      </c>
      <c r="Q91">
        <v>0.39600000000000002</v>
      </c>
      <c r="R91">
        <v>91.992999999999995</v>
      </c>
      <c r="S91">
        <v>4</v>
      </c>
      <c r="T91">
        <v>193806</v>
      </c>
      <c r="U91">
        <v>4</v>
      </c>
      <c r="V91">
        <v>193806</v>
      </c>
      <c r="W91">
        <v>4</v>
      </c>
      <c r="X91">
        <v>193806</v>
      </c>
      <c r="Y91" t="s">
        <v>16</v>
      </c>
      <c r="Z91" t="str">
        <f>LOOKUP(B91,{0,1083,124200,681950},{"1st","2nd","3rd","4th"})&amp;" Quartile"</f>
        <v>4th Quartile</v>
      </c>
    </row>
    <row r="92" spans="1:26">
      <c r="A92">
        <v>2022</v>
      </c>
      <c r="B92">
        <v>2200000</v>
      </c>
      <c r="C92" t="s">
        <v>128</v>
      </c>
      <c r="D92" t="s">
        <v>127</v>
      </c>
      <c r="E92">
        <v>66</v>
      </c>
      <c r="F92" t="s">
        <v>128</v>
      </c>
      <c r="G92">
        <v>15</v>
      </c>
      <c r="H92">
        <v>0.78500000000000003</v>
      </c>
      <c r="I92">
        <v>0.43099999999999999</v>
      </c>
      <c r="J92">
        <v>-8.7560000000000002</v>
      </c>
      <c r="K92">
        <v>0</v>
      </c>
      <c r="L92">
        <v>10</v>
      </c>
      <c r="M92">
        <v>3.6400000000000002E-2</v>
      </c>
      <c r="N92">
        <v>0.123</v>
      </c>
      <c r="O92">
        <v>0</v>
      </c>
      <c r="P92">
        <v>8.8700000000000001E-2</v>
      </c>
      <c r="Q92">
        <v>0.23599999999999999</v>
      </c>
      <c r="R92">
        <v>127.08499999999999</v>
      </c>
      <c r="S92">
        <v>4</v>
      </c>
      <c r="T92">
        <v>159382</v>
      </c>
      <c r="U92">
        <v>4</v>
      </c>
      <c r="V92">
        <v>159382</v>
      </c>
      <c r="W92">
        <v>4</v>
      </c>
      <c r="X92">
        <v>159382</v>
      </c>
      <c r="Y92" t="s">
        <v>16</v>
      </c>
      <c r="Z92" t="str">
        <f>LOOKUP(B92,{0,1083,124200,681950},{"1st","2nd","3rd","4th"})&amp;" Quartile"</f>
        <v>4th Quartile</v>
      </c>
    </row>
    <row r="93" spans="1:26">
      <c r="A93">
        <v>2020</v>
      </c>
      <c r="B93">
        <v>2200000</v>
      </c>
      <c r="C93" t="s">
        <v>128</v>
      </c>
      <c r="D93" t="s">
        <v>127</v>
      </c>
      <c r="E93">
        <v>66</v>
      </c>
      <c r="F93" t="s">
        <v>128</v>
      </c>
      <c r="G93">
        <v>15</v>
      </c>
      <c r="H93">
        <v>0.78500000000000003</v>
      </c>
      <c r="I93">
        <v>0.43099999999999999</v>
      </c>
      <c r="J93">
        <v>-8.7560000000000002</v>
      </c>
      <c r="K93">
        <v>0</v>
      </c>
      <c r="L93">
        <v>10</v>
      </c>
      <c r="M93">
        <v>3.6400000000000002E-2</v>
      </c>
      <c r="N93">
        <v>0.123</v>
      </c>
      <c r="O93">
        <v>0</v>
      </c>
      <c r="P93">
        <v>8.8700000000000001E-2</v>
      </c>
      <c r="Q93">
        <v>0.23599999999999999</v>
      </c>
      <c r="R93">
        <v>127.08499999999999</v>
      </c>
      <c r="S93">
        <v>4</v>
      </c>
      <c r="T93">
        <v>159382</v>
      </c>
      <c r="U93">
        <v>4</v>
      </c>
      <c r="V93">
        <v>159382</v>
      </c>
      <c r="W93">
        <v>4</v>
      </c>
      <c r="X93">
        <v>159382</v>
      </c>
      <c r="Y93" t="s">
        <v>16</v>
      </c>
      <c r="Z93" t="str">
        <f>LOOKUP(B93,{0,1083,124200,681950},{"1st","2nd","3rd","4th"})&amp;" Quartile"</f>
        <v>4th Quartile</v>
      </c>
    </row>
    <row r="94" spans="1:26">
      <c r="A94">
        <v>2019</v>
      </c>
      <c r="B94">
        <v>2200000</v>
      </c>
      <c r="C94" t="s">
        <v>468</v>
      </c>
      <c r="D94" t="s">
        <v>469</v>
      </c>
      <c r="E94">
        <v>42</v>
      </c>
      <c r="F94" t="s">
        <v>468</v>
      </c>
      <c r="G94">
        <v>60</v>
      </c>
      <c r="H94">
        <v>0.81200000000000006</v>
      </c>
      <c r="I94">
        <v>0.52500000000000002</v>
      </c>
      <c r="J94">
        <v>-8.798</v>
      </c>
      <c r="K94">
        <v>1</v>
      </c>
      <c r="L94">
        <v>1</v>
      </c>
      <c r="M94">
        <v>0.124</v>
      </c>
      <c r="N94">
        <v>0.255</v>
      </c>
      <c r="O94">
        <v>0</v>
      </c>
      <c r="P94">
        <v>0.32500000000000001</v>
      </c>
      <c r="Q94">
        <v>0.56399999999999995</v>
      </c>
      <c r="R94">
        <v>145.01599999999999</v>
      </c>
      <c r="S94">
        <v>4</v>
      </c>
      <c r="T94">
        <v>177133</v>
      </c>
      <c r="U94">
        <v>4</v>
      </c>
      <c r="V94">
        <v>177133</v>
      </c>
      <c r="W94">
        <v>4</v>
      </c>
      <c r="X94">
        <v>177133</v>
      </c>
      <c r="Y94" t="s">
        <v>16</v>
      </c>
      <c r="Z94" t="str">
        <f>LOOKUP(B94,{0,1083,124200,681950},{"1st","2nd","3rd","4th"})&amp;" Quartile"</f>
        <v>4th Quartile</v>
      </c>
    </row>
    <row r="95" spans="1:26">
      <c r="A95">
        <v>2019</v>
      </c>
      <c r="B95">
        <v>2200000</v>
      </c>
      <c r="C95" t="s">
        <v>128</v>
      </c>
      <c r="D95" t="s">
        <v>127</v>
      </c>
      <c r="E95">
        <v>65</v>
      </c>
      <c r="F95" t="s">
        <v>128</v>
      </c>
      <c r="G95">
        <v>15</v>
      </c>
      <c r="H95">
        <v>0.78500000000000003</v>
      </c>
      <c r="I95">
        <v>0.43099999999999999</v>
      </c>
      <c r="J95">
        <v>-8.7560000000000002</v>
      </c>
      <c r="K95">
        <v>0</v>
      </c>
      <c r="L95">
        <v>10</v>
      </c>
      <c r="M95">
        <v>3.6400000000000002E-2</v>
      </c>
      <c r="N95">
        <v>0.123</v>
      </c>
      <c r="O95">
        <v>0</v>
      </c>
      <c r="P95">
        <v>8.8700000000000001E-2</v>
      </c>
      <c r="Q95">
        <v>0.23599999999999999</v>
      </c>
      <c r="R95">
        <v>127.08499999999999</v>
      </c>
      <c r="S95">
        <v>4</v>
      </c>
      <c r="T95">
        <v>159382</v>
      </c>
      <c r="U95">
        <v>4</v>
      </c>
      <c r="V95">
        <v>159382</v>
      </c>
      <c r="W95">
        <v>4</v>
      </c>
      <c r="X95">
        <v>159382</v>
      </c>
      <c r="Y95" t="s">
        <v>16</v>
      </c>
      <c r="Z95" t="str">
        <f>LOOKUP(B95,{0,1083,124200,681950},{"1st","2nd","3rd","4th"})&amp;" Quartile"</f>
        <v>4th Quartile</v>
      </c>
    </row>
    <row r="96" spans="1:26">
      <c r="A96">
        <v>2019</v>
      </c>
      <c r="B96">
        <v>2200000</v>
      </c>
      <c r="C96" t="s">
        <v>128</v>
      </c>
      <c r="D96" t="s">
        <v>127</v>
      </c>
      <c r="E96">
        <v>65</v>
      </c>
      <c r="F96" t="s">
        <v>126</v>
      </c>
      <c r="G96">
        <v>3</v>
      </c>
      <c r="H96">
        <v>0.78400000000000003</v>
      </c>
      <c r="I96">
        <v>0.43</v>
      </c>
      <c r="J96">
        <v>-8.7560000000000002</v>
      </c>
      <c r="K96">
        <v>0</v>
      </c>
      <c r="L96">
        <v>10</v>
      </c>
      <c r="M96">
        <v>3.6400000000000002E-2</v>
      </c>
      <c r="N96">
        <v>0.123</v>
      </c>
      <c r="O96">
        <v>0</v>
      </c>
      <c r="P96">
        <v>8.8700000000000001E-2</v>
      </c>
      <c r="Q96">
        <v>0.23599999999999999</v>
      </c>
      <c r="R96">
        <v>127.087</v>
      </c>
      <c r="S96">
        <v>4</v>
      </c>
      <c r="T96">
        <v>159382</v>
      </c>
      <c r="U96">
        <v>4</v>
      </c>
      <c r="V96">
        <v>159382</v>
      </c>
      <c r="W96">
        <v>4</v>
      </c>
      <c r="X96">
        <v>159382</v>
      </c>
      <c r="Y96" t="s">
        <v>16</v>
      </c>
      <c r="Z96" t="str">
        <f>LOOKUP(B96,{0,1083,124200,681950},{"1st","2nd","3rd","4th"})&amp;" Quartile"</f>
        <v>4th Quartile</v>
      </c>
    </row>
    <row r="97" spans="1:26">
      <c r="A97">
        <v>2019</v>
      </c>
      <c r="B97">
        <v>2200000</v>
      </c>
      <c r="C97" t="s">
        <v>70</v>
      </c>
      <c r="D97" t="s">
        <v>69</v>
      </c>
      <c r="E97">
        <v>44</v>
      </c>
      <c r="F97" t="s">
        <v>68</v>
      </c>
      <c r="G97">
        <v>54</v>
      </c>
      <c r="H97">
        <v>0.86399999999999999</v>
      </c>
      <c r="I97">
        <v>0.68100000000000005</v>
      </c>
      <c r="J97">
        <v>-6.032</v>
      </c>
      <c r="K97">
        <v>1</v>
      </c>
      <c r="L97">
        <v>8</v>
      </c>
      <c r="M97">
        <v>0.23200000000000001</v>
      </c>
      <c r="N97">
        <v>0.53800000000000003</v>
      </c>
      <c r="O97">
        <v>0</v>
      </c>
      <c r="P97">
        <v>0.55500000000000005</v>
      </c>
      <c r="Q97">
        <v>0.73399999999999999</v>
      </c>
      <c r="R97">
        <v>118.06100000000001</v>
      </c>
      <c r="S97">
        <v>4</v>
      </c>
      <c r="T97">
        <v>254667</v>
      </c>
      <c r="U97">
        <v>4</v>
      </c>
      <c r="V97">
        <v>254667</v>
      </c>
      <c r="W97">
        <v>4</v>
      </c>
      <c r="X97">
        <v>254667</v>
      </c>
      <c r="Y97" t="s">
        <v>16</v>
      </c>
      <c r="Z97" t="str">
        <f>LOOKUP(B97,{0,1083,124200,681950},{"1st","2nd","3rd","4th"})&amp;" Quartile"</f>
        <v>4th Quartile</v>
      </c>
    </row>
    <row r="98" spans="1:26">
      <c r="A98">
        <v>2022</v>
      </c>
      <c r="B98">
        <v>2100000</v>
      </c>
      <c r="C98" t="s">
        <v>1615</v>
      </c>
      <c r="D98" t="s">
        <v>642</v>
      </c>
      <c r="E98">
        <v>83</v>
      </c>
      <c r="F98" t="s">
        <v>1614</v>
      </c>
      <c r="G98">
        <v>80</v>
      </c>
      <c r="H98">
        <v>0.66200000000000003</v>
      </c>
      <c r="I98">
        <v>0.41299999999999998</v>
      </c>
      <c r="J98">
        <v>-7.3570000000000002</v>
      </c>
      <c r="K98">
        <v>1</v>
      </c>
      <c r="L98">
        <v>0</v>
      </c>
      <c r="M98">
        <v>2.9899999999999999E-2</v>
      </c>
      <c r="N98">
        <v>0.21299999999999999</v>
      </c>
      <c r="O98">
        <v>0</v>
      </c>
      <c r="P98">
        <v>0.13400000000000001</v>
      </c>
      <c r="Q98">
        <v>0.46700000000000003</v>
      </c>
      <c r="R98">
        <v>93.004999999999995</v>
      </c>
      <c r="S98">
        <v>4</v>
      </c>
      <c r="T98">
        <v>161385</v>
      </c>
      <c r="U98">
        <v>4</v>
      </c>
      <c r="V98">
        <v>161385</v>
      </c>
      <c r="W98">
        <v>4</v>
      </c>
      <c r="X98">
        <v>161385</v>
      </c>
      <c r="Y98" t="s">
        <v>16</v>
      </c>
      <c r="Z98" t="str">
        <f>LOOKUP(B98,{0,1083,124200,681950},{"1st","2nd","3rd","4th"})&amp;" Quartile"</f>
        <v>4th Quartile</v>
      </c>
    </row>
    <row r="99" spans="1:26">
      <c r="A99">
        <v>2022</v>
      </c>
      <c r="B99">
        <v>2000000</v>
      </c>
      <c r="C99" t="s">
        <v>1190</v>
      </c>
      <c r="D99" t="s">
        <v>1191</v>
      </c>
      <c r="E99">
        <v>71</v>
      </c>
      <c r="F99" t="s">
        <v>1190</v>
      </c>
      <c r="G99">
        <v>87</v>
      </c>
      <c r="H99">
        <v>0.69499999999999995</v>
      </c>
      <c r="I99">
        <v>0.54</v>
      </c>
      <c r="J99">
        <v>-5.6920000000000002</v>
      </c>
      <c r="K99">
        <v>1</v>
      </c>
      <c r="L99">
        <v>4</v>
      </c>
      <c r="M99">
        <v>4.9299999999999997E-2</v>
      </c>
      <c r="N99">
        <v>0.29899999999999999</v>
      </c>
      <c r="O99">
        <v>0</v>
      </c>
      <c r="P99">
        <v>0.36699999999999999</v>
      </c>
      <c r="Q99">
        <v>0.41499999999999998</v>
      </c>
      <c r="R99">
        <v>121.932</v>
      </c>
      <c r="S99">
        <v>4</v>
      </c>
      <c r="T99">
        <v>168602</v>
      </c>
      <c r="U99">
        <v>4</v>
      </c>
      <c r="V99">
        <v>168602</v>
      </c>
      <c r="W99">
        <v>4</v>
      </c>
      <c r="X99">
        <v>168602</v>
      </c>
      <c r="Y99" t="s">
        <v>16</v>
      </c>
      <c r="Z99" t="str">
        <f>LOOKUP(B99,{0,1083,124200,681950},{"1st","2nd","3rd","4th"})&amp;" Quartile"</f>
        <v>4th Quartile</v>
      </c>
    </row>
    <row r="100" spans="1:26">
      <c r="A100">
        <v>2022</v>
      </c>
      <c r="B100">
        <v>2000000</v>
      </c>
      <c r="C100" t="s">
        <v>1154</v>
      </c>
      <c r="D100" t="s">
        <v>1155</v>
      </c>
      <c r="E100">
        <v>63</v>
      </c>
      <c r="F100" t="s">
        <v>1154</v>
      </c>
      <c r="G100">
        <v>79</v>
      </c>
      <c r="H100">
        <v>0.745</v>
      </c>
      <c r="I100">
        <v>0.65</v>
      </c>
      <c r="J100">
        <v>-11.814</v>
      </c>
      <c r="K100">
        <v>1</v>
      </c>
      <c r="L100">
        <v>2</v>
      </c>
      <c r="M100">
        <v>0.34599999999999997</v>
      </c>
      <c r="N100">
        <v>4.5100000000000001E-2</v>
      </c>
      <c r="O100">
        <v>7.5799999999999999E-3</v>
      </c>
      <c r="P100">
        <v>0.111</v>
      </c>
      <c r="Q100">
        <v>0.38600000000000001</v>
      </c>
      <c r="R100">
        <v>144.047</v>
      </c>
      <c r="S100">
        <v>4</v>
      </c>
      <c r="T100">
        <v>152137</v>
      </c>
      <c r="U100">
        <v>4</v>
      </c>
      <c r="V100">
        <v>152137</v>
      </c>
      <c r="W100">
        <v>4</v>
      </c>
      <c r="X100">
        <v>152137</v>
      </c>
      <c r="Y100" t="s">
        <v>16</v>
      </c>
      <c r="Z100" t="str">
        <f>LOOKUP(B100,{0,1083,124200,681950},{"1st","2nd","3rd","4th"})&amp;" Quartile"</f>
        <v>4th Quartile</v>
      </c>
    </row>
    <row r="101" spans="1:26">
      <c r="A101">
        <v>2022</v>
      </c>
      <c r="B101">
        <v>2000000</v>
      </c>
      <c r="C101" t="s">
        <v>1380</v>
      </c>
      <c r="D101" t="s">
        <v>175</v>
      </c>
      <c r="E101">
        <v>88</v>
      </c>
      <c r="F101" t="s">
        <v>1380</v>
      </c>
      <c r="G101">
        <v>82</v>
      </c>
      <c r="H101">
        <v>0.76200000000000001</v>
      </c>
      <c r="I101">
        <v>0.70099999999999996</v>
      </c>
      <c r="J101">
        <v>-3.5409999999999999</v>
      </c>
      <c r="K101">
        <v>1</v>
      </c>
      <c r="L101">
        <v>8</v>
      </c>
      <c r="M101">
        <v>2.86E-2</v>
      </c>
      <c r="N101">
        <v>0.23499999999999999</v>
      </c>
      <c r="O101">
        <v>1.5799999999999999E-4</v>
      </c>
      <c r="P101">
        <v>0.123</v>
      </c>
      <c r="Q101">
        <v>0.74199999999999999</v>
      </c>
      <c r="R101">
        <v>110.968</v>
      </c>
      <c r="S101">
        <v>4</v>
      </c>
      <c r="T101">
        <v>208867</v>
      </c>
      <c r="U101">
        <v>4</v>
      </c>
      <c r="V101">
        <v>208867</v>
      </c>
      <c r="W101">
        <v>4</v>
      </c>
      <c r="X101">
        <v>208867</v>
      </c>
      <c r="Y101" t="s">
        <v>16</v>
      </c>
      <c r="Z101" t="str">
        <f>LOOKUP(B101,{0,1083,124200,681950},{"1st","2nd","3rd","4th"})&amp;" Quartile"</f>
        <v>4th Quartile</v>
      </c>
    </row>
    <row r="102" spans="1:26">
      <c r="A102">
        <v>2021</v>
      </c>
      <c r="B102">
        <v>2000000</v>
      </c>
      <c r="C102" t="s">
        <v>1380</v>
      </c>
      <c r="D102" t="s">
        <v>175</v>
      </c>
      <c r="E102">
        <v>88</v>
      </c>
      <c r="F102" t="s">
        <v>1316</v>
      </c>
      <c r="G102">
        <v>82</v>
      </c>
      <c r="H102">
        <v>0.76400000000000001</v>
      </c>
      <c r="I102">
        <v>0.70499999999999996</v>
      </c>
      <c r="J102">
        <v>-3.4630000000000001</v>
      </c>
      <c r="K102">
        <v>1</v>
      </c>
      <c r="L102">
        <v>8</v>
      </c>
      <c r="M102">
        <v>2.8400000000000002E-2</v>
      </c>
      <c r="N102">
        <v>0.25900000000000001</v>
      </c>
      <c r="O102">
        <v>8.92E-5</v>
      </c>
      <c r="P102">
        <v>0.12</v>
      </c>
      <c r="Q102">
        <v>0.78100000000000003</v>
      </c>
      <c r="R102">
        <v>110.97</v>
      </c>
      <c r="S102">
        <v>4</v>
      </c>
      <c r="T102">
        <v>208667</v>
      </c>
      <c r="U102">
        <v>4</v>
      </c>
      <c r="V102">
        <v>208667</v>
      </c>
      <c r="W102">
        <v>4</v>
      </c>
      <c r="X102">
        <v>208667</v>
      </c>
      <c r="Y102" t="s">
        <v>16</v>
      </c>
      <c r="Z102" t="str">
        <f>LOOKUP(B102,{0,1083,124200,681950},{"1st","2nd","3rd","4th"})&amp;" Quartile"</f>
        <v>4th Quartile</v>
      </c>
    </row>
    <row r="103" spans="1:26">
      <c r="A103">
        <v>2021</v>
      </c>
      <c r="B103">
        <v>2000000</v>
      </c>
      <c r="C103" t="s">
        <v>1154</v>
      </c>
      <c r="D103" t="s">
        <v>1155</v>
      </c>
      <c r="E103">
        <v>63</v>
      </c>
      <c r="F103" t="s">
        <v>1154</v>
      </c>
      <c r="G103">
        <v>79</v>
      </c>
      <c r="H103">
        <v>0.745</v>
      </c>
      <c r="I103">
        <v>0.65</v>
      </c>
      <c r="J103">
        <v>-11.814</v>
      </c>
      <c r="K103">
        <v>1</v>
      </c>
      <c r="L103">
        <v>2</v>
      </c>
      <c r="M103">
        <v>0.34599999999999997</v>
      </c>
      <c r="N103">
        <v>4.5100000000000001E-2</v>
      </c>
      <c r="O103">
        <v>7.5799999999999999E-3</v>
      </c>
      <c r="P103">
        <v>0.111</v>
      </c>
      <c r="Q103">
        <v>0.38600000000000001</v>
      </c>
      <c r="R103">
        <v>144.047</v>
      </c>
      <c r="S103">
        <v>4</v>
      </c>
      <c r="T103">
        <v>152137</v>
      </c>
      <c r="U103">
        <v>4</v>
      </c>
      <c r="V103">
        <v>152137</v>
      </c>
      <c r="W103">
        <v>4</v>
      </c>
      <c r="X103">
        <v>152137</v>
      </c>
      <c r="Y103" t="s">
        <v>16</v>
      </c>
      <c r="Z103" t="str">
        <f>LOOKUP(B103,{0,1083,124200,681950},{"1st","2nd","3rd","4th"})&amp;" Quartile"</f>
        <v>4th Quartile</v>
      </c>
    </row>
    <row r="104" spans="1:26">
      <c r="A104">
        <v>2020</v>
      </c>
      <c r="B104">
        <v>2000000</v>
      </c>
      <c r="C104" t="s">
        <v>997</v>
      </c>
      <c r="D104" t="s">
        <v>998</v>
      </c>
      <c r="E104">
        <v>36</v>
      </c>
      <c r="F104" t="s">
        <v>997</v>
      </c>
      <c r="G104">
        <v>53</v>
      </c>
      <c r="H104">
        <v>0.97399999999999998</v>
      </c>
      <c r="I104">
        <v>0.47199999999999998</v>
      </c>
      <c r="J104">
        <v>-11.848000000000001</v>
      </c>
      <c r="K104">
        <v>0</v>
      </c>
      <c r="L104">
        <v>11</v>
      </c>
      <c r="M104">
        <v>0.44700000000000001</v>
      </c>
      <c r="N104">
        <v>4.8800000000000003E-2</v>
      </c>
      <c r="O104">
        <v>1.5699999999999999E-4</v>
      </c>
      <c r="P104">
        <v>0.11600000000000001</v>
      </c>
      <c r="Q104">
        <v>0.80600000000000005</v>
      </c>
      <c r="R104">
        <v>126.065</v>
      </c>
      <c r="S104">
        <v>4</v>
      </c>
      <c r="T104">
        <v>110063</v>
      </c>
      <c r="U104">
        <v>4</v>
      </c>
      <c r="V104">
        <v>110063</v>
      </c>
      <c r="W104">
        <v>4</v>
      </c>
      <c r="X104">
        <v>110063</v>
      </c>
      <c r="Y104" t="s">
        <v>16</v>
      </c>
      <c r="Z104" t="str">
        <f>LOOKUP(B104,{0,1083,124200,681950},{"1st","2nd","3rd","4th"})&amp;" Quartile"</f>
        <v>4th Quartile</v>
      </c>
    </row>
    <row r="105" spans="1:26">
      <c r="A105">
        <v>2019</v>
      </c>
      <c r="B105">
        <v>2000000</v>
      </c>
      <c r="C105" t="s">
        <v>184</v>
      </c>
      <c r="D105" t="s">
        <v>183</v>
      </c>
      <c r="E105">
        <v>43</v>
      </c>
      <c r="F105" t="s">
        <v>182</v>
      </c>
      <c r="G105">
        <v>42</v>
      </c>
      <c r="H105">
        <v>0.754</v>
      </c>
      <c r="I105">
        <v>0.42399999999999999</v>
      </c>
      <c r="J105">
        <v>-8.4629999999999992</v>
      </c>
      <c r="K105">
        <v>1</v>
      </c>
      <c r="L105">
        <v>2</v>
      </c>
      <c r="M105">
        <v>3.6299999999999999E-2</v>
      </c>
      <c r="N105">
        <v>0.64300000000000002</v>
      </c>
      <c r="O105">
        <v>0</v>
      </c>
      <c r="P105">
        <v>6.5199999999999994E-2</v>
      </c>
      <c r="Q105">
        <v>0.80600000000000005</v>
      </c>
      <c r="R105">
        <v>119.705</v>
      </c>
      <c r="S105">
        <v>4</v>
      </c>
      <c r="T105">
        <v>130973</v>
      </c>
      <c r="U105">
        <v>4</v>
      </c>
      <c r="V105">
        <v>130973</v>
      </c>
      <c r="W105">
        <v>4</v>
      </c>
      <c r="X105">
        <v>130973</v>
      </c>
      <c r="Y105" t="s">
        <v>16</v>
      </c>
      <c r="Z105" t="str">
        <f>LOOKUP(B105,{0,1083,124200,681950},{"1st","2nd","3rd","4th"})&amp;" Quartile"</f>
        <v>4th Quartile</v>
      </c>
    </row>
    <row r="106" spans="1:26">
      <c r="A106">
        <v>2022</v>
      </c>
      <c r="B106">
        <v>1900000</v>
      </c>
      <c r="C106" t="s">
        <v>1381</v>
      </c>
      <c r="D106" t="s">
        <v>175</v>
      </c>
      <c r="E106">
        <v>88</v>
      </c>
      <c r="F106" t="s">
        <v>1316</v>
      </c>
      <c r="G106">
        <v>89</v>
      </c>
      <c r="H106">
        <v>0.82399999999999995</v>
      </c>
      <c r="I106">
        <v>0.76400000000000001</v>
      </c>
      <c r="J106">
        <v>-4.1749999999999998</v>
      </c>
      <c r="K106">
        <v>0</v>
      </c>
      <c r="L106">
        <v>5</v>
      </c>
      <c r="M106">
        <v>8.5400000000000004E-2</v>
      </c>
      <c r="N106">
        <v>8.8800000000000004E-2</v>
      </c>
      <c r="O106">
        <v>2.9399999999999999E-3</v>
      </c>
      <c r="P106">
        <v>0.11700000000000001</v>
      </c>
      <c r="Q106">
        <v>0.88100000000000001</v>
      </c>
      <c r="R106">
        <v>107.998</v>
      </c>
      <c r="S106">
        <v>4</v>
      </c>
      <c r="T106">
        <v>172627</v>
      </c>
      <c r="U106">
        <v>4</v>
      </c>
      <c r="V106">
        <v>172627</v>
      </c>
      <c r="W106">
        <v>4</v>
      </c>
      <c r="X106">
        <v>172627</v>
      </c>
      <c r="Y106" t="s">
        <v>16</v>
      </c>
      <c r="Z106" t="str">
        <f>LOOKUP(B106,{0,1083,124200,681950},{"1st","2nd","3rd","4th"})&amp;" Quartile"</f>
        <v>4th Quartile</v>
      </c>
    </row>
    <row r="107" spans="1:26">
      <c r="A107">
        <v>2022</v>
      </c>
      <c r="B107">
        <v>1900000</v>
      </c>
      <c r="C107" t="s">
        <v>1608</v>
      </c>
      <c r="D107" t="s">
        <v>1609</v>
      </c>
      <c r="E107">
        <v>88</v>
      </c>
      <c r="F107" t="s">
        <v>1608</v>
      </c>
      <c r="G107">
        <v>75</v>
      </c>
      <c r="H107">
        <v>0.88900000000000001</v>
      </c>
      <c r="I107">
        <v>0.34</v>
      </c>
      <c r="J107">
        <v>-7.7729999999999997</v>
      </c>
      <c r="K107">
        <v>0</v>
      </c>
      <c r="L107">
        <v>11</v>
      </c>
      <c r="M107">
        <v>6.9699999999999998E-2</v>
      </c>
      <c r="N107">
        <v>0.218</v>
      </c>
      <c r="O107">
        <v>0.13</v>
      </c>
      <c r="P107">
        <v>5.5E-2</v>
      </c>
      <c r="Q107">
        <v>0.71599999999999997</v>
      </c>
      <c r="R107">
        <v>94.009</v>
      </c>
      <c r="S107">
        <v>4</v>
      </c>
      <c r="T107">
        <v>174321</v>
      </c>
      <c r="U107">
        <v>4</v>
      </c>
      <c r="V107">
        <v>174321</v>
      </c>
      <c r="W107">
        <v>4</v>
      </c>
      <c r="X107">
        <v>174321</v>
      </c>
      <c r="Y107" t="s">
        <v>16</v>
      </c>
      <c r="Z107" t="str">
        <f>LOOKUP(B107,{0,1083,124200,681950},{"1st","2nd","3rd","4th"})&amp;" Quartile"</f>
        <v>4th Quartile</v>
      </c>
    </row>
    <row r="108" spans="1:26">
      <c r="A108">
        <v>2021</v>
      </c>
      <c r="B108">
        <v>1900000</v>
      </c>
      <c r="C108" t="s">
        <v>1381</v>
      </c>
      <c r="D108" t="s">
        <v>175</v>
      </c>
      <c r="E108">
        <v>88</v>
      </c>
      <c r="F108" t="s">
        <v>1316</v>
      </c>
      <c r="G108">
        <v>89</v>
      </c>
      <c r="H108">
        <v>0.82399999999999995</v>
      </c>
      <c r="I108">
        <v>0.76400000000000001</v>
      </c>
      <c r="J108">
        <v>-4.1749999999999998</v>
      </c>
      <c r="K108">
        <v>0</v>
      </c>
      <c r="L108">
        <v>5</v>
      </c>
      <c r="M108">
        <v>8.5400000000000004E-2</v>
      </c>
      <c r="N108">
        <v>8.8800000000000004E-2</v>
      </c>
      <c r="O108">
        <v>2.9399999999999999E-3</v>
      </c>
      <c r="P108">
        <v>0.11700000000000001</v>
      </c>
      <c r="Q108">
        <v>0.88100000000000001</v>
      </c>
      <c r="R108">
        <v>107.998</v>
      </c>
      <c r="S108">
        <v>4</v>
      </c>
      <c r="T108">
        <v>172627</v>
      </c>
      <c r="U108">
        <v>4</v>
      </c>
      <c r="V108">
        <v>172627</v>
      </c>
      <c r="W108">
        <v>4</v>
      </c>
      <c r="X108">
        <v>172627</v>
      </c>
      <c r="Y108" t="s">
        <v>16</v>
      </c>
      <c r="Z108" t="str">
        <f>LOOKUP(B108,{0,1083,124200,681950},{"1st","2nd","3rd","4th"})&amp;" Quartile"</f>
        <v>4th Quartile</v>
      </c>
    </row>
    <row r="109" spans="1:26">
      <c r="A109">
        <v>2020</v>
      </c>
      <c r="B109">
        <v>1900000</v>
      </c>
      <c r="C109" t="s">
        <v>488</v>
      </c>
      <c r="D109" t="s">
        <v>487</v>
      </c>
      <c r="E109">
        <v>77</v>
      </c>
      <c r="F109" t="s">
        <v>486</v>
      </c>
      <c r="G109">
        <v>66</v>
      </c>
      <c r="H109">
        <v>0.84699999999999998</v>
      </c>
      <c r="I109">
        <v>0.65600000000000003</v>
      </c>
      <c r="J109">
        <v>-4.976</v>
      </c>
      <c r="K109">
        <v>1</v>
      </c>
      <c r="L109">
        <v>2</v>
      </c>
      <c r="M109">
        <v>0.115</v>
      </c>
      <c r="N109">
        <v>4.5100000000000001E-3</v>
      </c>
      <c r="O109">
        <v>8.5400000000000005E-4</v>
      </c>
      <c r="P109">
        <v>0.14299999999999999</v>
      </c>
      <c r="Q109">
        <v>0.23400000000000001</v>
      </c>
      <c r="R109">
        <v>114.001</v>
      </c>
      <c r="S109">
        <v>4</v>
      </c>
      <c r="T109">
        <v>154787</v>
      </c>
      <c r="U109">
        <v>4</v>
      </c>
      <c r="V109">
        <v>154787</v>
      </c>
      <c r="W109">
        <v>4</v>
      </c>
      <c r="X109">
        <v>154787</v>
      </c>
      <c r="Y109" t="s">
        <v>16</v>
      </c>
      <c r="Z109" t="str">
        <f>LOOKUP(B109,{0,1083,124200,681950},{"1st","2nd","3rd","4th"})&amp;" Quartile"</f>
        <v>4th Quartile</v>
      </c>
    </row>
    <row r="110" spans="1:26">
      <c r="A110">
        <v>2020</v>
      </c>
      <c r="B110">
        <v>1900000</v>
      </c>
      <c r="C110" t="s">
        <v>870</v>
      </c>
      <c r="D110" t="s">
        <v>869</v>
      </c>
      <c r="E110">
        <v>70</v>
      </c>
      <c r="F110" t="s">
        <v>868</v>
      </c>
      <c r="G110">
        <v>81</v>
      </c>
      <c r="H110">
        <v>0.77</v>
      </c>
      <c r="I110">
        <v>0.72399999999999998</v>
      </c>
      <c r="J110">
        <v>-5.484</v>
      </c>
      <c r="K110">
        <v>1</v>
      </c>
      <c r="L110">
        <v>8</v>
      </c>
      <c r="M110">
        <v>4.9500000000000002E-2</v>
      </c>
      <c r="N110">
        <v>1.67E-2</v>
      </c>
      <c r="O110">
        <v>1.0699999999999999E-2</v>
      </c>
      <c r="P110">
        <v>0.35299999999999998</v>
      </c>
      <c r="Q110">
        <v>0.89800000000000002</v>
      </c>
      <c r="R110">
        <v>121.97499999999999</v>
      </c>
      <c r="S110">
        <v>4</v>
      </c>
      <c r="T110">
        <v>176840</v>
      </c>
      <c r="U110">
        <v>4</v>
      </c>
      <c r="V110">
        <v>176840</v>
      </c>
      <c r="W110">
        <v>4</v>
      </c>
      <c r="X110">
        <v>176840</v>
      </c>
      <c r="Y110" t="s">
        <v>16</v>
      </c>
      <c r="Z110" t="str">
        <f>LOOKUP(B110,{0,1083,124200,681950},{"1st","2nd","3rd","4th"})&amp;" Quartile"</f>
        <v>4th Quartile</v>
      </c>
    </row>
    <row r="111" spans="1:26">
      <c r="A111">
        <v>2020</v>
      </c>
      <c r="B111">
        <v>1900000</v>
      </c>
      <c r="C111" t="s">
        <v>646</v>
      </c>
      <c r="D111" t="s">
        <v>647</v>
      </c>
      <c r="E111">
        <v>21</v>
      </c>
      <c r="F111" t="s">
        <v>646</v>
      </c>
      <c r="G111">
        <v>35</v>
      </c>
      <c r="H111">
        <v>0.95</v>
      </c>
      <c r="I111">
        <v>0.73799999999999999</v>
      </c>
      <c r="J111">
        <v>-9.5039999999999996</v>
      </c>
      <c r="K111">
        <v>0</v>
      </c>
      <c r="L111">
        <v>10</v>
      </c>
      <c r="M111">
        <v>0.32300000000000001</v>
      </c>
      <c r="N111">
        <v>0.113</v>
      </c>
      <c r="O111">
        <v>2.0900000000000001E-4</v>
      </c>
      <c r="P111">
        <v>0.112</v>
      </c>
      <c r="Q111">
        <v>0.56799999999999995</v>
      </c>
      <c r="R111">
        <v>104.998</v>
      </c>
      <c r="S111">
        <v>4</v>
      </c>
      <c r="T111">
        <v>188735</v>
      </c>
      <c r="U111">
        <v>4</v>
      </c>
      <c r="V111">
        <v>188735</v>
      </c>
      <c r="W111">
        <v>4</v>
      </c>
      <c r="X111">
        <v>188735</v>
      </c>
      <c r="Y111" t="s">
        <v>16</v>
      </c>
      <c r="Z111" t="str">
        <f>LOOKUP(B111,{0,1083,124200,681950},{"1st","2nd","3rd","4th"})&amp;" Quartile"</f>
        <v>4th Quartile</v>
      </c>
    </row>
    <row r="112" spans="1:26">
      <c r="A112">
        <v>2019</v>
      </c>
      <c r="B112">
        <v>1900000</v>
      </c>
      <c r="C112" t="s">
        <v>488</v>
      </c>
      <c r="D112" t="s">
        <v>487</v>
      </c>
      <c r="E112">
        <v>77</v>
      </c>
      <c r="F112" t="s">
        <v>486</v>
      </c>
      <c r="G112">
        <v>66</v>
      </c>
      <c r="H112">
        <v>0.84699999999999998</v>
      </c>
      <c r="I112">
        <v>0.65600000000000003</v>
      </c>
      <c r="J112">
        <v>-4.976</v>
      </c>
      <c r="K112">
        <v>1</v>
      </c>
      <c r="L112">
        <v>2</v>
      </c>
      <c r="M112">
        <v>0.115</v>
      </c>
      <c r="N112">
        <v>4.5100000000000001E-3</v>
      </c>
      <c r="O112">
        <v>8.5400000000000005E-4</v>
      </c>
      <c r="P112">
        <v>0.14299999999999999</v>
      </c>
      <c r="Q112">
        <v>0.23400000000000001</v>
      </c>
      <c r="R112">
        <v>114.001</v>
      </c>
      <c r="S112">
        <v>4</v>
      </c>
      <c r="T112">
        <v>154787</v>
      </c>
      <c r="U112">
        <v>4</v>
      </c>
      <c r="V112">
        <v>154787</v>
      </c>
      <c r="W112">
        <v>4</v>
      </c>
      <c r="X112">
        <v>154787</v>
      </c>
      <c r="Y112" t="s">
        <v>16</v>
      </c>
      <c r="Z112" t="str">
        <f>LOOKUP(B112,{0,1083,124200,681950},{"1st","2nd","3rd","4th"})&amp;" Quartile"</f>
        <v>4th Quartile</v>
      </c>
    </row>
    <row r="113" spans="1:26">
      <c r="A113">
        <v>2022</v>
      </c>
      <c r="B113">
        <v>1800000</v>
      </c>
      <c r="C113" t="s">
        <v>1836</v>
      </c>
      <c r="D113" t="s">
        <v>432</v>
      </c>
      <c r="E113">
        <v>81</v>
      </c>
      <c r="F113" t="s">
        <v>1836</v>
      </c>
      <c r="G113">
        <v>92</v>
      </c>
      <c r="H113">
        <v>0.83599999999999997</v>
      </c>
      <c r="I113">
        <v>0.74299999999999999</v>
      </c>
      <c r="J113">
        <v>-6.3049999999999997</v>
      </c>
      <c r="K113">
        <v>0</v>
      </c>
      <c r="L113">
        <v>10</v>
      </c>
      <c r="M113">
        <v>6.5600000000000006E-2</v>
      </c>
      <c r="N113">
        <v>9.9500000000000005E-2</v>
      </c>
      <c r="O113">
        <v>0</v>
      </c>
      <c r="P113">
        <v>0.33500000000000002</v>
      </c>
      <c r="Q113">
        <v>0.72199999999999998</v>
      </c>
      <c r="R113">
        <v>108.96599999999999</v>
      </c>
      <c r="S113">
        <v>4</v>
      </c>
      <c r="T113">
        <v>191822</v>
      </c>
      <c r="U113">
        <v>4</v>
      </c>
      <c r="V113">
        <v>191822</v>
      </c>
      <c r="W113">
        <v>4</v>
      </c>
      <c r="X113">
        <v>191822</v>
      </c>
      <c r="Y113" t="s">
        <v>16</v>
      </c>
      <c r="Z113" t="str">
        <f>LOOKUP(B113,{0,1083,124200,681950},{"1st","2nd","3rd","4th"})&amp;" Quartile"</f>
        <v>4th Quartile</v>
      </c>
    </row>
    <row r="114" spans="1:26">
      <c r="A114">
        <v>2022</v>
      </c>
      <c r="B114">
        <v>1800000</v>
      </c>
      <c r="C114" t="s">
        <v>1733</v>
      </c>
      <c r="D114" t="s">
        <v>597</v>
      </c>
      <c r="E114">
        <v>61</v>
      </c>
      <c r="F114" t="s">
        <v>1732</v>
      </c>
      <c r="G114">
        <v>74</v>
      </c>
      <c r="H114">
        <v>0.72499999999999998</v>
      </c>
      <c r="I114">
        <v>0.44600000000000001</v>
      </c>
      <c r="J114">
        <v>-8.9580000000000002</v>
      </c>
      <c r="K114">
        <v>0</v>
      </c>
      <c r="L114">
        <v>4</v>
      </c>
      <c r="M114">
        <v>2.87E-2</v>
      </c>
      <c r="N114">
        <v>0.85</v>
      </c>
      <c r="O114">
        <v>0.24299999999999999</v>
      </c>
      <c r="P114">
        <v>0.107</v>
      </c>
      <c r="Q114">
        <v>0.311</v>
      </c>
      <c r="R114">
        <v>90.024000000000001</v>
      </c>
      <c r="S114">
        <v>4</v>
      </c>
      <c r="T114">
        <v>187333</v>
      </c>
      <c r="U114">
        <v>4</v>
      </c>
      <c r="V114">
        <v>187333</v>
      </c>
      <c r="W114">
        <v>4</v>
      </c>
      <c r="X114">
        <v>187333</v>
      </c>
      <c r="Y114" t="s">
        <v>16</v>
      </c>
      <c r="Z114" t="str">
        <f>LOOKUP(B114,{0,1083,124200,681950},{"1st","2nd","3rd","4th"})&amp;" Quartile"</f>
        <v>4th Quartile</v>
      </c>
    </row>
    <row r="115" spans="1:26">
      <c r="A115">
        <v>2022</v>
      </c>
      <c r="B115">
        <v>1800000</v>
      </c>
      <c r="C115" t="s">
        <v>1635</v>
      </c>
      <c r="D115" t="s">
        <v>391</v>
      </c>
      <c r="E115">
        <v>73</v>
      </c>
      <c r="F115" t="s">
        <v>1634</v>
      </c>
      <c r="G115">
        <v>45</v>
      </c>
      <c r="H115">
        <v>0.84</v>
      </c>
      <c r="I115">
        <v>0.76600000000000001</v>
      </c>
      <c r="J115">
        <v>-4.12</v>
      </c>
      <c r="K115">
        <v>1</v>
      </c>
      <c r="L115">
        <v>4</v>
      </c>
      <c r="M115">
        <v>0.13600000000000001</v>
      </c>
      <c r="N115">
        <v>3.0200000000000001E-3</v>
      </c>
      <c r="O115">
        <v>3.6100000000000002E-6</v>
      </c>
      <c r="P115">
        <v>6.8400000000000002E-2</v>
      </c>
      <c r="Q115">
        <v>0.40200000000000002</v>
      </c>
      <c r="R115">
        <v>94.018000000000001</v>
      </c>
      <c r="S115">
        <v>4</v>
      </c>
      <c r="T115">
        <v>155884</v>
      </c>
      <c r="U115">
        <v>4</v>
      </c>
      <c r="V115">
        <v>155884</v>
      </c>
      <c r="W115">
        <v>4</v>
      </c>
      <c r="X115">
        <v>155884</v>
      </c>
      <c r="Y115" t="s">
        <v>16</v>
      </c>
      <c r="Z115" t="str">
        <f>LOOKUP(B115,{0,1083,124200,681950},{"1st","2nd","3rd","4th"})&amp;" Quartile"</f>
        <v>4th Quartile</v>
      </c>
    </row>
    <row r="116" spans="1:26">
      <c r="A116">
        <v>2022</v>
      </c>
      <c r="B116">
        <v>1800000</v>
      </c>
      <c r="C116" t="s">
        <v>709</v>
      </c>
      <c r="D116" t="s">
        <v>710</v>
      </c>
      <c r="E116">
        <v>83</v>
      </c>
      <c r="F116" t="s">
        <v>709</v>
      </c>
      <c r="G116">
        <v>72</v>
      </c>
      <c r="H116">
        <v>0.77600000000000002</v>
      </c>
      <c r="I116">
        <v>0.50900000000000001</v>
      </c>
      <c r="J116">
        <v>-6.266</v>
      </c>
      <c r="K116">
        <v>0</v>
      </c>
      <c r="L116">
        <v>0</v>
      </c>
      <c r="M116">
        <v>0.46700000000000003</v>
      </c>
      <c r="N116">
        <v>0.192</v>
      </c>
      <c r="O116">
        <v>1.4899999999999999E-6</v>
      </c>
      <c r="P116">
        <v>0.115</v>
      </c>
      <c r="Q116">
        <v>0.48499999999999999</v>
      </c>
      <c r="R116">
        <v>94.634</v>
      </c>
      <c r="S116">
        <v>4</v>
      </c>
      <c r="T116">
        <v>129371</v>
      </c>
      <c r="U116">
        <v>4</v>
      </c>
      <c r="V116">
        <v>129371</v>
      </c>
      <c r="W116">
        <v>4</v>
      </c>
      <c r="X116">
        <v>129371</v>
      </c>
      <c r="Y116" t="s">
        <v>16</v>
      </c>
      <c r="Z116" t="str">
        <f>LOOKUP(B116,{0,1083,124200,681950},{"1st","2nd","3rd","4th"})&amp;" Quartile"</f>
        <v>4th Quartile</v>
      </c>
    </row>
    <row r="117" spans="1:26">
      <c r="A117">
        <v>2021</v>
      </c>
      <c r="B117">
        <v>1800000</v>
      </c>
      <c r="C117" t="s">
        <v>1245</v>
      </c>
      <c r="D117" t="s">
        <v>1246</v>
      </c>
      <c r="E117">
        <v>65</v>
      </c>
      <c r="F117" t="s">
        <v>1245</v>
      </c>
      <c r="G117">
        <v>57</v>
      </c>
      <c r="H117">
        <v>0.88500000000000001</v>
      </c>
      <c r="I117">
        <v>0.35299999999999998</v>
      </c>
      <c r="J117">
        <v>-10.484</v>
      </c>
      <c r="K117">
        <v>1</v>
      </c>
      <c r="L117">
        <v>2</v>
      </c>
      <c r="M117">
        <v>9.1200000000000003E-2</v>
      </c>
      <c r="N117">
        <v>8.6599999999999996E-2</v>
      </c>
      <c r="O117">
        <v>5.7800000000000002E-5</v>
      </c>
      <c r="P117">
        <v>0.17299999999999999</v>
      </c>
      <c r="Q117">
        <v>0.316</v>
      </c>
      <c r="R117">
        <v>134.07900000000001</v>
      </c>
      <c r="S117">
        <v>4</v>
      </c>
      <c r="T117">
        <v>117067</v>
      </c>
      <c r="U117">
        <v>4</v>
      </c>
      <c r="V117">
        <v>117067</v>
      </c>
      <c r="W117">
        <v>4</v>
      </c>
      <c r="X117">
        <v>117067</v>
      </c>
      <c r="Y117" t="s">
        <v>16</v>
      </c>
      <c r="Z117" t="str">
        <f>LOOKUP(B117,{0,1083,124200,681950},{"1st","2nd","3rd","4th"})&amp;" Quartile"</f>
        <v>4th Quartile</v>
      </c>
    </row>
    <row r="118" spans="1:26">
      <c r="A118">
        <v>2020</v>
      </c>
      <c r="B118">
        <v>1800000</v>
      </c>
      <c r="C118" t="s">
        <v>1106</v>
      </c>
      <c r="D118" t="s">
        <v>1105</v>
      </c>
      <c r="E118">
        <v>47</v>
      </c>
      <c r="F118" t="s">
        <v>1106</v>
      </c>
      <c r="G118">
        <v>51</v>
      </c>
      <c r="H118">
        <v>0.96</v>
      </c>
      <c r="I118">
        <v>0.41199999999999998</v>
      </c>
      <c r="J118">
        <v>-11.281000000000001</v>
      </c>
      <c r="K118">
        <v>1</v>
      </c>
      <c r="L118">
        <v>1</v>
      </c>
      <c r="M118">
        <v>0.60699999999999998</v>
      </c>
      <c r="N118">
        <v>0.11899999999999999</v>
      </c>
      <c r="O118">
        <v>0</v>
      </c>
      <c r="P118">
        <v>9.0300000000000005E-2</v>
      </c>
      <c r="Q118">
        <v>0.49</v>
      </c>
      <c r="R118">
        <v>121.027</v>
      </c>
      <c r="S118">
        <v>4</v>
      </c>
      <c r="T118">
        <v>128926</v>
      </c>
      <c r="U118">
        <v>4</v>
      </c>
      <c r="V118">
        <v>128926</v>
      </c>
      <c r="W118">
        <v>4</v>
      </c>
      <c r="X118">
        <v>128926</v>
      </c>
      <c r="Y118" t="s">
        <v>16</v>
      </c>
      <c r="Z118" t="str">
        <f>LOOKUP(B118,{0,1083,124200,681950},{"1st","2nd","3rd","4th"})&amp;" Quartile"</f>
        <v>4th Quartile</v>
      </c>
    </row>
    <row r="119" spans="1:26">
      <c r="A119">
        <v>2020</v>
      </c>
      <c r="B119">
        <v>1800000</v>
      </c>
      <c r="C119" t="s">
        <v>481</v>
      </c>
      <c r="D119" t="s">
        <v>482</v>
      </c>
      <c r="E119">
        <v>63</v>
      </c>
      <c r="F119" t="s">
        <v>481</v>
      </c>
      <c r="G119">
        <v>75</v>
      </c>
      <c r="H119">
        <v>0.84299999999999997</v>
      </c>
      <c r="I119">
        <v>0.39</v>
      </c>
      <c r="J119">
        <v>-7.899</v>
      </c>
      <c r="K119">
        <v>1</v>
      </c>
      <c r="L119">
        <v>2</v>
      </c>
      <c r="M119">
        <v>8.4599999999999995E-2</v>
      </c>
      <c r="N119">
        <v>0.17799999999999999</v>
      </c>
      <c r="O119">
        <v>0</v>
      </c>
      <c r="P119">
        <v>0.13700000000000001</v>
      </c>
      <c r="Q119">
        <v>0.495</v>
      </c>
      <c r="R119">
        <v>129.97200000000001</v>
      </c>
      <c r="S119">
        <v>4</v>
      </c>
      <c r="T119">
        <v>160627</v>
      </c>
      <c r="U119">
        <v>4</v>
      </c>
      <c r="V119">
        <v>160627</v>
      </c>
      <c r="W119">
        <v>4</v>
      </c>
      <c r="X119">
        <v>160627</v>
      </c>
      <c r="Y119" t="s">
        <v>16</v>
      </c>
      <c r="Z119" t="str">
        <f>LOOKUP(B119,{0,1083,124200,681950},{"1st","2nd","3rd","4th"})&amp;" Quartile"</f>
        <v>4th Quartile</v>
      </c>
    </row>
    <row r="120" spans="1:26">
      <c r="A120">
        <v>2020</v>
      </c>
      <c r="B120">
        <v>1800000</v>
      </c>
      <c r="C120" t="s">
        <v>709</v>
      </c>
      <c r="D120" t="s">
        <v>710</v>
      </c>
      <c r="E120">
        <v>83</v>
      </c>
      <c r="F120" t="s">
        <v>709</v>
      </c>
      <c r="G120">
        <v>72</v>
      </c>
      <c r="H120">
        <v>0.77600000000000002</v>
      </c>
      <c r="I120">
        <v>0.50900000000000001</v>
      </c>
      <c r="J120">
        <v>-6.266</v>
      </c>
      <c r="K120">
        <v>0</v>
      </c>
      <c r="L120">
        <v>0</v>
      </c>
      <c r="M120">
        <v>0.46700000000000003</v>
      </c>
      <c r="N120">
        <v>0.192</v>
      </c>
      <c r="O120">
        <v>1.4899999999999999E-6</v>
      </c>
      <c r="P120">
        <v>0.115</v>
      </c>
      <c r="Q120">
        <v>0.48499999999999999</v>
      </c>
      <c r="R120">
        <v>94.634</v>
      </c>
      <c r="S120">
        <v>4</v>
      </c>
      <c r="T120">
        <v>129371</v>
      </c>
      <c r="U120">
        <v>4</v>
      </c>
      <c r="V120">
        <v>129371</v>
      </c>
      <c r="W120">
        <v>4</v>
      </c>
      <c r="X120">
        <v>129371</v>
      </c>
      <c r="Y120" t="s">
        <v>16</v>
      </c>
      <c r="Z120" t="str">
        <f>LOOKUP(B120,{0,1083,124200,681950},{"1st","2nd","3rd","4th"})&amp;" Quartile"</f>
        <v>4th Quartile</v>
      </c>
    </row>
    <row r="121" spans="1:26">
      <c r="A121">
        <v>2019</v>
      </c>
      <c r="B121">
        <v>1800000</v>
      </c>
      <c r="C121" t="s">
        <v>481</v>
      </c>
      <c r="D121" t="s">
        <v>482</v>
      </c>
      <c r="E121">
        <v>63</v>
      </c>
      <c r="F121" t="s">
        <v>481</v>
      </c>
      <c r="G121">
        <v>75</v>
      </c>
      <c r="H121">
        <v>0.84299999999999997</v>
      </c>
      <c r="I121">
        <v>0.39</v>
      </c>
      <c r="J121">
        <v>-7.899</v>
      </c>
      <c r="K121">
        <v>1</v>
      </c>
      <c r="L121">
        <v>2</v>
      </c>
      <c r="M121">
        <v>8.4599999999999995E-2</v>
      </c>
      <c r="N121">
        <v>0.17799999999999999</v>
      </c>
      <c r="O121">
        <v>0</v>
      </c>
      <c r="P121">
        <v>0.13700000000000001</v>
      </c>
      <c r="Q121">
        <v>0.495</v>
      </c>
      <c r="R121">
        <v>129.97200000000001</v>
      </c>
      <c r="S121">
        <v>4</v>
      </c>
      <c r="T121">
        <v>160627</v>
      </c>
      <c r="U121">
        <v>4</v>
      </c>
      <c r="V121">
        <v>160627</v>
      </c>
      <c r="W121">
        <v>4</v>
      </c>
      <c r="X121">
        <v>160627</v>
      </c>
      <c r="Y121" t="s">
        <v>16</v>
      </c>
      <c r="Z121" t="str">
        <f>LOOKUP(B121,{0,1083,124200,681950},{"1st","2nd","3rd","4th"})&amp;" Quartile"</f>
        <v>4th Quartile</v>
      </c>
    </row>
    <row r="122" spans="1:26">
      <c r="A122">
        <v>2019</v>
      </c>
      <c r="B122">
        <v>1800000</v>
      </c>
      <c r="C122" t="s">
        <v>364</v>
      </c>
      <c r="D122" t="s">
        <v>365</v>
      </c>
      <c r="E122">
        <v>71</v>
      </c>
      <c r="F122" t="s">
        <v>364</v>
      </c>
      <c r="G122">
        <v>81</v>
      </c>
      <c r="H122">
        <v>0.88</v>
      </c>
      <c r="I122">
        <v>0.751</v>
      </c>
      <c r="J122">
        <v>-4.258</v>
      </c>
      <c r="K122">
        <v>0</v>
      </c>
      <c r="L122">
        <v>7</v>
      </c>
      <c r="M122">
        <v>8.7400000000000005E-2</v>
      </c>
      <c r="N122">
        <v>0.17699999999999999</v>
      </c>
      <c r="O122">
        <v>6.4300000000000004E-5</v>
      </c>
      <c r="P122">
        <v>0.106</v>
      </c>
      <c r="Q122">
        <v>0.88400000000000001</v>
      </c>
      <c r="R122">
        <v>117.94799999999999</v>
      </c>
      <c r="S122">
        <v>4</v>
      </c>
      <c r="T122">
        <v>157606</v>
      </c>
      <c r="U122">
        <v>4</v>
      </c>
      <c r="V122">
        <v>157606</v>
      </c>
      <c r="W122">
        <v>4</v>
      </c>
      <c r="X122">
        <v>157606</v>
      </c>
      <c r="Y122" t="s">
        <v>16</v>
      </c>
      <c r="Z122" t="str">
        <f>LOOKUP(B122,{0,1083,124200,681950},{"1st","2nd","3rd","4th"})&amp;" Quartile"</f>
        <v>4th Quartile</v>
      </c>
    </row>
    <row r="123" spans="1:26">
      <c r="A123">
        <v>2022</v>
      </c>
      <c r="B123">
        <v>1700000</v>
      </c>
      <c r="C123" t="s">
        <v>1329</v>
      </c>
      <c r="D123" t="s">
        <v>396</v>
      </c>
      <c r="E123">
        <v>81</v>
      </c>
      <c r="F123" t="s">
        <v>1329</v>
      </c>
      <c r="G123">
        <v>86</v>
      </c>
      <c r="H123">
        <v>0.73599999999999999</v>
      </c>
      <c r="I123">
        <v>0.70399999999999996</v>
      </c>
      <c r="J123">
        <v>-7.4089999999999998</v>
      </c>
      <c r="K123">
        <v>0</v>
      </c>
      <c r="L123">
        <v>3</v>
      </c>
      <c r="M123">
        <v>6.1499999999999999E-2</v>
      </c>
      <c r="N123">
        <v>2.0299999999999999E-2</v>
      </c>
      <c r="O123">
        <v>0</v>
      </c>
      <c r="P123">
        <v>5.0099999999999999E-2</v>
      </c>
      <c r="Q123">
        <v>0.89400000000000002</v>
      </c>
      <c r="R123">
        <v>149.995</v>
      </c>
      <c r="S123">
        <v>4</v>
      </c>
      <c r="T123">
        <v>212000</v>
      </c>
      <c r="U123">
        <v>4</v>
      </c>
      <c r="V123">
        <v>212000</v>
      </c>
      <c r="W123">
        <v>4</v>
      </c>
      <c r="X123">
        <v>212000</v>
      </c>
      <c r="Y123" t="s">
        <v>16</v>
      </c>
      <c r="Z123" t="str">
        <f>LOOKUP(B123,{0,1083,124200,681950},{"1st","2nd","3rd","4th"})&amp;" Quartile"</f>
        <v>4th Quartile</v>
      </c>
    </row>
    <row r="124" spans="1:26">
      <c r="A124">
        <v>2022</v>
      </c>
      <c r="B124">
        <v>1700000</v>
      </c>
      <c r="C124" t="s">
        <v>1495</v>
      </c>
      <c r="D124" t="s">
        <v>1496</v>
      </c>
      <c r="E124">
        <v>63</v>
      </c>
      <c r="F124" t="s">
        <v>1495</v>
      </c>
      <c r="G124">
        <v>73</v>
      </c>
      <c r="H124">
        <v>0.70799999999999996</v>
      </c>
      <c r="I124">
        <v>0.78200000000000003</v>
      </c>
      <c r="J124">
        <v>-4.6870000000000003</v>
      </c>
      <c r="K124">
        <v>1</v>
      </c>
      <c r="L124">
        <v>2</v>
      </c>
      <c r="M124">
        <v>6.7400000000000002E-2</v>
      </c>
      <c r="N124">
        <v>7.7200000000000003E-3</v>
      </c>
      <c r="O124">
        <v>0</v>
      </c>
      <c r="P124">
        <v>0.107</v>
      </c>
      <c r="Q124">
        <v>0.48399999999999999</v>
      </c>
      <c r="R124">
        <v>119.997</v>
      </c>
      <c r="S124">
        <v>4</v>
      </c>
      <c r="T124">
        <v>160880</v>
      </c>
      <c r="U124">
        <v>4</v>
      </c>
      <c r="V124">
        <v>160880</v>
      </c>
      <c r="W124">
        <v>4</v>
      </c>
      <c r="X124">
        <v>160880</v>
      </c>
      <c r="Y124" t="s">
        <v>16</v>
      </c>
      <c r="Z124" t="str">
        <f>LOOKUP(B124,{0,1083,124200,681950},{"1st","2nd","3rd","4th"})&amp;" Quartile"</f>
        <v>4th Quartile</v>
      </c>
    </row>
    <row r="125" spans="1:26">
      <c r="A125">
        <v>2022</v>
      </c>
      <c r="B125">
        <v>1700000</v>
      </c>
      <c r="C125" t="s">
        <v>1147</v>
      </c>
      <c r="D125" t="s">
        <v>815</v>
      </c>
      <c r="E125">
        <v>93</v>
      </c>
      <c r="F125" t="s">
        <v>814</v>
      </c>
      <c r="G125">
        <v>90</v>
      </c>
      <c r="H125">
        <v>0.51400000000000001</v>
      </c>
      <c r="I125">
        <v>0.73</v>
      </c>
      <c r="J125">
        <v>-5.9340000000000002</v>
      </c>
      <c r="K125">
        <v>1</v>
      </c>
      <c r="L125">
        <v>1</v>
      </c>
      <c r="M125">
        <v>5.9799999999999999E-2</v>
      </c>
      <c r="N125">
        <v>1.4599999999999999E-3</v>
      </c>
      <c r="O125">
        <v>9.5400000000000001E-5</v>
      </c>
      <c r="P125">
        <v>8.9700000000000002E-2</v>
      </c>
      <c r="Q125">
        <v>0.33400000000000002</v>
      </c>
      <c r="R125">
        <v>171.005</v>
      </c>
      <c r="S125">
        <v>4</v>
      </c>
      <c r="T125">
        <v>200040</v>
      </c>
      <c r="U125">
        <v>4</v>
      </c>
      <c r="V125">
        <v>200040</v>
      </c>
      <c r="W125">
        <v>4</v>
      </c>
      <c r="X125">
        <v>200040</v>
      </c>
      <c r="Y125" t="s">
        <v>16</v>
      </c>
      <c r="Z125" t="str">
        <f>LOOKUP(B125,{0,1083,124200,681950},{"1st","2nd","3rd","4th"})&amp;" Quartile"</f>
        <v>4th Quartile</v>
      </c>
    </row>
    <row r="126" spans="1:26">
      <c r="A126">
        <v>2022</v>
      </c>
      <c r="B126">
        <v>1700000</v>
      </c>
      <c r="C126" t="s">
        <v>1086</v>
      </c>
      <c r="D126" t="s">
        <v>1085</v>
      </c>
      <c r="E126">
        <v>63</v>
      </c>
      <c r="F126" t="s">
        <v>1602</v>
      </c>
      <c r="G126">
        <v>0</v>
      </c>
      <c r="H126">
        <v>0.81899999999999995</v>
      </c>
      <c r="I126">
        <v>0.64200000000000002</v>
      </c>
      <c r="J126">
        <v>-7.0369999999999999</v>
      </c>
      <c r="K126">
        <v>1</v>
      </c>
      <c r="L126">
        <v>5</v>
      </c>
      <c r="M126">
        <v>0.189</v>
      </c>
      <c r="N126">
        <v>0.33600000000000002</v>
      </c>
      <c r="O126">
        <v>0</v>
      </c>
      <c r="P126">
        <v>7.3499999999999996E-2</v>
      </c>
      <c r="Q126">
        <v>0.45200000000000001</v>
      </c>
      <c r="R126">
        <v>138.02600000000001</v>
      </c>
      <c r="S126">
        <v>4</v>
      </c>
      <c r="T126">
        <v>129241</v>
      </c>
      <c r="U126">
        <v>4</v>
      </c>
      <c r="V126">
        <v>129241</v>
      </c>
      <c r="W126">
        <v>4</v>
      </c>
      <c r="X126">
        <v>129241</v>
      </c>
      <c r="Y126" t="s">
        <v>16</v>
      </c>
      <c r="Z126" t="str">
        <f>LOOKUP(B126,{0,1083,124200,681950},{"1st","2nd","3rd","4th"})&amp;" Quartile"</f>
        <v>4th Quartile</v>
      </c>
    </row>
    <row r="127" spans="1:26">
      <c r="A127">
        <v>2022</v>
      </c>
      <c r="B127">
        <v>1700000</v>
      </c>
      <c r="C127" t="s">
        <v>1147</v>
      </c>
      <c r="D127" t="s">
        <v>815</v>
      </c>
      <c r="E127">
        <v>93</v>
      </c>
      <c r="F127" t="s">
        <v>1147</v>
      </c>
      <c r="G127">
        <v>18</v>
      </c>
      <c r="H127">
        <v>0.51300000000000001</v>
      </c>
      <c r="I127">
        <v>0.79600000000000004</v>
      </c>
      <c r="J127">
        <v>-4.0750000000000002</v>
      </c>
      <c r="K127">
        <v>1</v>
      </c>
      <c r="L127">
        <v>1</v>
      </c>
      <c r="M127">
        <v>6.2899999999999998E-2</v>
      </c>
      <c r="N127">
        <v>1.47E-3</v>
      </c>
      <c r="O127">
        <v>2.0900000000000001E-4</v>
      </c>
      <c r="P127">
        <v>9.3799999999999994E-2</v>
      </c>
      <c r="Q127">
        <v>0.34499999999999997</v>
      </c>
      <c r="R127">
        <v>171.017</v>
      </c>
      <c r="S127">
        <v>4</v>
      </c>
      <c r="T127">
        <v>201573</v>
      </c>
      <c r="U127">
        <v>4</v>
      </c>
      <c r="V127">
        <v>201573</v>
      </c>
      <c r="W127">
        <v>4</v>
      </c>
      <c r="X127">
        <v>201573</v>
      </c>
      <c r="Y127" t="s">
        <v>16</v>
      </c>
      <c r="Z127" t="str">
        <f>LOOKUP(B127,{0,1083,124200,681950},{"1st","2nd","3rd","4th"})&amp;" Quartile"</f>
        <v>4th Quartile</v>
      </c>
    </row>
    <row r="128" spans="1:26">
      <c r="A128">
        <v>2021</v>
      </c>
      <c r="B128">
        <v>1700000</v>
      </c>
      <c r="C128" t="s">
        <v>1501</v>
      </c>
      <c r="D128" t="s">
        <v>1502</v>
      </c>
      <c r="E128">
        <v>62</v>
      </c>
      <c r="F128" t="s">
        <v>1501</v>
      </c>
      <c r="G128">
        <v>77</v>
      </c>
      <c r="H128">
        <v>0.504</v>
      </c>
      <c r="I128">
        <v>0.78800000000000003</v>
      </c>
      <c r="J128">
        <v>-4.1130000000000004</v>
      </c>
      <c r="K128">
        <v>0</v>
      </c>
      <c r="L128">
        <v>3</v>
      </c>
      <c r="M128">
        <v>0.215</v>
      </c>
      <c r="N128">
        <v>1.34E-2</v>
      </c>
      <c r="O128">
        <v>0</v>
      </c>
      <c r="P128">
        <v>0.36299999999999999</v>
      </c>
      <c r="Q128">
        <v>0.22800000000000001</v>
      </c>
      <c r="R128">
        <v>170.03899999999999</v>
      </c>
      <c r="S128">
        <v>4</v>
      </c>
      <c r="T128">
        <v>186022</v>
      </c>
      <c r="U128">
        <v>4</v>
      </c>
      <c r="V128">
        <v>186022</v>
      </c>
      <c r="W128">
        <v>4</v>
      </c>
      <c r="X128">
        <v>186022</v>
      </c>
      <c r="Y128" t="s">
        <v>16</v>
      </c>
      <c r="Z128" t="str">
        <f>LOOKUP(B128,{0,1083,124200,681950},{"1st","2nd","3rd","4th"})&amp;" Quartile"</f>
        <v>4th Quartile</v>
      </c>
    </row>
    <row r="129" spans="1:26">
      <c r="A129">
        <v>2021</v>
      </c>
      <c r="B129">
        <v>1700000</v>
      </c>
      <c r="C129" t="s">
        <v>1495</v>
      </c>
      <c r="D129" t="s">
        <v>1496</v>
      </c>
      <c r="E129">
        <v>63</v>
      </c>
      <c r="F129" t="s">
        <v>1495</v>
      </c>
      <c r="G129">
        <v>73</v>
      </c>
      <c r="H129">
        <v>0.70799999999999996</v>
      </c>
      <c r="I129">
        <v>0.78200000000000003</v>
      </c>
      <c r="J129">
        <v>-4.6870000000000003</v>
      </c>
      <c r="K129">
        <v>1</v>
      </c>
      <c r="L129">
        <v>2</v>
      </c>
      <c r="M129">
        <v>6.7400000000000002E-2</v>
      </c>
      <c r="N129">
        <v>7.7200000000000003E-3</v>
      </c>
      <c r="O129">
        <v>0</v>
      </c>
      <c r="P129">
        <v>0.107</v>
      </c>
      <c r="Q129">
        <v>0.48399999999999999</v>
      </c>
      <c r="R129">
        <v>119.997</v>
      </c>
      <c r="S129">
        <v>4</v>
      </c>
      <c r="T129">
        <v>160880</v>
      </c>
      <c r="U129">
        <v>4</v>
      </c>
      <c r="V129">
        <v>160880</v>
      </c>
      <c r="W129">
        <v>4</v>
      </c>
      <c r="X129">
        <v>160880</v>
      </c>
      <c r="Y129" t="s">
        <v>16</v>
      </c>
      <c r="Z129" t="str">
        <f>LOOKUP(B129,{0,1083,124200,681950},{"1st","2nd","3rd","4th"})&amp;" Quartile"</f>
        <v>4th Quartile</v>
      </c>
    </row>
    <row r="130" spans="1:26">
      <c r="A130">
        <v>2021</v>
      </c>
      <c r="B130">
        <v>1700000</v>
      </c>
      <c r="C130" t="s">
        <v>1374</v>
      </c>
      <c r="D130" t="s">
        <v>1373</v>
      </c>
      <c r="E130">
        <v>91</v>
      </c>
      <c r="F130" t="s">
        <v>1372</v>
      </c>
      <c r="G130">
        <v>15</v>
      </c>
      <c r="H130">
        <v>0.75900000000000001</v>
      </c>
      <c r="I130">
        <v>0.45900000000000002</v>
      </c>
      <c r="J130">
        <v>-5.1870000000000003</v>
      </c>
      <c r="K130">
        <v>1</v>
      </c>
      <c r="L130">
        <v>8</v>
      </c>
      <c r="M130">
        <v>9.4799999999999995E-2</v>
      </c>
      <c r="N130">
        <v>3.2299999999999998E-3</v>
      </c>
      <c r="O130">
        <v>0</v>
      </c>
      <c r="P130">
        <v>9.06E-2</v>
      </c>
      <c r="Q130">
        <v>0.69499999999999995</v>
      </c>
      <c r="R130">
        <v>109.997</v>
      </c>
      <c r="S130">
        <v>4</v>
      </c>
      <c r="T130">
        <v>164442</v>
      </c>
      <c r="U130">
        <v>4</v>
      </c>
      <c r="V130">
        <v>164442</v>
      </c>
      <c r="W130">
        <v>4</v>
      </c>
      <c r="X130">
        <v>164442</v>
      </c>
      <c r="Y130" t="s">
        <v>16</v>
      </c>
      <c r="Z130" t="str">
        <f>LOOKUP(B130,{0,1083,124200,681950},{"1st","2nd","3rd","4th"})&amp;" Quartile"</f>
        <v>4th Quartile</v>
      </c>
    </row>
    <row r="131" spans="1:26">
      <c r="A131">
        <v>2021</v>
      </c>
      <c r="B131">
        <v>1700000</v>
      </c>
      <c r="C131" t="s">
        <v>1275</v>
      </c>
      <c r="D131" t="s">
        <v>1274</v>
      </c>
      <c r="E131">
        <v>81</v>
      </c>
      <c r="F131" t="s">
        <v>1273</v>
      </c>
      <c r="G131">
        <v>79</v>
      </c>
      <c r="H131">
        <v>0.65600000000000003</v>
      </c>
      <c r="I131">
        <v>0.627</v>
      </c>
      <c r="J131">
        <v>-6.6269999999999998</v>
      </c>
      <c r="K131">
        <v>0</v>
      </c>
      <c r="L131">
        <v>7</v>
      </c>
      <c r="M131">
        <v>3.7900000000000003E-2</v>
      </c>
      <c r="N131">
        <v>0.34300000000000003</v>
      </c>
      <c r="O131">
        <v>2.1699999999999999E-5</v>
      </c>
      <c r="P131">
        <v>0.124</v>
      </c>
      <c r="Q131">
        <v>0.48099999999999998</v>
      </c>
      <c r="R131">
        <v>99.933000000000007</v>
      </c>
      <c r="S131">
        <v>4</v>
      </c>
      <c r="T131">
        <v>167066</v>
      </c>
      <c r="U131">
        <v>4</v>
      </c>
      <c r="V131">
        <v>167066</v>
      </c>
      <c r="W131">
        <v>4</v>
      </c>
      <c r="X131">
        <v>167066</v>
      </c>
      <c r="Y131" t="s">
        <v>16</v>
      </c>
      <c r="Z131" t="str">
        <f>LOOKUP(B131,{0,1083,124200,681950},{"1st","2nd","3rd","4th"})&amp;" Quartile"</f>
        <v>4th Quartile</v>
      </c>
    </row>
    <row r="132" spans="1:26">
      <c r="A132">
        <v>2020</v>
      </c>
      <c r="B132">
        <v>1700000</v>
      </c>
      <c r="C132" t="s">
        <v>1147</v>
      </c>
      <c r="D132" t="s">
        <v>815</v>
      </c>
      <c r="E132">
        <v>93</v>
      </c>
      <c r="F132" t="s">
        <v>814</v>
      </c>
      <c r="G132">
        <v>90</v>
      </c>
      <c r="H132">
        <v>0.51400000000000001</v>
      </c>
      <c r="I132">
        <v>0.73</v>
      </c>
      <c r="J132">
        <v>-5.9340000000000002</v>
      </c>
      <c r="K132">
        <v>1</v>
      </c>
      <c r="L132">
        <v>1</v>
      </c>
      <c r="M132">
        <v>5.9799999999999999E-2</v>
      </c>
      <c r="N132">
        <v>1.4599999999999999E-3</v>
      </c>
      <c r="O132">
        <v>9.5400000000000001E-5</v>
      </c>
      <c r="P132">
        <v>8.9700000000000002E-2</v>
      </c>
      <c r="Q132">
        <v>0.33400000000000002</v>
      </c>
      <c r="R132">
        <v>171.005</v>
      </c>
      <c r="S132">
        <v>4</v>
      </c>
      <c r="T132">
        <v>200040</v>
      </c>
      <c r="U132">
        <v>4</v>
      </c>
      <c r="V132">
        <v>200040</v>
      </c>
      <c r="W132">
        <v>4</v>
      </c>
      <c r="X132">
        <v>200040</v>
      </c>
      <c r="Y132" t="s">
        <v>16</v>
      </c>
      <c r="Z132" t="str">
        <f>LOOKUP(B132,{0,1083,124200,681950},{"1st","2nd","3rd","4th"})&amp;" Quartile"</f>
        <v>4th Quartile</v>
      </c>
    </row>
    <row r="133" spans="1:26">
      <c r="A133">
        <v>2019</v>
      </c>
      <c r="B133">
        <v>1700000</v>
      </c>
      <c r="C133" t="s">
        <v>379</v>
      </c>
      <c r="D133" t="s">
        <v>380</v>
      </c>
      <c r="E133">
        <v>34</v>
      </c>
      <c r="F133" t="s">
        <v>379</v>
      </c>
      <c r="G133">
        <v>42</v>
      </c>
      <c r="H133">
        <v>0.92200000000000004</v>
      </c>
      <c r="I133">
        <v>0.45100000000000001</v>
      </c>
      <c r="J133">
        <v>-5.9889999999999999</v>
      </c>
      <c r="K133">
        <v>1</v>
      </c>
      <c r="L133">
        <v>2</v>
      </c>
      <c r="M133">
        <v>0.12</v>
      </c>
      <c r="N133">
        <v>1.4200000000000001E-2</v>
      </c>
      <c r="O133">
        <v>4.74E-5</v>
      </c>
      <c r="P133">
        <v>0.16900000000000001</v>
      </c>
      <c r="Q133">
        <v>0.45700000000000002</v>
      </c>
      <c r="R133">
        <v>120.045</v>
      </c>
      <c r="S133">
        <v>4</v>
      </c>
      <c r="T133">
        <v>73000</v>
      </c>
      <c r="U133">
        <v>4</v>
      </c>
      <c r="V133">
        <v>73000</v>
      </c>
      <c r="W133">
        <v>4</v>
      </c>
      <c r="X133">
        <v>73000</v>
      </c>
      <c r="Y133" t="s">
        <v>16</v>
      </c>
      <c r="Z133" t="str">
        <f>LOOKUP(B133,{0,1083,124200,681950},{"1st","2nd","3rd","4th"})&amp;" Quartile"</f>
        <v>4th Quartile</v>
      </c>
    </row>
    <row r="134" spans="1:26">
      <c r="A134">
        <v>2022</v>
      </c>
      <c r="B134">
        <v>1600000</v>
      </c>
      <c r="C134" t="s">
        <v>1539</v>
      </c>
      <c r="D134" t="s">
        <v>1540</v>
      </c>
      <c r="E134">
        <v>54</v>
      </c>
      <c r="F134" t="s">
        <v>1539</v>
      </c>
      <c r="G134">
        <v>0</v>
      </c>
      <c r="H134">
        <v>0.90700000000000003</v>
      </c>
      <c r="I134">
        <v>0.33200000000000002</v>
      </c>
      <c r="J134">
        <v>-9.8279999999999994</v>
      </c>
      <c r="K134">
        <v>1</v>
      </c>
      <c r="L134">
        <v>1</v>
      </c>
      <c r="M134">
        <v>8.3599999999999994E-2</v>
      </c>
      <c r="N134">
        <v>0.32600000000000001</v>
      </c>
      <c r="O134">
        <v>1.6799999999999999E-2</v>
      </c>
      <c r="P134">
        <v>0.109</v>
      </c>
      <c r="Q134">
        <v>0.27700000000000002</v>
      </c>
      <c r="R134">
        <v>99.998000000000005</v>
      </c>
      <c r="S134">
        <v>4</v>
      </c>
      <c r="T134">
        <v>106031</v>
      </c>
      <c r="U134">
        <v>4</v>
      </c>
      <c r="V134">
        <v>106031</v>
      </c>
      <c r="W134">
        <v>4</v>
      </c>
      <c r="X134">
        <v>106031</v>
      </c>
      <c r="Y134" t="s">
        <v>16</v>
      </c>
      <c r="Z134" t="str">
        <f>LOOKUP(B134,{0,1083,124200,681950},{"1st","2nd","3rd","4th"})&amp;" Quartile"</f>
        <v>4th Quartile</v>
      </c>
    </row>
    <row r="135" spans="1:26">
      <c r="A135">
        <v>2021</v>
      </c>
      <c r="B135">
        <v>1600000</v>
      </c>
      <c r="C135" t="s">
        <v>1437</v>
      </c>
      <c r="D135" t="s">
        <v>1436</v>
      </c>
      <c r="E135">
        <v>69</v>
      </c>
      <c r="F135" t="s">
        <v>1435</v>
      </c>
      <c r="G135">
        <v>72</v>
      </c>
      <c r="H135">
        <v>0.70099999999999996</v>
      </c>
      <c r="I135">
        <v>0.78700000000000003</v>
      </c>
      <c r="J135">
        <v>-3.9409999999999998</v>
      </c>
      <c r="K135">
        <v>0</v>
      </c>
      <c r="L135">
        <v>8</v>
      </c>
      <c r="M135">
        <v>8.5500000000000007E-2</v>
      </c>
      <c r="N135">
        <v>0.27</v>
      </c>
      <c r="O135">
        <v>0</v>
      </c>
      <c r="P135">
        <v>0.105</v>
      </c>
      <c r="Q135">
        <v>0.90400000000000003</v>
      </c>
      <c r="R135">
        <v>180.02699999999999</v>
      </c>
      <c r="S135">
        <v>4</v>
      </c>
      <c r="T135">
        <v>171720</v>
      </c>
      <c r="U135">
        <v>4</v>
      </c>
      <c r="V135">
        <v>171720</v>
      </c>
      <c r="W135">
        <v>4</v>
      </c>
      <c r="X135">
        <v>171720</v>
      </c>
      <c r="Y135" t="s">
        <v>16</v>
      </c>
      <c r="Z135" t="str">
        <f>LOOKUP(B135,{0,1083,124200,681950},{"1st","2nd","3rd","4th"})&amp;" Quartile"</f>
        <v>4th Quartile</v>
      </c>
    </row>
    <row r="136" spans="1:26">
      <c r="A136">
        <v>2020</v>
      </c>
      <c r="B136">
        <v>1600000</v>
      </c>
      <c r="C136" t="s">
        <v>1104</v>
      </c>
      <c r="D136" t="s">
        <v>1105</v>
      </c>
      <c r="E136">
        <v>47</v>
      </c>
      <c r="F136" t="s">
        <v>1104</v>
      </c>
      <c r="G136">
        <v>47</v>
      </c>
      <c r="H136">
        <v>0.96499999999999997</v>
      </c>
      <c r="I136">
        <v>0.41199999999999998</v>
      </c>
      <c r="J136">
        <v>-8.6959999999999997</v>
      </c>
      <c r="K136">
        <v>1</v>
      </c>
      <c r="L136">
        <v>0</v>
      </c>
      <c r="M136">
        <v>0.434</v>
      </c>
      <c r="N136">
        <v>7.7799999999999994E-2</v>
      </c>
      <c r="O136">
        <v>1.1200000000000001E-6</v>
      </c>
      <c r="P136">
        <v>8.6699999999999999E-2</v>
      </c>
      <c r="Q136">
        <v>0.48599999999999999</v>
      </c>
      <c r="R136">
        <v>120.03</v>
      </c>
      <c r="S136">
        <v>4</v>
      </c>
      <c r="T136">
        <v>106016</v>
      </c>
      <c r="U136">
        <v>4</v>
      </c>
      <c r="V136">
        <v>106016</v>
      </c>
      <c r="W136">
        <v>4</v>
      </c>
      <c r="X136">
        <v>106016</v>
      </c>
      <c r="Y136" t="s">
        <v>16</v>
      </c>
      <c r="Z136" t="str">
        <f>LOOKUP(B136,{0,1083,124200,681950},{"1st","2nd","3rd","4th"})&amp;" Quartile"</f>
        <v>4th Quartile</v>
      </c>
    </row>
    <row r="137" spans="1:26">
      <c r="A137">
        <v>2020</v>
      </c>
      <c r="B137">
        <v>1600000</v>
      </c>
      <c r="C137" t="s">
        <v>364</v>
      </c>
      <c r="D137" t="s">
        <v>365</v>
      </c>
      <c r="E137">
        <v>71</v>
      </c>
      <c r="F137" t="s">
        <v>364</v>
      </c>
      <c r="G137">
        <v>81</v>
      </c>
      <c r="H137">
        <v>0.88</v>
      </c>
      <c r="I137">
        <v>0.751</v>
      </c>
      <c r="J137">
        <v>-4.258</v>
      </c>
      <c r="K137">
        <v>0</v>
      </c>
      <c r="L137">
        <v>7</v>
      </c>
      <c r="M137">
        <v>8.7400000000000005E-2</v>
      </c>
      <c r="N137">
        <v>0.17699999999999999</v>
      </c>
      <c r="O137">
        <v>6.4300000000000004E-5</v>
      </c>
      <c r="P137">
        <v>0.106</v>
      </c>
      <c r="Q137">
        <v>0.88400000000000001</v>
      </c>
      <c r="R137">
        <v>117.94799999999999</v>
      </c>
      <c r="S137">
        <v>4</v>
      </c>
      <c r="T137">
        <v>157606</v>
      </c>
      <c r="U137">
        <v>4</v>
      </c>
      <c r="V137">
        <v>157606</v>
      </c>
      <c r="W137">
        <v>4</v>
      </c>
      <c r="X137">
        <v>157606</v>
      </c>
      <c r="Y137" t="s">
        <v>16</v>
      </c>
      <c r="Z137" t="str">
        <f>LOOKUP(B137,{0,1083,124200,681950},{"1st","2nd","3rd","4th"})&amp;" Quartile"</f>
        <v>4th Quartile</v>
      </c>
    </row>
    <row r="138" spans="1:26">
      <c r="A138">
        <v>2020</v>
      </c>
      <c r="B138">
        <v>1600000</v>
      </c>
      <c r="C138" t="s">
        <v>451</v>
      </c>
      <c r="D138" t="s">
        <v>452</v>
      </c>
      <c r="E138">
        <v>61</v>
      </c>
      <c r="F138" t="s">
        <v>451</v>
      </c>
      <c r="G138">
        <v>77</v>
      </c>
      <c r="H138">
        <v>0.60599999999999998</v>
      </c>
      <c r="I138">
        <v>0.79900000000000004</v>
      </c>
      <c r="J138">
        <v>-4.452</v>
      </c>
      <c r="K138">
        <v>1</v>
      </c>
      <c r="L138">
        <v>9</v>
      </c>
      <c r="M138">
        <v>2.6100000000000002E-2</v>
      </c>
      <c r="N138">
        <v>1.2800000000000001E-2</v>
      </c>
      <c r="O138">
        <v>0</v>
      </c>
      <c r="P138">
        <v>0.15</v>
      </c>
      <c r="Q138">
        <v>0.63800000000000001</v>
      </c>
      <c r="R138">
        <v>103.014</v>
      </c>
      <c r="S138">
        <v>4</v>
      </c>
      <c r="T138">
        <v>232907</v>
      </c>
      <c r="U138">
        <v>4</v>
      </c>
      <c r="V138">
        <v>232907</v>
      </c>
      <c r="W138">
        <v>4</v>
      </c>
      <c r="X138">
        <v>232907</v>
      </c>
      <c r="Y138" t="s">
        <v>16</v>
      </c>
      <c r="Z138" t="str">
        <f>LOOKUP(B138,{0,1083,124200,681950},{"1st","2nd","3rd","4th"})&amp;" Quartile"</f>
        <v>4th Quartile</v>
      </c>
    </row>
    <row r="139" spans="1:26">
      <c r="A139">
        <v>2019</v>
      </c>
      <c r="B139">
        <v>1600000</v>
      </c>
      <c r="C139" t="s">
        <v>451</v>
      </c>
      <c r="D139" t="s">
        <v>452</v>
      </c>
      <c r="E139">
        <v>61</v>
      </c>
      <c r="F139" t="s">
        <v>451</v>
      </c>
      <c r="G139">
        <v>77</v>
      </c>
      <c r="H139">
        <v>0.60599999999999998</v>
      </c>
      <c r="I139">
        <v>0.79900000000000004</v>
      </c>
      <c r="J139">
        <v>-4.452</v>
      </c>
      <c r="K139">
        <v>1</v>
      </c>
      <c r="L139">
        <v>9</v>
      </c>
      <c r="M139">
        <v>2.6100000000000002E-2</v>
      </c>
      <c r="N139">
        <v>1.2800000000000001E-2</v>
      </c>
      <c r="O139">
        <v>0</v>
      </c>
      <c r="P139">
        <v>0.15</v>
      </c>
      <c r="Q139">
        <v>0.63800000000000001</v>
      </c>
      <c r="R139">
        <v>103.014</v>
      </c>
      <c r="S139">
        <v>4</v>
      </c>
      <c r="T139">
        <v>232907</v>
      </c>
      <c r="U139">
        <v>4</v>
      </c>
      <c r="V139">
        <v>232907</v>
      </c>
      <c r="W139">
        <v>4</v>
      </c>
      <c r="X139">
        <v>232907</v>
      </c>
      <c r="Y139" t="s">
        <v>16</v>
      </c>
      <c r="Z139" t="str">
        <f>LOOKUP(B139,{0,1083,124200,681950},{"1st","2nd","3rd","4th"})&amp;" Quartile"</f>
        <v>4th Quartile</v>
      </c>
    </row>
    <row r="140" spans="1:26">
      <c r="A140">
        <v>2022</v>
      </c>
      <c r="B140">
        <v>1500000</v>
      </c>
      <c r="C140" t="s">
        <v>1459</v>
      </c>
      <c r="D140" t="s">
        <v>1460</v>
      </c>
      <c r="E140">
        <v>86</v>
      </c>
      <c r="F140" t="s">
        <v>1459</v>
      </c>
      <c r="G140">
        <v>31</v>
      </c>
      <c r="H140">
        <v>0.58599999999999997</v>
      </c>
      <c r="I140">
        <v>0.61599999999999999</v>
      </c>
      <c r="J140">
        <v>-7.9640000000000004</v>
      </c>
      <c r="K140">
        <v>1</v>
      </c>
      <c r="L140">
        <v>5</v>
      </c>
      <c r="M140">
        <v>3.2399999999999998E-2</v>
      </c>
      <c r="N140">
        <v>0.182</v>
      </c>
      <c r="O140">
        <v>0</v>
      </c>
      <c r="P140">
        <v>9.2700000000000005E-2</v>
      </c>
      <c r="Q140">
        <v>0.71899999999999997</v>
      </c>
      <c r="R140">
        <v>148.08799999999999</v>
      </c>
      <c r="S140">
        <v>4</v>
      </c>
      <c r="T140">
        <v>242096</v>
      </c>
      <c r="U140">
        <v>4</v>
      </c>
      <c r="V140">
        <v>242096</v>
      </c>
      <c r="W140">
        <v>4</v>
      </c>
      <c r="X140">
        <v>242096</v>
      </c>
      <c r="Y140" t="s">
        <v>16</v>
      </c>
      <c r="Z140" t="str">
        <f>LOOKUP(B140,{0,1083,124200,681950},{"1st","2nd","3rd","4th"})&amp;" Quartile"</f>
        <v>4th Quartile</v>
      </c>
    </row>
    <row r="141" spans="1:26">
      <c r="A141">
        <v>2022</v>
      </c>
      <c r="B141">
        <v>1500000</v>
      </c>
      <c r="C141" t="s">
        <v>591</v>
      </c>
      <c r="D141" t="s">
        <v>592</v>
      </c>
      <c r="E141">
        <v>60</v>
      </c>
      <c r="F141" t="s">
        <v>591</v>
      </c>
      <c r="G141">
        <v>3</v>
      </c>
      <c r="H141">
        <v>0.84699999999999998</v>
      </c>
      <c r="I141">
        <v>0.67800000000000005</v>
      </c>
      <c r="J141">
        <v>-8.6349999999999998</v>
      </c>
      <c r="K141">
        <v>1</v>
      </c>
      <c r="L141">
        <v>9</v>
      </c>
      <c r="M141">
        <v>0.109</v>
      </c>
      <c r="N141">
        <v>6.6900000000000001E-2</v>
      </c>
      <c r="O141">
        <v>0</v>
      </c>
      <c r="P141">
        <v>0.27400000000000002</v>
      </c>
      <c r="Q141">
        <v>0.81100000000000005</v>
      </c>
      <c r="R141">
        <v>97.983999999999995</v>
      </c>
      <c r="S141">
        <v>4</v>
      </c>
      <c r="T141">
        <v>200594</v>
      </c>
      <c r="U141">
        <v>4</v>
      </c>
      <c r="V141">
        <v>200594</v>
      </c>
      <c r="W141">
        <v>4</v>
      </c>
      <c r="X141">
        <v>200594</v>
      </c>
      <c r="Y141" t="s">
        <v>16</v>
      </c>
      <c r="Z141" t="str">
        <f>LOOKUP(B141,{0,1083,124200,681950},{"1st","2nd","3rd","4th"})&amp;" Quartile"</f>
        <v>4th Quartile</v>
      </c>
    </row>
    <row r="142" spans="1:26">
      <c r="A142">
        <v>2021</v>
      </c>
      <c r="B142">
        <v>1500000</v>
      </c>
      <c r="C142" t="s">
        <v>1459</v>
      </c>
      <c r="D142" t="s">
        <v>1460</v>
      </c>
      <c r="E142">
        <v>86</v>
      </c>
      <c r="F142" t="s">
        <v>1459</v>
      </c>
      <c r="G142">
        <v>31</v>
      </c>
      <c r="H142">
        <v>0.58599999999999997</v>
      </c>
      <c r="I142">
        <v>0.61599999999999999</v>
      </c>
      <c r="J142">
        <v>-7.9640000000000004</v>
      </c>
      <c r="K142">
        <v>1</v>
      </c>
      <c r="L142">
        <v>5</v>
      </c>
      <c r="M142">
        <v>3.2399999999999998E-2</v>
      </c>
      <c r="N142">
        <v>0.182</v>
      </c>
      <c r="O142">
        <v>0</v>
      </c>
      <c r="P142">
        <v>9.2700000000000005E-2</v>
      </c>
      <c r="Q142">
        <v>0.71899999999999997</v>
      </c>
      <c r="R142">
        <v>148.08799999999999</v>
      </c>
      <c r="S142">
        <v>4</v>
      </c>
      <c r="T142">
        <v>242096</v>
      </c>
      <c r="U142">
        <v>4</v>
      </c>
      <c r="V142">
        <v>242096</v>
      </c>
      <c r="W142">
        <v>4</v>
      </c>
      <c r="X142">
        <v>242096</v>
      </c>
      <c r="Y142" t="s">
        <v>16</v>
      </c>
      <c r="Z142" t="str">
        <f>LOOKUP(B142,{0,1083,124200,681950},{"1st","2nd","3rd","4th"})&amp;" Quartile"</f>
        <v>4th Quartile</v>
      </c>
    </row>
    <row r="143" spans="1:26">
      <c r="A143">
        <v>2021</v>
      </c>
      <c r="B143">
        <v>1500000</v>
      </c>
      <c r="C143" t="s">
        <v>1376</v>
      </c>
      <c r="D143" t="s">
        <v>1373</v>
      </c>
      <c r="E143">
        <v>91</v>
      </c>
      <c r="F143" t="s">
        <v>1375</v>
      </c>
      <c r="G143">
        <v>11</v>
      </c>
      <c r="H143">
        <v>0.70199999999999996</v>
      </c>
      <c r="I143">
        <v>0.74099999999999999</v>
      </c>
      <c r="J143">
        <v>-5.33</v>
      </c>
      <c r="K143">
        <v>1</v>
      </c>
      <c r="L143">
        <v>9</v>
      </c>
      <c r="M143">
        <v>4.2700000000000002E-2</v>
      </c>
      <c r="N143">
        <v>5.4400000000000004E-3</v>
      </c>
      <c r="O143">
        <v>0</v>
      </c>
      <c r="P143">
        <v>0.33700000000000002</v>
      </c>
      <c r="Q143">
        <v>0.64600000000000002</v>
      </c>
      <c r="R143">
        <v>124.925</v>
      </c>
      <c r="S143">
        <v>4</v>
      </c>
      <c r="T143">
        <v>187585</v>
      </c>
      <c r="U143">
        <v>4</v>
      </c>
      <c r="V143">
        <v>187585</v>
      </c>
      <c r="W143">
        <v>4</v>
      </c>
      <c r="X143">
        <v>187585</v>
      </c>
      <c r="Y143" t="s">
        <v>16</v>
      </c>
      <c r="Z143" t="str">
        <f>LOOKUP(B143,{0,1083,124200,681950},{"1st","2nd","3rd","4th"})&amp;" Quartile"</f>
        <v>4th Quartile</v>
      </c>
    </row>
    <row r="144" spans="1:26">
      <c r="A144">
        <v>2021</v>
      </c>
      <c r="B144">
        <v>1500000</v>
      </c>
      <c r="C144" t="s">
        <v>1240</v>
      </c>
      <c r="D144" t="s">
        <v>1241</v>
      </c>
      <c r="E144">
        <v>80</v>
      </c>
      <c r="F144" t="s">
        <v>1240</v>
      </c>
      <c r="G144">
        <v>85</v>
      </c>
      <c r="H144">
        <v>0.76100000000000001</v>
      </c>
      <c r="I144">
        <v>0.52500000000000002</v>
      </c>
      <c r="J144">
        <v>-6.9</v>
      </c>
      <c r="K144">
        <v>1</v>
      </c>
      <c r="L144">
        <v>11</v>
      </c>
      <c r="M144">
        <v>9.4399999999999998E-2</v>
      </c>
      <c r="N144">
        <v>0.44</v>
      </c>
      <c r="O144">
        <v>6.7000000000000002E-6</v>
      </c>
      <c r="P144">
        <v>9.2100000000000001E-2</v>
      </c>
      <c r="Q144">
        <v>0.53100000000000003</v>
      </c>
      <c r="R144">
        <v>80.87</v>
      </c>
      <c r="S144">
        <v>4</v>
      </c>
      <c r="T144">
        <v>238805</v>
      </c>
      <c r="U144">
        <v>4</v>
      </c>
      <c r="V144">
        <v>238805</v>
      </c>
      <c r="W144">
        <v>4</v>
      </c>
      <c r="X144">
        <v>238805</v>
      </c>
      <c r="Y144" t="s">
        <v>16</v>
      </c>
      <c r="Z144" t="str">
        <f>LOOKUP(B144,{0,1083,124200,681950},{"1st","2nd","3rd","4th"})&amp;" Quartile"</f>
        <v>4th Quartile</v>
      </c>
    </row>
    <row r="145" spans="1:26">
      <c r="A145">
        <v>2020</v>
      </c>
      <c r="B145">
        <v>1500000</v>
      </c>
      <c r="C145" t="s">
        <v>1019</v>
      </c>
      <c r="D145" t="s">
        <v>1018</v>
      </c>
      <c r="E145">
        <v>84</v>
      </c>
      <c r="F145" t="s">
        <v>1017</v>
      </c>
      <c r="G145">
        <v>69</v>
      </c>
      <c r="H145">
        <v>0.84199999999999997</v>
      </c>
      <c r="I145">
        <v>0.59699999999999998</v>
      </c>
      <c r="J145">
        <v>-6.3360000000000003</v>
      </c>
      <c r="K145">
        <v>1</v>
      </c>
      <c r="L145">
        <v>2</v>
      </c>
      <c r="M145">
        <v>6.2700000000000006E-2</v>
      </c>
      <c r="N145">
        <v>2.5200000000000001E-3</v>
      </c>
      <c r="O145">
        <v>0</v>
      </c>
      <c r="P145">
        <v>0.124</v>
      </c>
      <c r="Q145">
        <v>0.29799999999999999</v>
      </c>
      <c r="R145">
        <v>145.99199999999999</v>
      </c>
      <c r="S145">
        <v>4</v>
      </c>
      <c r="T145">
        <v>215307</v>
      </c>
      <c r="U145">
        <v>4</v>
      </c>
      <c r="V145">
        <v>215307</v>
      </c>
      <c r="W145">
        <v>4</v>
      </c>
      <c r="X145">
        <v>215307</v>
      </c>
      <c r="Y145" t="s">
        <v>16</v>
      </c>
      <c r="Z145" t="str">
        <f>LOOKUP(B145,{0,1083,124200,681950},{"1st","2nd","3rd","4th"})&amp;" Quartile"</f>
        <v>4th Quartile</v>
      </c>
    </row>
    <row r="146" spans="1:26">
      <c r="A146">
        <v>2020</v>
      </c>
      <c r="B146">
        <v>1500000</v>
      </c>
      <c r="C146" t="s">
        <v>1011</v>
      </c>
      <c r="D146" t="s">
        <v>1010</v>
      </c>
      <c r="E146">
        <v>67</v>
      </c>
      <c r="F146" t="s">
        <v>1009</v>
      </c>
      <c r="G146">
        <v>69</v>
      </c>
      <c r="H146">
        <v>0.61899999999999999</v>
      </c>
      <c r="I146">
        <v>0.45</v>
      </c>
      <c r="J146">
        <v>-11.965</v>
      </c>
      <c r="K146">
        <v>0</v>
      </c>
      <c r="L146">
        <v>7</v>
      </c>
      <c r="M146">
        <v>0.51500000000000001</v>
      </c>
      <c r="N146">
        <v>0.433</v>
      </c>
      <c r="O146">
        <v>0</v>
      </c>
      <c r="P146">
        <v>0.51300000000000001</v>
      </c>
      <c r="Q146">
        <v>0.41</v>
      </c>
      <c r="R146">
        <v>179.755</v>
      </c>
      <c r="S146">
        <v>4</v>
      </c>
      <c r="T146">
        <v>194000</v>
      </c>
      <c r="U146">
        <v>4</v>
      </c>
      <c r="V146">
        <v>194000</v>
      </c>
      <c r="W146">
        <v>4</v>
      </c>
      <c r="X146">
        <v>194000</v>
      </c>
      <c r="Y146" t="s">
        <v>16</v>
      </c>
      <c r="Z146" t="str">
        <f>LOOKUP(B146,{0,1083,124200,681950},{"1st","2nd","3rd","4th"})&amp;" Quartile"</f>
        <v>4th Quartile</v>
      </c>
    </row>
    <row r="147" spans="1:26">
      <c r="A147">
        <v>2020</v>
      </c>
      <c r="B147">
        <v>1500000</v>
      </c>
      <c r="C147" t="s">
        <v>834</v>
      </c>
      <c r="D147" t="s">
        <v>835</v>
      </c>
      <c r="E147">
        <v>28</v>
      </c>
      <c r="F147" t="s">
        <v>834</v>
      </c>
      <c r="G147">
        <v>44</v>
      </c>
      <c r="H147">
        <v>0.42</v>
      </c>
      <c r="I147">
        <v>0.65600000000000003</v>
      </c>
      <c r="J147">
        <v>-6.7759999999999998</v>
      </c>
      <c r="K147">
        <v>0</v>
      </c>
      <c r="L147">
        <v>11</v>
      </c>
      <c r="M147">
        <v>6.7799999999999999E-2</v>
      </c>
      <c r="N147">
        <v>0.49399999999999999</v>
      </c>
      <c r="O147">
        <v>0</v>
      </c>
      <c r="P147">
        <v>0.36</v>
      </c>
      <c r="Q147">
        <v>0.44800000000000001</v>
      </c>
      <c r="R147">
        <v>110.45699999999999</v>
      </c>
      <c r="S147">
        <v>4</v>
      </c>
      <c r="T147">
        <v>346436</v>
      </c>
      <c r="U147">
        <v>4</v>
      </c>
      <c r="V147">
        <v>346436</v>
      </c>
      <c r="W147">
        <v>4</v>
      </c>
      <c r="X147">
        <v>346436</v>
      </c>
      <c r="Y147" t="s">
        <v>16</v>
      </c>
      <c r="Z147" t="str">
        <f>LOOKUP(B147,{0,1083,124200,681950},{"1st","2nd","3rd","4th"})&amp;" Quartile"</f>
        <v>4th Quartile</v>
      </c>
    </row>
    <row r="148" spans="1:26">
      <c r="A148">
        <v>2020</v>
      </c>
      <c r="B148">
        <v>1500000</v>
      </c>
      <c r="C148" t="s">
        <v>722</v>
      </c>
      <c r="D148" t="s">
        <v>721</v>
      </c>
      <c r="E148">
        <v>78</v>
      </c>
      <c r="F148" t="s">
        <v>720</v>
      </c>
      <c r="G148">
        <v>78</v>
      </c>
      <c r="H148">
        <v>0.316</v>
      </c>
      <c r="I148">
        <v>0.63</v>
      </c>
      <c r="J148">
        <v>-5.9630000000000001</v>
      </c>
      <c r="K148">
        <v>1</v>
      </c>
      <c r="L148">
        <v>5</v>
      </c>
      <c r="M148">
        <v>0.11700000000000001</v>
      </c>
      <c r="N148">
        <v>0.47099999999999997</v>
      </c>
      <c r="O148">
        <v>0.26200000000000001</v>
      </c>
      <c r="P148">
        <v>0.20499999999999999</v>
      </c>
      <c r="Q148">
        <v>0.313</v>
      </c>
      <c r="R148">
        <v>89.643000000000001</v>
      </c>
      <c r="S148">
        <v>1</v>
      </c>
      <c r="T148">
        <v>153294</v>
      </c>
      <c r="U148">
        <v>1</v>
      </c>
      <c r="V148">
        <v>153294</v>
      </c>
      <c r="W148">
        <v>1</v>
      </c>
      <c r="X148">
        <v>153294</v>
      </c>
      <c r="Y148" t="s">
        <v>16</v>
      </c>
      <c r="Z148" t="str">
        <f>LOOKUP(B148,{0,1083,124200,681950},{"1st","2nd","3rd","4th"})&amp;" Quartile"</f>
        <v>4th Quartile</v>
      </c>
    </row>
    <row r="149" spans="1:26">
      <c r="A149">
        <v>2022</v>
      </c>
      <c r="B149">
        <v>1400000</v>
      </c>
      <c r="C149" t="s">
        <v>1630</v>
      </c>
      <c r="D149" t="s">
        <v>1629</v>
      </c>
      <c r="E149">
        <v>78</v>
      </c>
      <c r="F149" t="s">
        <v>1628</v>
      </c>
      <c r="G149">
        <v>82</v>
      </c>
      <c r="H149">
        <v>0.65300000000000002</v>
      </c>
      <c r="I149">
        <v>0.52400000000000002</v>
      </c>
      <c r="J149">
        <v>-9.016</v>
      </c>
      <c r="K149">
        <v>0</v>
      </c>
      <c r="L149">
        <v>11</v>
      </c>
      <c r="M149">
        <v>5.0200000000000002E-2</v>
      </c>
      <c r="N149">
        <v>0.112</v>
      </c>
      <c r="O149">
        <v>0</v>
      </c>
      <c r="P149">
        <v>0.20300000000000001</v>
      </c>
      <c r="Q149">
        <v>0.55300000000000005</v>
      </c>
      <c r="R149">
        <v>83.97</v>
      </c>
      <c r="S149">
        <v>4</v>
      </c>
      <c r="T149">
        <v>160191</v>
      </c>
      <c r="U149">
        <v>4</v>
      </c>
      <c r="V149">
        <v>160191</v>
      </c>
      <c r="W149">
        <v>4</v>
      </c>
      <c r="X149">
        <v>160191</v>
      </c>
      <c r="Y149" t="s">
        <v>16</v>
      </c>
      <c r="Z149" t="str">
        <f>LOOKUP(B149,{0,1083,124200,681950},{"1st","2nd","3rd","4th"})&amp;" Quartile"</f>
        <v>4th Quartile</v>
      </c>
    </row>
    <row r="150" spans="1:26">
      <c r="A150">
        <v>2022</v>
      </c>
      <c r="B150">
        <v>1400000</v>
      </c>
      <c r="C150" t="s">
        <v>1128</v>
      </c>
      <c r="D150" t="s">
        <v>1129</v>
      </c>
      <c r="E150">
        <v>60</v>
      </c>
      <c r="F150" t="s">
        <v>1128</v>
      </c>
      <c r="G150">
        <v>1</v>
      </c>
      <c r="H150">
        <v>0.39900000000000002</v>
      </c>
      <c r="I150">
        <v>0.49199999999999999</v>
      </c>
      <c r="J150">
        <v>-10.776999999999999</v>
      </c>
      <c r="K150">
        <v>0</v>
      </c>
      <c r="L150">
        <v>6</v>
      </c>
      <c r="M150">
        <v>5.3800000000000001E-2</v>
      </c>
      <c r="N150">
        <v>5.8000000000000003E-2</v>
      </c>
      <c r="O150">
        <v>1.01E-3</v>
      </c>
      <c r="P150">
        <v>0.11</v>
      </c>
      <c r="Q150">
        <v>0.159</v>
      </c>
      <c r="R150">
        <v>91.066000000000003</v>
      </c>
      <c r="S150">
        <v>4</v>
      </c>
      <c r="T150">
        <v>210463</v>
      </c>
      <c r="U150">
        <v>4</v>
      </c>
      <c r="V150">
        <v>210463</v>
      </c>
      <c r="W150">
        <v>4</v>
      </c>
      <c r="X150">
        <v>210463</v>
      </c>
      <c r="Y150" t="s">
        <v>16</v>
      </c>
      <c r="Z150" t="str">
        <f>LOOKUP(B150,{0,1083,124200,681950},{"1st","2nd","3rd","4th"})&amp;" Quartile"</f>
        <v>4th Quartile</v>
      </c>
    </row>
    <row r="151" spans="1:26">
      <c r="A151">
        <v>2022</v>
      </c>
      <c r="B151">
        <v>1400000</v>
      </c>
      <c r="C151" t="s">
        <v>1527</v>
      </c>
      <c r="D151" t="s">
        <v>1528</v>
      </c>
      <c r="E151">
        <v>61</v>
      </c>
      <c r="F151" t="s">
        <v>1527</v>
      </c>
      <c r="G151">
        <v>69</v>
      </c>
      <c r="H151">
        <v>0.77100000000000002</v>
      </c>
      <c r="I151">
        <v>0.82599999999999996</v>
      </c>
      <c r="J151">
        <v>-3.9780000000000002</v>
      </c>
      <c r="K151">
        <v>1</v>
      </c>
      <c r="L151">
        <v>11</v>
      </c>
      <c r="M151">
        <v>6.0400000000000002E-2</v>
      </c>
      <c r="N151">
        <v>0.14199999999999999</v>
      </c>
      <c r="O151">
        <v>0.03</v>
      </c>
      <c r="P151">
        <v>0.14499999999999999</v>
      </c>
      <c r="Q151">
        <v>0.185</v>
      </c>
      <c r="R151">
        <v>100.012</v>
      </c>
      <c r="S151">
        <v>4</v>
      </c>
      <c r="T151">
        <v>212280</v>
      </c>
      <c r="U151">
        <v>4</v>
      </c>
      <c r="V151">
        <v>212280</v>
      </c>
      <c r="W151">
        <v>4</v>
      </c>
      <c r="X151">
        <v>212280</v>
      </c>
      <c r="Y151" t="s">
        <v>16</v>
      </c>
      <c r="Z151" t="str">
        <f>LOOKUP(B151,{0,1083,124200,681950},{"1st","2nd","3rd","4th"})&amp;" Quartile"</f>
        <v>4th Quartile</v>
      </c>
    </row>
    <row r="152" spans="1:26">
      <c r="A152">
        <v>2021</v>
      </c>
      <c r="B152">
        <v>1400000</v>
      </c>
      <c r="C152" t="s">
        <v>1338</v>
      </c>
      <c r="D152" t="s">
        <v>1180</v>
      </c>
      <c r="E152">
        <v>83</v>
      </c>
      <c r="F152" t="s">
        <v>1337</v>
      </c>
      <c r="G152">
        <v>70</v>
      </c>
      <c r="H152">
        <v>0.70599999999999996</v>
      </c>
      <c r="I152">
        <v>0.84099999999999997</v>
      </c>
      <c r="J152">
        <v>-3.956</v>
      </c>
      <c r="K152">
        <v>1</v>
      </c>
      <c r="L152">
        <v>7</v>
      </c>
      <c r="M152">
        <v>4.1799999999999997E-2</v>
      </c>
      <c r="N152">
        <v>7.9499999999999994E-5</v>
      </c>
      <c r="O152">
        <v>0</v>
      </c>
      <c r="P152">
        <v>6.88E-2</v>
      </c>
      <c r="Q152">
        <v>0.86099999999999999</v>
      </c>
      <c r="R152">
        <v>132.03200000000001</v>
      </c>
      <c r="S152">
        <v>4</v>
      </c>
      <c r="T152">
        <v>220227</v>
      </c>
      <c r="U152">
        <v>4</v>
      </c>
      <c r="V152">
        <v>220227</v>
      </c>
      <c r="W152">
        <v>4</v>
      </c>
      <c r="X152">
        <v>220227</v>
      </c>
      <c r="Y152" t="s">
        <v>16</v>
      </c>
      <c r="Z152" t="str">
        <f>LOOKUP(B152,{0,1083,124200,681950},{"1st","2nd","3rd","4th"})&amp;" Quartile"</f>
        <v>4th Quartile</v>
      </c>
    </row>
    <row r="153" spans="1:26">
      <c r="A153">
        <v>2021</v>
      </c>
      <c r="B153">
        <v>1400000</v>
      </c>
      <c r="C153" t="s">
        <v>1148</v>
      </c>
      <c r="D153" t="s">
        <v>1149</v>
      </c>
      <c r="E153">
        <v>60</v>
      </c>
      <c r="F153" t="s">
        <v>1148</v>
      </c>
      <c r="G153">
        <v>64</v>
      </c>
      <c r="H153">
        <v>0.93500000000000005</v>
      </c>
      <c r="I153">
        <v>0.71</v>
      </c>
      <c r="J153">
        <v>-5.085</v>
      </c>
      <c r="K153">
        <v>0</v>
      </c>
      <c r="L153">
        <v>11</v>
      </c>
      <c r="M153">
        <v>0.158</v>
      </c>
      <c r="N153">
        <v>7.6899999999999996E-2</v>
      </c>
      <c r="O153">
        <v>1.9199999999999998E-6</v>
      </c>
      <c r="P153">
        <v>0.17299999999999999</v>
      </c>
      <c r="Q153">
        <v>0.63500000000000001</v>
      </c>
      <c r="R153">
        <v>100.009</v>
      </c>
      <c r="S153">
        <v>4</v>
      </c>
      <c r="T153">
        <v>168507</v>
      </c>
      <c r="U153">
        <v>4</v>
      </c>
      <c r="V153">
        <v>168507</v>
      </c>
      <c r="W153">
        <v>4</v>
      </c>
      <c r="X153">
        <v>168507</v>
      </c>
      <c r="Y153" t="s">
        <v>16</v>
      </c>
      <c r="Z153" t="str">
        <f>LOOKUP(B153,{0,1083,124200,681950},{"1st","2nd","3rd","4th"})&amp;" Quartile"</f>
        <v>4th Quartile</v>
      </c>
    </row>
    <row r="154" spans="1:26">
      <c r="A154">
        <v>2020</v>
      </c>
      <c r="B154">
        <v>1400000</v>
      </c>
      <c r="C154" t="s">
        <v>1128</v>
      </c>
      <c r="D154" t="s">
        <v>1129</v>
      </c>
      <c r="E154">
        <v>60</v>
      </c>
      <c r="F154" t="s">
        <v>1128</v>
      </c>
      <c r="G154">
        <v>77</v>
      </c>
      <c r="H154">
        <v>0.39900000000000002</v>
      </c>
      <c r="I154">
        <v>0.49099999999999999</v>
      </c>
      <c r="J154">
        <v>-10.778</v>
      </c>
      <c r="K154">
        <v>0</v>
      </c>
      <c r="L154">
        <v>6</v>
      </c>
      <c r="M154">
        <v>5.3800000000000001E-2</v>
      </c>
      <c r="N154">
        <v>5.6300000000000003E-2</v>
      </c>
      <c r="O154">
        <v>8.8999999999999995E-4</v>
      </c>
      <c r="P154">
        <v>0.11</v>
      </c>
      <c r="Q154">
        <v>0.151</v>
      </c>
      <c r="R154">
        <v>91.066000000000003</v>
      </c>
      <c r="S154">
        <v>4</v>
      </c>
      <c r="T154">
        <v>210463</v>
      </c>
      <c r="U154">
        <v>4</v>
      </c>
      <c r="V154">
        <v>210463</v>
      </c>
      <c r="W154">
        <v>4</v>
      </c>
      <c r="X154">
        <v>210463</v>
      </c>
      <c r="Y154" t="s">
        <v>16</v>
      </c>
      <c r="Z154" t="str">
        <f>LOOKUP(B154,{0,1083,124200,681950},{"1st","2nd","3rd","4th"})&amp;" Quartile"</f>
        <v>4th Quartile</v>
      </c>
    </row>
    <row r="155" spans="1:26">
      <c r="A155">
        <v>2020</v>
      </c>
      <c r="B155">
        <v>1400000</v>
      </c>
      <c r="C155" t="s">
        <v>173</v>
      </c>
      <c r="D155" t="s">
        <v>172</v>
      </c>
      <c r="E155">
        <v>68</v>
      </c>
      <c r="F155" t="s">
        <v>620</v>
      </c>
      <c r="G155">
        <v>47</v>
      </c>
      <c r="H155">
        <v>0.96399999999999997</v>
      </c>
      <c r="I155">
        <v>0.59499999999999997</v>
      </c>
      <c r="J155">
        <v>-6.8869999999999996</v>
      </c>
      <c r="K155">
        <v>0</v>
      </c>
      <c r="L155">
        <v>1</v>
      </c>
      <c r="M155">
        <v>0.109</v>
      </c>
      <c r="N155">
        <v>2.4799999999999999E-2</v>
      </c>
      <c r="O155">
        <v>5.1399999999999999E-6</v>
      </c>
      <c r="P155">
        <v>4.0500000000000001E-2</v>
      </c>
      <c r="Q155">
        <v>0.629</v>
      </c>
      <c r="R155">
        <v>128.59299999999999</v>
      </c>
      <c r="S155">
        <v>4</v>
      </c>
      <c r="T155">
        <v>261880</v>
      </c>
      <c r="U155">
        <v>4</v>
      </c>
      <c r="V155">
        <v>261880</v>
      </c>
      <c r="W155">
        <v>4</v>
      </c>
      <c r="X155">
        <v>261880</v>
      </c>
      <c r="Y155" t="s">
        <v>16</v>
      </c>
      <c r="Z155" t="str">
        <f>LOOKUP(B155,{0,1083,124200,681950},{"1st","2nd","3rd","4th"})&amp;" Quartile"</f>
        <v>4th Quartile</v>
      </c>
    </row>
    <row r="156" spans="1:26">
      <c r="A156">
        <v>2020</v>
      </c>
      <c r="B156">
        <v>1400000</v>
      </c>
      <c r="C156" t="s">
        <v>848</v>
      </c>
      <c r="D156" t="s">
        <v>849</v>
      </c>
      <c r="E156">
        <v>91</v>
      </c>
      <c r="F156" t="s">
        <v>848</v>
      </c>
      <c r="G156">
        <v>27</v>
      </c>
      <c r="H156">
        <v>0.54800000000000004</v>
      </c>
      <c r="I156">
        <v>0.81599999999999995</v>
      </c>
      <c r="J156">
        <v>-4.2089999999999996</v>
      </c>
      <c r="K156">
        <v>1</v>
      </c>
      <c r="L156">
        <v>0</v>
      </c>
      <c r="M156">
        <v>4.65E-2</v>
      </c>
      <c r="N156">
        <v>0.122</v>
      </c>
      <c r="O156">
        <v>0</v>
      </c>
      <c r="P156">
        <v>0.33500000000000002</v>
      </c>
      <c r="Q156">
        <v>0.55700000000000005</v>
      </c>
      <c r="R156">
        <v>95.39</v>
      </c>
      <c r="S156">
        <v>4</v>
      </c>
      <c r="T156">
        <v>174000</v>
      </c>
      <c r="U156">
        <v>4</v>
      </c>
      <c r="V156">
        <v>174000</v>
      </c>
      <c r="W156">
        <v>4</v>
      </c>
      <c r="X156">
        <v>174000</v>
      </c>
      <c r="Y156" t="s">
        <v>16</v>
      </c>
      <c r="Z156" t="str">
        <f>LOOKUP(B156,{0,1083,124200,681950},{"1st","2nd","3rd","4th"})&amp;" Quartile"</f>
        <v>4th Quartile</v>
      </c>
    </row>
    <row r="157" spans="1:26">
      <c r="A157">
        <v>2019</v>
      </c>
      <c r="B157">
        <v>1400000</v>
      </c>
      <c r="C157" t="s">
        <v>591</v>
      </c>
      <c r="D157" t="s">
        <v>592</v>
      </c>
      <c r="E157">
        <v>60</v>
      </c>
      <c r="F157" t="s">
        <v>591</v>
      </c>
      <c r="G157">
        <v>2</v>
      </c>
      <c r="H157">
        <v>0.84699999999999998</v>
      </c>
      <c r="I157">
        <v>0.67800000000000005</v>
      </c>
      <c r="J157">
        <v>-8.6349999999999998</v>
      </c>
      <c r="K157">
        <v>1</v>
      </c>
      <c r="L157">
        <v>9</v>
      </c>
      <c r="M157">
        <v>0.109</v>
      </c>
      <c r="N157">
        <v>6.6900000000000001E-2</v>
      </c>
      <c r="O157">
        <v>0</v>
      </c>
      <c r="P157">
        <v>0.27400000000000002</v>
      </c>
      <c r="Q157">
        <v>0.81100000000000005</v>
      </c>
      <c r="R157">
        <v>97.983999999999995</v>
      </c>
      <c r="S157">
        <v>4</v>
      </c>
      <c r="T157">
        <v>200594</v>
      </c>
      <c r="U157">
        <v>4</v>
      </c>
      <c r="V157">
        <v>200594</v>
      </c>
      <c r="W157">
        <v>4</v>
      </c>
      <c r="X157">
        <v>200594</v>
      </c>
      <c r="Y157" t="s">
        <v>16</v>
      </c>
      <c r="Z157" t="str">
        <f>LOOKUP(B157,{0,1083,124200,681950},{"1st","2nd","3rd","4th"})&amp;" Quartile"</f>
        <v>4th Quartile</v>
      </c>
    </row>
    <row r="158" spans="1:26">
      <c r="A158">
        <v>2019</v>
      </c>
      <c r="B158">
        <v>1400000</v>
      </c>
      <c r="C158" t="s">
        <v>377</v>
      </c>
      <c r="D158" t="s">
        <v>378</v>
      </c>
      <c r="E158">
        <v>26</v>
      </c>
      <c r="F158" t="s">
        <v>377</v>
      </c>
      <c r="G158">
        <v>0</v>
      </c>
      <c r="H158">
        <v>0.88</v>
      </c>
      <c r="I158">
        <v>0.73</v>
      </c>
      <c r="J158">
        <v>-7.008</v>
      </c>
      <c r="K158">
        <v>1</v>
      </c>
      <c r="L158">
        <v>6</v>
      </c>
      <c r="M158">
        <v>0.18099999999999999</v>
      </c>
      <c r="N158">
        <v>3.6499999999999998E-2</v>
      </c>
      <c r="O158">
        <v>6.3300000000000004E-6</v>
      </c>
      <c r="P158">
        <v>0.23200000000000001</v>
      </c>
      <c r="Q158">
        <v>0.86</v>
      </c>
      <c r="R158">
        <v>159.95699999999999</v>
      </c>
      <c r="S158">
        <v>4</v>
      </c>
      <c r="T158">
        <v>139500</v>
      </c>
      <c r="U158">
        <v>4</v>
      </c>
      <c r="V158">
        <v>139500</v>
      </c>
      <c r="W158">
        <v>4</v>
      </c>
      <c r="X158">
        <v>139500</v>
      </c>
      <c r="Y158" t="s">
        <v>16</v>
      </c>
      <c r="Z158" t="str">
        <f>LOOKUP(B158,{0,1083,124200,681950},{"1st","2nd","3rd","4th"})&amp;" Quartile"</f>
        <v>4th Quartile</v>
      </c>
    </row>
    <row r="159" spans="1:26">
      <c r="A159">
        <v>2019</v>
      </c>
      <c r="B159">
        <v>1400000</v>
      </c>
      <c r="C159" t="s">
        <v>173</v>
      </c>
      <c r="D159" t="s">
        <v>172</v>
      </c>
      <c r="E159">
        <v>68</v>
      </c>
      <c r="F159" t="s">
        <v>171</v>
      </c>
      <c r="G159">
        <v>52</v>
      </c>
      <c r="H159">
        <v>0.94099999999999995</v>
      </c>
      <c r="I159">
        <v>0.63100000000000001</v>
      </c>
      <c r="J159">
        <v>-5.9980000000000002</v>
      </c>
      <c r="K159">
        <v>0</v>
      </c>
      <c r="L159">
        <v>1</v>
      </c>
      <c r="M159">
        <v>0.114</v>
      </c>
      <c r="N159">
        <v>3.6600000000000001E-2</v>
      </c>
      <c r="O159">
        <v>1.7999999999999999E-6</v>
      </c>
      <c r="P159">
        <v>3.1099999999999999E-2</v>
      </c>
      <c r="Q159">
        <v>0.63</v>
      </c>
      <c r="R159">
        <v>128.59700000000001</v>
      </c>
      <c r="S159">
        <v>4</v>
      </c>
      <c r="T159">
        <v>263373</v>
      </c>
      <c r="U159">
        <v>4</v>
      </c>
      <c r="V159">
        <v>263373</v>
      </c>
      <c r="W159">
        <v>4</v>
      </c>
      <c r="X159">
        <v>263373</v>
      </c>
      <c r="Y159" t="s">
        <v>16</v>
      </c>
      <c r="Z159" t="str">
        <f>LOOKUP(B159,{0,1083,124200,681950},{"1st","2nd","3rd","4th"})&amp;" Quartile"</f>
        <v>4th Quartile</v>
      </c>
    </row>
    <row r="160" spans="1:26">
      <c r="A160">
        <v>2022</v>
      </c>
      <c r="B160">
        <v>1300000</v>
      </c>
      <c r="C160" t="s">
        <v>1641</v>
      </c>
      <c r="D160" t="s">
        <v>1618</v>
      </c>
      <c r="E160">
        <v>81</v>
      </c>
      <c r="F160" t="s">
        <v>1640</v>
      </c>
      <c r="G160">
        <v>70</v>
      </c>
      <c r="H160">
        <v>0.86799999999999999</v>
      </c>
      <c r="I160">
        <v>0.79500000000000004</v>
      </c>
      <c r="J160">
        <v>-6.0439999999999996</v>
      </c>
      <c r="K160">
        <v>1</v>
      </c>
      <c r="L160">
        <v>11</v>
      </c>
      <c r="M160">
        <v>0.26900000000000002</v>
      </c>
      <c r="N160">
        <v>1.1999999999999999E-3</v>
      </c>
      <c r="O160">
        <v>1.9300000000000001E-2</v>
      </c>
      <c r="P160">
        <v>4.6100000000000002E-2</v>
      </c>
      <c r="Q160">
        <v>0.81899999999999995</v>
      </c>
      <c r="R160">
        <v>166</v>
      </c>
      <c r="S160">
        <v>4</v>
      </c>
      <c r="T160">
        <v>156945</v>
      </c>
      <c r="U160">
        <v>4</v>
      </c>
      <c r="V160">
        <v>156945</v>
      </c>
      <c r="W160">
        <v>4</v>
      </c>
      <c r="X160">
        <v>156945</v>
      </c>
      <c r="Y160" t="s">
        <v>16</v>
      </c>
      <c r="Z160" t="str">
        <f>LOOKUP(B160,{0,1083,124200,681950},{"1st","2nd","3rd","4th"})&amp;" Quartile"</f>
        <v>4th Quartile</v>
      </c>
    </row>
    <row r="161" spans="1:26">
      <c r="A161">
        <v>2022</v>
      </c>
      <c r="B161">
        <v>1300000</v>
      </c>
      <c r="C161" t="s">
        <v>917</v>
      </c>
      <c r="D161" t="s">
        <v>799</v>
      </c>
      <c r="E161">
        <v>80</v>
      </c>
      <c r="F161" t="s">
        <v>798</v>
      </c>
      <c r="G161">
        <v>81</v>
      </c>
      <c r="H161">
        <v>0.89600000000000002</v>
      </c>
      <c r="I161">
        <v>0.58599999999999997</v>
      </c>
      <c r="J161">
        <v>-6.6870000000000003</v>
      </c>
      <c r="K161">
        <v>0</v>
      </c>
      <c r="L161">
        <v>10</v>
      </c>
      <c r="M161">
        <v>5.5899999999999998E-2</v>
      </c>
      <c r="N161">
        <v>0.104</v>
      </c>
      <c r="O161">
        <v>0</v>
      </c>
      <c r="P161">
        <v>0.79</v>
      </c>
      <c r="Q161">
        <v>0.64200000000000002</v>
      </c>
      <c r="R161">
        <v>116.971</v>
      </c>
      <c r="S161">
        <v>4</v>
      </c>
      <c r="T161">
        <v>196653</v>
      </c>
      <c r="U161">
        <v>4</v>
      </c>
      <c r="V161">
        <v>196653</v>
      </c>
      <c r="W161">
        <v>4</v>
      </c>
      <c r="X161">
        <v>196653</v>
      </c>
      <c r="Y161" t="s">
        <v>16</v>
      </c>
      <c r="Z161" t="str">
        <f>LOOKUP(B161,{0,1083,124200,681950},{"1st","2nd","3rd","4th"})&amp;" Quartile"</f>
        <v>4th Quartile</v>
      </c>
    </row>
    <row r="162" spans="1:26">
      <c r="A162">
        <v>2020</v>
      </c>
      <c r="B162">
        <v>1300000</v>
      </c>
      <c r="C162" t="s">
        <v>504</v>
      </c>
      <c r="D162" t="s">
        <v>503</v>
      </c>
      <c r="E162">
        <v>62</v>
      </c>
      <c r="F162" t="s">
        <v>502</v>
      </c>
      <c r="G162">
        <v>72</v>
      </c>
      <c r="H162">
        <v>0.70499999999999996</v>
      </c>
      <c r="I162">
        <v>0.373</v>
      </c>
      <c r="J162">
        <v>-9.0660000000000007</v>
      </c>
      <c r="K162">
        <v>1</v>
      </c>
      <c r="L162">
        <v>7</v>
      </c>
      <c r="M162">
        <v>3.8399999999999997E-2</v>
      </c>
      <c r="N162">
        <v>0.72299999999999998</v>
      </c>
      <c r="O162">
        <v>0.81</v>
      </c>
      <c r="P162">
        <v>0.28899999999999998</v>
      </c>
      <c r="Q162">
        <v>0.55100000000000005</v>
      </c>
      <c r="R162">
        <v>120.04600000000001</v>
      </c>
      <c r="S162">
        <v>4</v>
      </c>
      <c r="T162">
        <v>208026</v>
      </c>
      <c r="U162">
        <v>4</v>
      </c>
      <c r="V162">
        <v>208026</v>
      </c>
      <c r="W162">
        <v>4</v>
      </c>
      <c r="X162">
        <v>208026</v>
      </c>
      <c r="Y162" t="s">
        <v>16</v>
      </c>
      <c r="Z162" t="str">
        <f>LOOKUP(B162,{0,1083,124200,681950},{"1st","2nd","3rd","4th"})&amp;" Quartile"</f>
        <v>4th Quartile</v>
      </c>
    </row>
    <row r="163" spans="1:26">
      <c r="A163">
        <v>2020</v>
      </c>
      <c r="B163">
        <v>1300000</v>
      </c>
      <c r="C163" t="s">
        <v>917</v>
      </c>
      <c r="D163" t="s">
        <v>799</v>
      </c>
      <c r="E163">
        <v>80</v>
      </c>
      <c r="F163" t="s">
        <v>798</v>
      </c>
      <c r="G163">
        <v>81</v>
      </c>
      <c r="H163">
        <v>0.89600000000000002</v>
      </c>
      <c r="I163">
        <v>0.58599999999999997</v>
      </c>
      <c r="J163">
        <v>-6.6870000000000003</v>
      </c>
      <c r="K163">
        <v>0</v>
      </c>
      <c r="L163">
        <v>10</v>
      </c>
      <c r="M163">
        <v>5.5899999999999998E-2</v>
      </c>
      <c r="N163">
        <v>0.104</v>
      </c>
      <c r="O163">
        <v>0</v>
      </c>
      <c r="P163">
        <v>0.79</v>
      </c>
      <c r="Q163">
        <v>0.64200000000000002</v>
      </c>
      <c r="R163">
        <v>116.971</v>
      </c>
      <c r="S163">
        <v>4</v>
      </c>
      <c r="T163">
        <v>196653</v>
      </c>
      <c r="U163">
        <v>4</v>
      </c>
      <c r="V163">
        <v>196653</v>
      </c>
      <c r="W163">
        <v>4</v>
      </c>
      <c r="X163">
        <v>196653</v>
      </c>
      <c r="Y163" t="s">
        <v>16</v>
      </c>
      <c r="Z163" t="str">
        <f>LOOKUP(B163,{0,1083,124200,681950},{"1st","2nd","3rd","4th"})&amp;" Quartile"</f>
        <v>4th Quartile</v>
      </c>
    </row>
    <row r="164" spans="1:26">
      <c r="A164">
        <v>2020</v>
      </c>
      <c r="B164">
        <v>1300000</v>
      </c>
      <c r="C164" t="s">
        <v>581</v>
      </c>
      <c r="D164" t="s">
        <v>582</v>
      </c>
      <c r="E164">
        <v>65</v>
      </c>
      <c r="F164" t="s">
        <v>581</v>
      </c>
      <c r="G164">
        <v>0</v>
      </c>
      <c r="H164">
        <v>0.877</v>
      </c>
      <c r="I164">
        <v>0.503</v>
      </c>
      <c r="J164">
        <v>-10.269</v>
      </c>
      <c r="K164">
        <v>0</v>
      </c>
      <c r="L164">
        <v>7</v>
      </c>
      <c r="M164">
        <v>0.22</v>
      </c>
      <c r="N164">
        <v>0.16400000000000001</v>
      </c>
      <c r="O164">
        <v>1.32E-2</v>
      </c>
      <c r="P164">
        <v>0.10199999999999999</v>
      </c>
      <c r="Q164">
        <v>0.52900000000000003</v>
      </c>
      <c r="R164">
        <v>100.069</v>
      </c>
      <c r="S164">
        <v>4</v>
      </c>
      <c r="T164">
        <v>144000</v>
      </c>
      <c r="U164">
        <v>4</v>
      </c>
      <c r="V164">
        <v>144000</v>
      </c>
      <c r="W164">
        <v>4</v>
      </c>
      <c r="X164">
        <v>144000</v>
      </c>
      <c r="Y164" t="s">
        <v>16</v>
      </c>
      <c r="Z164" t="str">
        <f>LOOKUP(B164,{0,1083,124200,681950},{"1st","2nd","3rd","4th"})&amp;" Quartile"</f>
        <v>4th Quartile</v>
      </c>
    </row>
    <row r="165" spans="1:26">
      <c r="A165">
        <v>2020</v>
      </c>
      <c r="B165">
        <v>1300000</v>
      </c>
      <c r="C165" t="s">
        <v>781</v>
      </c>
      <c r="D165" t="s">
        <v>782</v>
      </c>
      <c r="E165">
        <v>70</v>
      </c>
      <c r="F165" t="s">
        <v>781</v>
      </c>
      <c r="G165">
        <v>75</v>
      </c>
      <c r="H165">
        <v>0.98</v>
      </c>
      <c r="I165">
        <v>0.41299999999999998</v>
      </c>
      <c r="J165">
        <v>-11.052</v>
      </c>
      <c r="K165">
        <v>0</v>
      </c>
      <c r="L165">
        <v>8</v>
      </c>
      <c r="M165">
        <v>0.10100000000000001</v>
      </c>
      <c r="N165">
        <v>0.67100000000000004</v>
      </c>
      <c r="O165">
        <v>7.9499999999999994E-5</v>
      </c>
      <c r="P165">
        <v>0.17</v>
      </c>
      <c r="Q165">
        <v>0.76400000000000001</v>
      </c>
      <c r="R165">
        <v>119.99299999999999</v>
      </c>
      <c r="S165">
        <v>4</v>
      </c>
      <c r="T165">
        <v>180139</v>
      </c>
      <c r="U165">
        <v>4</v>
      </c>
      <c r="V165">
        <v>180139</v>
      </c>
      <c r="W165">
        <v>4</v>
      </c>
      <c r="X165">
        <v>180139</v>
      </c>
      <c r="Y165" t="s">
        <v>16</v>
      </c>
      <c r="Z165" t="str">
        <f>LOOKUP(B165,{0,1083,124200,681950},{"1st","2nd","3rd","4th"})&amp;" Quartile"</f>
        <v>4th Quartile</v>
      </c>
    </row>
    <row r="166" spans="1:26">
      <c r="A166">
        <v>2019</v>
      </c>
      <c r="B166">
        <v>1300000</v>
      </c>
      <c r="C166" t="s">
        <v>561</v>
      </c>
      <c r="D166" t="s">
        <v>560</v>
      </c>
      <c r="E166">
        <v>69</v>
      </c>
      <c r="F166" t="s">
        <v>559</v>
      </c>
      <c r="G166">
        <v>70</v>
      </c>
      <c r="H166">
        <v>0.77200000000000002</v>
      </c>
      <c r="I166">
        <v>0.63700000000000001</v>
      </c>
      <c r="J166">
        <v>-6.8810000000000002</v>
      </c>
      <c r="K166">
        <v>1</v>
      </c>
      <c r="L166">
        <v>2</v>
      </c>
      <c r="M166">
        <v>0.114</v>
      </c>
      <c r="N166">
        <v>4.5900000000000003E-3</v>
      </c>
      <c r="O166">
        <v>0</v>
      </c>
      <c r="P166">
        <v>7.7799999999999994E-2</v>
      </c>
      <c r="Q166">
        <v>0.54</v>
      </c>
      <c r="R166">
        <v>149.90600000000001</v>
      </c>
      <c r="S166">
        <v>4</v>
      </c>
      <c r="T166">
        <v>167317</v>
      </c>
      <c r="U166">
        <v>4</v>
      </c>
      <c r="V166">
        <v>167317</v>
      </c>
      <c r="W166">
        <v>4</v>
      </c>
      <c r="X166">
        <v>167317</v>
      </c>
      <c r="Y166" t="s">
        <v>16</v>
      </c>
      <c r="Z166" t="str">
        <f>LOOKUP(B166,{0,1083,124200,681950},{"1st","2nd","3rd","4th"})&amp;" Quartile"</f>
        <v>4th Quartile</v>
      </c>
    </row>
    <row r="167" spans="1:26">
      <c r="A167">
        <v>2019</v>
      </c>
      <c r="B167">
        <v>1300000</v>
      </c>
      <c r="C167" t="s">
        <v>504</v>
      </c>
      <c r="D167" t="s">
        <v>503</v>
      </c>
      <c r="E167">
        <v>62</v>
      </c>
      <c r="F167" t="s">
        <v>502</v>
      </c>
      <c r="G167">
        <v>72</v>
      </c>
      <c r="H167">
        <v>0.70499999999999996</v>
      </c>
      <c r="I167">
        <v>0.373</v>
      </c>
      <c r="J167">
        <v>-9.0660000000000007</v>
      </c>
      <c r="K167">
        <v>1</v>
      </c>
      <c r="L167">
        <v>7</v>
      </c>
      <c r="M167">
        <v>3.8399999999999997E-2</v>
      </c>
      <c r="N167">
        <v>0.72299999999999998</v>
      </c>
      <c r="O167">
        <v>0.81</v>
      </c>
      <c r="P167">
        <v>0.28899999999999998</v>
      </c>
      <c r="Q167">
        <v>0.55100000000000005</v>
      </c>
      <c r="R167">
        <v>120.04600000000001</v>
      </c>
      <c r="S167">
        <v>4</v>
      </c>
      <c r="T167">
        <v>208026</v>
      </c>
      <c r="U167">
        <v>4</v>
      </c>
      <c r="V167">
        <v>208026</v>
      </c>
      <c r="W167">
        <v>4</v>
      </c>
      <c r="X167">
        <v>208026</v>
      </c>
      <c r="Y167" t="s">
        <v>16</v>
      </c>
      <c r="Z167" t="str">
        <f>LOOKUP(B167,{0,1083,124200,681950},{"1st","2nd","3rd","4th"})&amp;" Quartile"</f>
        <v>4th Quartile</v>
      </c>
    </row>
    <row r="168" spans="1:26">
      <c r="A168">
        <v>2019</v>
      </c>
      <c r="B168">
        <v>1300000</v>
      </c>
      <c r="C168" t="s">
        <v>163</v>
      </c>
      <c r="D168" t="s">
        <v>164</v>
      </c>
      <c r="E168">
        <v>70</v>
      </c>
      <c r="F168" t="s">
        <v>163</v>
      </c>
      <c r="G168">
        <v>80</v>
      </c>
      <c r="H168">
        <v>0.42099999999999999</v>
      </c>
      <c r="I168">
        <v>0.40699999999999997</v>
      </c>
      <c r="J168">
        <v>-7.4450000000000003</v>
      </c>
      <c r="K168">
        <v>1</v>
      </c>
      <c r="L168">
        <v>10</v>
      </c>
      <c r="M168">
        <v>2.6700000000000002E-2</v>
      </c>
      <c r="N168">
        <v>0.309</v>
      </c>
      <c r="O168">
        <v>9.6100000000000005E-4</v>
      </c>
      <c r="P168">
        <v>0.11</v>
      </c>
      <c r="Q168">
        <v>0.161</v>
      </c>
      <c r="R168">
        <v>139.02799999999999</v>
      </c>
      <c r="S168">
        <v>3</v>
      </c>
      <c r="T168">
        <v>285120</v>
      </c>
      <c r="U168">
        <v>3</v>
      </c>
      <c r="V168">
        <v>285120</v>
      </c>
      <c r="W168">
        <v>3</v>
      </c>
      <c r="X168">
        <v>285120</v>
      </c>
      <c r="Y168" t="s">
        <v>16</v>
      </c>
      <c r="Z168" t="str">
        <f>LOOKUP(B168,{0,1083,124200,681950},{"1st","2nd","3rd","4th"})&amp;" Quartile"</f>
        <v>4th Quartile</v>
      </c>
    </row>
    <row r="169" spans="1:26">
      <c r="A169">
        <v>2019</v>
      </c>
      <c r="B169">
        <v>1300000</v>
      </c>
      <c r="C169" t="s">
        <v>55</v>
      </c>
      <c r="D169" t="s">
        <v>54</v>
      </c>
      <c r="E169">
        <v>77</v>
      </c>
      <c r="F169" t="s">
        <v>53</v>
      </c>
      <c r="G169">
        <v>78</v>
      </c>
      <c r="H169">
        <v>0.74199999999999999</v>
      </c>
      <c r="I169">
        <v>0.88300000000000001</v>
      </c>
      <c r="J169">
        <v>-3.419</v>
      </c>
      <c r="K169">
        <v>1</v>
      </c>
      <c r="L169">
        <v>0</v>
      </c>
      <c r="M169">
        <v>3.2899999999999999E-2</v>
      </c>
      <c r="N169">
        <v>0.33300000000000002</v>
      </c>
      <c r="O169">
        <v>7.5100000000000001E-6</v>
      </c>
      <c r="P169">
        <v>9.64E-2</v>
      </c>
      <c r="Q169">
        <v>0.97799999999999998</v>
      </c>
      <c r="R169">
        <v>136.506</v>
      </c>
      <c r="S169">
        <v>4</v>
      </c>
      <c r="T169">
        <v>240280</v>
      </c>
      <c r="U169">
        <v>4</v>
      </c>
      <c r="V169">
        <v>240280</v>
      </c>
      <c r="W169">
        <v>4</v>
      </c>
      <c r="X169">
        <v>240280</v>
      </c>
      <c r="Y169" t="s">
        <v>16</v>
      </c>
      <c r="Z169" t="str">
        <f>LOOKUP(B169,{0,1083,124200,681950},{"1st","2nd","3rd","4th"})&amp;" Quartile"</f>
        <v>4th Quartile</v>
      </c>
    </row>
    <row r="170" spans="1:26">
      <c r="A170">
        <v>2022</v>
      </c>
      <c r="B170">
        <v>1200000</v>
      </c>
      <c r="C170" t="s">
        <v>1332</v>
      </c>
      <c r="D170" t="s">
        <v>1333</v>
      </c>
      <c r="E170">
        <v>54</v>
      </c>
      <c r="F170" t="s">
        <v>1332</v>
      </c>
      <c r="G170">
        <v>67</v>
      </c>
      <c r="H170">
        <v>0.93899999999999995</v>
      </c>
      <c r="I170">
        <v>0.68200000000000005</v>
      </c>
      <c r="J170">
        <v>-5.931</v>
      </c>
      <c r="K170">
        <v>1</v>
      </c>
      <c r="L170">
        <v>11</v>
      </c>
      <c r="M170">
        <v>0.30599999999999999</v>
      </c>
      <c r="N170">
        <v>1.5200000000000001E-3</v>
      </c>
      <c r="O170">
        <v>0</v>
      </c>
      <c r="P170">
        <v>5.5199999999999999E-2</v>
      </c>
      <c r="Q170">
        <v>0.58399999999999996</v>
      </c>
      <c r="R170">
        <v>130.02199999999999</v>
      </c>
      <c r="S170">
        <v>4</v>
      </c>
      <c r="T170">
        <v>154806</v>
      </c>
      <c r="U170">
        <v>4</v>
      </c>
      <c r="V170">
        <v>154806</v>
      </c>
      <c r="W170">
        <v>4</v>
      </c>
      <c r="X170">
        <v>154806</v>
      </c>
      <c r="Y170" t="s">
        <v>16</v>
      </c>
      <c r="Z170" t="str">
        <f>LOOKUP(B170,{0,1083,124200,681950},{"1st","2nd","3rd","4th"})&amp;" Quartile"</f>
        <v>4th Quartile</v>
      </c>
    </row>
    <row r="171" spans="1:26">
      <c r="A171">
        <v>2022</v>
      </c>
      <c r="B171">
        <v>1200000</v>
      </c>
      <c r="C171" t="s">
        <v>529</v>
      </c>
      <c r="D171" t="s">
        <v>530</v>
      </c>
      <c r="E171">
        <v>66</v>
      </c>
      <c r="F171" t="s">
        <v>529</v>
      </c>
      <c r="G171">
        <v>78</v>
      </c>
      <c r="H171">
        <v>0.621</v>
      </c>
      <c r="I171">
        <v>0.60099999999999998</v>
      </c>
      <c r="J171">
        <v>-5.6159999999999997</v>
      </c>
      <c r="K171">
        <v>0</v>
      </c>
      <c r="L171">
        <v>6</v>
      </c>
      <c r="M171">
        <v>0.14799999999999999</v>
      </c>
      <c r="N171">
        <v>5.2200000000000003E-2</v>
      </c>
      <c r="O171">
        <v>0</v>
      </c>
      <c r="P171">
        <v>0.46</v>
      </c>
      <c r="Q171">
        <v>0.45700000000000002</v>
      </c>
      <c r="R171">
        <v>116.735</v>
      </c>
      <c r="S171">
        <v>5</v>
      </c>
      <c r="T171">
        <v>163636</v>
      </c>
      <c r="U171">
        <v>5</v>
      </c>
      <c r="V171">
        <v>163636</v>
      </c>
      <c r="W171">
        <v>5</v>
      </c>
      <c r="X171">
        <v>163636</v>
      </c>
      <c r="Y171" t="s">
        <v>16</v>
      </c>
      <c r="Z171" t="str">
        <f>LOOKUP(B171,{0,1083,124200,681950},{"1st","2nd","3rd","4th"})&amp;" Quartile"</f>
        <v>4th Quartile</v>
      </c>
    </row>
    <row r="172" spans="1:26">
      <c r="A172">
        <v>2021</v>
      </c>
      <c r="B172">
        <v>1200000</v>
      </c>
      <c r="C172" t="s">
        <v>1332</v>
      </c>
      <c r="D172" t="s">
        <v>1333</v>
      </c>
      <c r="E172">
        <v>54</v>
      </c>
      <c r="F172" t="s">
        <v>1332</v>
      </c>
      <c r="G172">
        <v>67</v>
      </c>
      <c r="H172">
        <v>0.93899999999999995</v>
      </c>
      <c r="I172">
        <v>0.68200000000000005</v>
      </c>
      <c r="J172">
        <v>-5.931</v>
      </c>
      <c r="K172">
        <v>1</v>
      </c>
      <c r="L172">
        <v>11</v>
      </c>
      <c r="M172">
        <v>0.30599999999999999</v>
      </c>
      <c r="N172">
        <v>1.5200000000000001E-3</v>
      </c>
      <c r="O172">
        <v>0</v>
      </c>
      <c r="P172">
        <v>5.5199999999999999E-2</v>
      </c>
      <c r="Q172">
        <v>0.58399999999999996</v>
      </c>
      <c r="R172">
        <v>130.02199999999999</v>
      </c>
      <c r="S172">
        <v>4</v>
      </c>
      <c r="T172">
        <v>154806</v>
      </c>
      <c r="U172">
        <v>4</v>
      </c>
      <c r="V172">
        <v>154806</v>
      </c>
      <c r="W172">
        <v>4</v>
      </c>
      <c r="X172">
        <v>154806</v>
      </c>
      <c r="Y172" t="s">
        <v>16</v>
      </c>
      <c r="Z172" t="str">
        <f>LOOKUP(B172,{0,1083,124200,681950},{"1st","2nd","3rd","4th"})&amp;" Quartile"</f>
        <v>4th Quartile</v>
      </c>
    </row>
    <row r="173" spans="1:26">
      <c r="A173">
        <v>2021</v>
      </c>
      <c r="B173">
        <v>1200000</v>
      </c>
      <c r="C173" t="s">
        <v>1266</v>
      </c>
      <c r="D173" t="s">
        <v>1267</v>
      </c>
      <c r="E173">
        <v>62</v>
      </c>
      <c r="F173" t="s">
        <v>1266</v>
      </c>
      <c r="G173">
        <v>3</v>
      </c>
      <c r="H173">
        <v>0.437</v>
      </c>
      <c r="I173">
        <v>0.184</v>
      </c>
      <c r="J173">
        <v>-17.667000000000002</v>
      </c>
      <c r="K173">
        <v>1</v>
      </c>
      <c r="L173">
        <v>1</v>
      </c>
      <c r="M173">
        <v>3.1300000000000001E-2</v>
      </c>
      <c r="N173">
        <v>0.72</v>
      </c>
      <c r="O173">
        <v>2.5300000000000001E-3</v>
      </c>
      <c r="P173">
        <v>0.113</v>
      </c>
      <c r="Q173">
        <v>0.247</v>
      </c>
      <c r="R173">
        <v>80.087999999999994</v>
      </c>
      <c r="S173">
        <v>4</v>
      </c>
      <c r="T173">
        <v>136000</v>
      </c>
      <c r="U173">
        <v>4</v>
      </c>
      <c r="V173">
        <v>136000</v>
      </c>
      <c r="W173">
        <v>4</v>
      </c>
      <c r="X173">
        <v>136000</v>
      </c>
      <c r="Y173" t="s">
        <v>16</v>
      </c>
      <c r="Z173" t="str">
        <f>LOOKUP(B173,{0,1083,124200,681950},{"1st","2nd","3rd","4th"})&amp;" Quartile"</f>
        <v>4th Quartile</v>
      </c>
    </row>
    <row r="174" spans="1:26">
      <c r="A174">
        <v>2020</v>
      </c>
      <c r="B174">
        <v>1200000</v>
      </c>
      <c r="C174" t="s">
        <v>598</v>
      </c>
      <c r="D174" t="s">
        <v>597</v>
      </c>
      <c r="E174">
        <v>61</v>
      </c>
      <c r="F174" t="s">
        <v>598</v>
      </c>
      <c r="G174">
        <v>66</v>
      </c>
      <c r="H174">
        <v>0.74399999999999999</v>
      </c>
      <c r="I174">
        <v>0.84499999999999997</v>
      </c>
      <c r="J174">
        <v>-7.4219999999999997</v>
      </c>
      <c r="K174">
        <v>0</v>
      </c>
      <c r="L174">
        <v>4</v>
      </c>
      <c r="M174">
        <v>0.253</v>
      </c>
      <c r="N174">
        <v>0.75900000000000001</v>
      </c>
      <c r="O174">
        <v>0.23200000000000001</v>
      </c>
      <c r="P174">
        <v>0.1</v>
      </c>
      <c r="Q174">
        <v>0.749</v>
      </c>
      <c r="R174">
        <v>75.221000000000004</v>
      </c>
      <c r="S174">
        <v>4</v>
      </c>
      <c r="T174">
        <v>160000</v>
      </c>
      <c r="U174">
        <v>4</v>
      </c>
      <c r="V174">
        <v>160000</v>
      </c>
      <c r="W174">
        <v>4</v>
      </c>
      <c r="X174">
        <v>160000</v>
      </c>
      <c r="Y174" t="s">
        <v>16</v>
      </c>
      <c r="Z174" t="str">
        <f>LOOKUP(B174,{0,1083,124200,681950},{"1st","2nd","3rd","4th"})&amp;" Quartile"</f>
        <v>4th Quartile</v>
      </c>
    </row>
    <row r="175" spans="1:26">
      <c r="A175">
        <v>2020</v>
      </c>
      <c r="B175">
        <v>1200000</v>
      </c>
      <c r="C175" t="s">
        <v>1037</v>
      </c>
      <c r="D175" t="s">
        <v>1036</v>
      </c>
      <c r="E175">
        <v>70</v>
      </c>
      <c r="F175" t="s">
        <v>1035</v>
      </c>
      <c r="G175">
        <v>75</v>
      </c>
      <c r="H175">
        <v>0.77400000000000002</v>
      </c>
      <c r="I175">
        <v>0.55400000000000005</v>
      </c>
      <c r="J175">
        <v>-7.9089999999999998</v>
      </c>
      <c r="K175">
        <v>1</v>
      </c>
      <c r="L175">
        <v>0</v>
      </c>
      <c r="M175">
        <v>3.8300000000000001E-2</v>
      </c>
      <c r="N175">
        <v>0.20699999999999999</v>
      </c>
      <c r="O175">
        <v>0</v>
      </c>
      <c r="P175">
        <v>0.13200000000000001</v>
      </c>
      <c r="Q175">
        <v>0.34899999999999998</v>
      </c>
      <c r="R175">
        <v>99.034000000000006</v>
      </c>
      <c r="S175">
        <v>4</v>
      </c>
      <c r="T175">
        <v>162547</v>
      </c>
      <c r="U175">
        <v>4</v>
      </c>
      <c r="V175">
        <v>162547</v>
      </c>
      <c r="W175">
        <v>4</v>
      </c>
      <c r="X175">
        <v>162547</v>
      </c>
      <c r="Y175" t="s">
        <v>16</v>
      </c>
      <c r="Z175" t="str">
        <f>LOOKUP(B175,{0,1083,124200,681950},{"1st","2nd","3rd","4th"})&amp;" Quartile"</f>
        <v>4th Quartile</v>
      </c>
    </row>
    <row r="176" spans="1:26">
      <c r="A176">
        <v>2020</v>
      </c>
      <c r="B176">
        <v>1200000</v>
      </c>
      <c r="C176" t="s">
        <v>529</v>
      </c>
      <c r="D176" t="s">
        <v>530</v>
      </c>
      <c r="E176">
        <v>66</v>
      </c>
      <c r="F176" t="s">
        <v>529</v>
      </c>
      <c r="G176">
        <v>78</v>
      </c>
      <c r="H176">
        <v>0.621</v>
      </c>
      <c r="I176">
        <v>0.60099999999999998</v>
      </c>
      <c r="J176">
        <v>-5.6159999999999997</v>
      </c>
      <c r="K176">
        <v>0</v>
      </c>
      <c r="L176">
        <v>6</v>
      </c>
      <c r="M176">
        <v>0.14799999999999999</v>
      </c>
      <c r="N176">
        <v>5.2200000000000003E-2</v>
      </c>
      <c r="O176">
        <v>0</v>
      </c>
      <c r="P176">
        <v>0.46</v>
      </c>
      <c r="Q176">
        <v>0.45700000000000002</v>
      </c>
      <c r="R176">
        <v>116.735</v>
      </c>
      <c r="S176">
        <v>5</v>
      </c>
      <c r="T176">
        <v>163636</v>
      </c>
      <c r="U176">
        <v>5</v>
      </c>
      <c r="V176">
        <v>163636</v>
      </c>
      <c r="W176">
        <v>5</v>
      </c>
      <c r="X176">
        <v>163636</v>
      </c>
      <c r="Y176" t="s">
        <v>16</v>
      </c>
      <c r="Z176" t="str">
        <f>LOOKUP(B176,{0,1083,124200,681950},{"1st","2nd","3rd","4th"})&amp;" Quartile"</f>
        <v>4th Quartile</v>
      </c>
    </row>
    <row r="177" spans="1:26">
      <c r="A177">
        <v>2020</v>
      </c>
      <c r="B177">
        <v>1200000</v>
      </c>
      <c r="C177" t="s">
        <v>650</v>
      </c>
      <c r="D177" t="s">
        <v>649</v>
      </c>
      <c r="E177">
        <v>55</v>
      </c>
      <c r="F177" t="s">
        <v>648</v>
      </c>
      <c r="G177">
        <v>63</v>
      </c>
      <c r="H177">
        <v>0.52500000000000002</v>
      </c>
      <c r="I177">
        <v>0.65200000000000002</v>
      </c>
      <c r="J177">
        <v>-7.0419999999999998</v>
      </c>
      <c r="K177">
        <v>0</v>
      </c>
      <c r="L177">
        <v>5</v>
      </c>
      <c r="M177">
        <v>0.28000000000000003</v>
      </c>
      <c r="N177">
        <v>0.27800000000000002</v>
      </c>
      <c r="O177">
        <v>0</v>
      </c>
      <c r="P177">
        <v>0.33900000000000002</v>
      </c>
      <c r="Q177">
        <v>0.60199999999999998</v>
      </c>
      <c r="R177">
        <v>127.673</v>
      </c>
      <c r="S177">
        <v>4</v>
      </c>
      <c r="T177">
        <v>337640</v>
      </c>
      <c r="U177">
        <v>4</v>
      </c>
      <c r="V177">
        <v>337640</v>
      </c>
      <c r="W177">
        <v>4</v>
      </c>
      <c r="X177">
        <v>337640</v>
      </c>
      <c r="Y177" t="s">
        <v>16</v>
      </c>
      <c r="Z177" t="str">
        <f>LOOKUP(B177,{0,1083,124200,681950},{"1st","2nd","3rd","4th"})&amp;" Quartile"</f>
        <v>4th Quartile</v>
      </c>
    </row>
    <row r="178" spans="1:26">
      <c r="A178">
        <v>2020</v>
      </c>
      <c r="B178">
        <v>1200000</v>
      </c>
      <c r="C178" t="s">
        <v>355</v>
      </c>
      <c r="D178" t="s">
        <v>354</v>
      </c>
      <c r="E178">
        <v>50</v>
      </c>
      <c r="F178" t="s">
        <v>601</v>
      </c>
      <c r="G178">
        <v>60</v>
      </c>
      <c r="H178">
        <v>0.55800000000000005</v>
      </c>
      <c r="I178">
        <v>0.77600000000000002</v>
      </c>
      <c r="J178">
        <v>-6.8680000000000003</v>
      </c>
      <c r="K178">
        <v>1</v>
      </c>
      <c r="L178">
        <v>9</v>
      </c>
      <c r="M178">
        <v>0.17899999999999999</v>
      </c>
      <c r="N178">
        <v>0.33</v>
      </c>
      <c r="O178">
        <v>4.4499999999999997E-4</v>
      </c>
      <c r="P178">
        <v>0.41</v>
      </c>
      <c r="Q178">
        <v>0.247</v>
      </c>
      <c r="R178">
        <v>128.06399999999999</v>
      </c>
      <c r="S178">
        <v>4</v>
      </c>
      <c r="T178">
        <v>114660</v>
      </c>
      <c r="U178">
        <v>4</v>
      </c>
      <c r="V178">
        <v>114660</v>
      </c>
      <c r="W178">
        <v>4</v>
      </c>
      <c r="X178">
        <v>114660</v>
      </c>
      <c r="Y178" t="s">
        <v>16</v>
      </c>
      <c r="Z178" t="str">
        <f>LOOKUP(B178,{0,1083,124200,681950},{"1st","2nd","3rd","4th"})&amp;" Quartile"</f>
        <v>4th Quartile</v>
      </c>
    </row>
    <row r="179" spans="1:26">
      <c r="A179">
        <v>2019</v>
      </c>
      <c r="B179">
        <v>1200000</v>
      </c>
      <c r="C179" t="s">
        <v>598</v>
      </c>
      <c r="D179" t="s">
        <v>597</v>
      </c>
      <c r="E179">
        <v>61</v>
      </c>
      <c r="F179" t="s">
        <v>596</v>
      </c>
      <c r="G179">
        <v>53</v>
      </c>
      <c r="H179">
        <v>0.74399999999999999</v>
      </c>
      <c r="I179">
        <v>0.84499999999999997</v>
      </c>
      <c r="J179">
        <v>-7.4219999999999997</v>
      </c>
      <c r="K179">
        <v>0</v>
      </c>
      <c r="L179">
        <v>4</v>
      </c>
      <c r="M179">
        <v>0.253</v>
      </c>
      <c r="N179">
        <v>0.75900000000000001</v>
      </c>
      <c r="O179">
        <v>0.23200000000000001</v>
      </c>
      <c r="P179">
        <v>0.1</v>
      </c>
      <c r="Q179">
        <v>0.749</v>
      </c>
      <c r="R179">
        <v>75.221000000000004</v>
      </c>
      <c r="S179">
        <v>4</v>
      </c>
      <c r="T179">
        <v>160000</v>
      </c>
      <c r="U179">
        <v>4</v>
      </c>
      <c r="V179">
        <v>160000</v>
      </c>
      <c r="W179">
        <v>4</v>
      </c>
      <c r="X179">
        <v>160000</v>
      </c>
      <c r="Y179" t="s">
        <v>16</v>
      </c>
      <c r="Z179" t="str">
        <f>LOOKUP(B179,{0,1083,124200,681950},{"1st","2nd","3rd","4th"})&amp;" Quartile"</f>
        <v>4th Quartile</v>
      </c>
    </row>
    <row r="180" spans="1:26">
      <c r="A180">
        <v>2019</v>
      </c>
      <c r="B180">
        <v>1200000</v>
      </c>
      <c r="C180" t="s">
        <v>355</v>
      </c>
      <c r="D180" t="s">
        <v>354</v>
      </c>
      <c r="E180">
        <v>50</v>
      </c>
      <c r="F180" t="s">
        <v>353</v>
      </c>
      <c r="G180">
        <v>0</v>
      </c>
      <c r="H180">
        <v>0.56699999999999995</v>
      </c>
      <c r="I180">
        <v>0.68700000000000006</v>
      </c>
      <c r="J180">
        <v>-9.0410000000000004</v>
      </c>
      <c r="K180">
        <v>0</v>
      </c>
      <c r="L180">
        <v>1</v>
      </c>
      <c r="M180">
        <v>0.125</v>
      </c>
      <c r="N180">
        <v>0.36</v>
      </c>
      <c r="O180">
        <v>2.9299999999999999E-3</v>
      </c>
      <c r="P180">
        <v>0.47399999999999998</v>
      </c>
      <c r="Q180">
        <v>0.39600000000000002</v>
      </c>
      <c r="R180">
        <v>128.20099999999999</v>
      </c>
      <c r="S180">
        <v>4</v>
      </c>
      <c r="T180">
        <v>115518</v>
      </c>
      <c r="U180">
        <v>4</v>
      </c>
      <c r="V180">
        <v>115518</v>
      </c>
      <c r="W180">
        <v>4</v>
      </c>
      <c r="X180">
        <v>115518</v>
      </c>
      <c r="Y180" t="s">
        <v>16</v>
      </c>
      <c r="Z180" t="str">
        <f>LOOKUP(B180,{0,1083,124200,681950},{"1st","2nd","3rd","4th"})&amp;" Quartile"</f>
        <v>4th Quartile</v>
      </c>
    </row>
    <row r="181" spans="1:26">
      <c r="A181">
        <v>2022</v>
      </c>
      <c r="B181">
        <v>1100000</v>
      </c>
      <c r="C181" t="s">
        <v>1804</v>
      </c>
      <c r="D181" t="s">
        <v>1803</v>
      </c>
      <c r="E181">
        <v>41</v>
      </c>
      <c r="F181" t="s">
        <v>1802</v>
      </c>
      <c r="G181">
        <v>58</v>
      </c>
      <c r="H181">
        <v>0.54100000000000004</v>
      </c>
      <c r="I181">
        <v>0.52700000000000002</v>
      </c>
      <c r="J181">
        <v>-7.4379999999999997</v>
      </c>
      <c r="K181">
        <v>0</v>
      </c>
      <c r="L181">
        <v>11</v>
      </c>
      <c r="M181">
        <v>0.14699999999999999</v>
      </c>
      <c r="N181">
        <v>2.7899999999999999E-3</v>
      </c>
      <c r="O181">
        <v>5.0900000000000001E-4</v>
      </c>
      <c r="P181">
        <v>0.28599999999999998</v>
      </c>
      <c r="Q181">
        <v>0.42899999999999999</v>
      </c>
      <c r="R181">
        <v>176.12299999999999</v>
      </c>
      <c r="S181">
        <v>4</v>
      </c>
      <c r="T181">
        <v>166504</v>
      </c>
      <c r="U181">
        <v>4</v>
      </c>
      <c r="V181">
        <v>166504</v>
      </c>
      <c r="W181">
        <v>4</v>
      </c>
      <c r="X181">
        <v>166504</v>
      </c>
      <c r="Y181" t="s">
        <v>16</v>
      </c>
      <c r="Z181" t="str">
        <f>LOOKUP(B181,{0,1083,124200,681950},{"1st","2nd","3rd","4th"})&amp;" Quartile"</f>
        <v>4th Quartile</v>
      </c>
    </row>
    <row r="182" spans="1:26">
      <c r="A182">
        <v>2022</v>
      </c>
      <c r="B182">
        <v>1100000</v>
      </c>
      <c r="C182" t="s">
        <v>1326</v>
      </c>
      <c r="D182" t="s">
        <v>370</v>
      </c>
      <c r="E182">
        <v>90</v>
      </c>
      <c r="F182" t="s">
        <v>1326</v>
      </c>
      <c r="G182">
        <v>22</v>
      </c>
      <c r="H182">
        <v>0.80800000000000005</v>
      </c>
      <c r="I182">
        <v>0.89700000000000002</v>
      </c>
      <c r="J182">
        <v>-3.7120000000000002</v>
      </c>
      <c r="K182">
        <v>0</v>
      </c>
      <c r="L182">
        <v>11</v>
      </c>
      <c r="M182">
        <v>3.4799999999999998E-2</v>
      </c>
      <c r="N182">
        <v>4.6899999999999997E-2</v>
      </c>
      <c r="O182">
        <v>3.1399999999999998E-5</v>
      </c>
      <c r="P182">
        <v>0.36399999999999999</v>
      </c>
      <c r="Q182">
        <v>0.59099999999999997</v>
      </c>
      <c r="R182">
        <v>126.026</v>
      </c>
      <c r="S182">
        <v>4</v>
      </c>
      <c r="T182">
        <v>231041</v>
      </c>
      <c r="U182">
        <v>4</v>
      </c>
      <c r="V182">
        <v>231041</v>
      </c>
      <c r="W182">
        <v>4</v>
      </c>
      <c r="X182">
        <v>231041</v>
      </c>
      <c r="Y182" t="s">
        <v>16</v>
      </c>
      <c r="Z182" t="str">
        <f>LOOKUP(B182,{0,1083,124200,681950},{"1st","2nd","3rd","4th"})&amp;" Quartile"</f>
        <v>4th Quartile</v>
      </c>
    </row>
    <row r="183" spans="1:26">
      <c r="A183">
        <v>2022</v>
      </c>
      <c r="B183">
        <v>1100000</v>
      </c>
      <c r="C183" t="s">
        <v>1384</v>
      </c>
      <c r="D183" t="s">
        <v>899</v>
      </c>
      <c r="E183">
        <v>85</v>
      </c>
      <c r="F183" t="s">
        <v>1384</v>
      </c>
      <c r="G183">
        <v>29</v>
      </c>
      <c r="H183">
        <v>0.58499999999999996</v>
      </c>
      <c r="I183">
        <v>0.436</v>
      </c>
      <c r="J183">
        <v>-8.7609999999999992</v>
      </c>
      <c r="K183">
        <v>1</v>
      </c>
      <c r="L183">
        <v>10</v>
      </c>
      <c r="M183">
        <v>6.0100000000000001E-2</v>
      </c>
      <c r="N183">
        <v>0.72099999999999997</v>
      </c>
      <c r="O183">
        <v>1.31E-5</v>
      </c>
      <c r="P183">
        <v>0.105</v>
      </c>
      <c r="Q183">
        <v>0.13200000000000001</v>
      </c>
      <c r="R183">
        <v>143.874</v>
      </c>
      <c r="S183">
        <v>4</v>
      </c>
      <c r="T183">
        <v>242014</v>
      </c>
      <c r="U183">
        <v>4</v>
      </c>
      <c r="V183">
        <v>242014</v>
      </c>
      <c r="W183">
        <v>4</v>
      </c>
      <c r="X183">
        <v>242014</v>
      </c>
      <c r="Y183" t="s">
        <v>16</v>
      </c>
      <c r="Z183" t="str">
        <f>LOOKUP(B183,{0,1083,124200,681950},{"1st","2nd","3rd","4th"})&amp;" Quartile"</f>
        <v>4th Quartile</v>
      </c>
    </row>
    <row r="184" spans="1:26">
      <c r="A184">
        <v>2021</v>
      </c>
      <c r="B184">
        <v>1100000</v>
      </c>
      <c r="C184" t="s">
        <v>1384</v>
      </c>
      <c r="D184" t="s">
        <v>899</v>
      </c>
      <c r="E184">
        <v>85</v>
      </c>
      <c r="F184" t="s">
        <v>1382</v>
      </c>
      <c r="G184">
        <v>88</v>
      </c>
      <c r="H184">
        <v>0.56100000000000005</v>
      </c>
      <c r="I184">
        <v>0.43099999999999999</v>
      </c>
      <c r="J184">
        <v>-8.81</v>
      </c>
      <c r="K184">
        <v>1</v>
      </c>
      <c r="L184">
        <v>10</v>
      </c>
      <c r="M184">
        <v>5.7799999999999997E-2</v>
      </c>
      <c r="N184">
        <v>0.76800000000000002</v>
      </c>
      <c r="O184">
        <v>1.42E-5</v>
      </c>
      <c r="P184">
        <v>0.106</v>
      </c>
      <c r="Q184">
        <v>0.13700000000000001</v>
      </c>
      <c r="R184">
        <v>143.875</v>
      </c>
      <c r="S184">
        <v>4</v>
      </c>
      <c r="T184">
        <v>242013</v>
      </c>
      <c r="U184">
        <v>4</v>
      </c>
      <c r="V184">
        <v>242013</v>
      </c>
      <c r="W184">
        <v>4</v>
      </c>
      <c r="X184">
        <v>242013</v>
      </c>
      <c r="Y184" t="s">
        <v>16</v>
      </c>
      <c r="Z184" t="str">
        <f>LOOKUP(B184,{0,1083,124200,681950},{"1st","2nd","3rd","4th"})&amp;" Quartile"</f>
        <v>4th Quartile</v>
      </c>
    </row>
    <row r="185" spans="1:26">
      <c r="A185">
        <v>2021</v>
      </c>
      <c r="B185">
        <v>1100000</v>
      </c>
      <c r="C185" t="s">
        <v>1326</v>
      </c>
      <c r="D185" t="s">
        <v>370</v>
      </c>
      <c r="E185">
        <v>90</v>
      </c>
      <c r="F185" t="s">
        <v>1326</v>
      </c>
      <c r="G185">
        <v>22</v>
      </c>
      <c r="H185">
        <v>0.80800000000000005</v>
      </c>
      <c r="I185">
        <v>0.89700000000000002</v>
      </c>
      <c r="J185">
        <v>-3.7120000000000002</v>
      </c>
      <c r="K185">
        <v>0</v>
      </c>
      <c r="L185">
        <v>11</v>
      </c>
      <c r="M185">
        <v>3.4799999999999998E-2</v>
      </c>
      <c r="N185">
        <v>4.6899999999999997E-2</v>
      </c>
      <c r="O185">
        <v>3.1399999999999998E-5</v>
      </c>
      <c r="P185">
        <v>0.36399999999999999</v>
      </c>
      <c r="Q185">
        <v>0.59099999999999997</v>
      </c>
      <c r="R185">
        <v>126.026</v>
      </c>
      <c r="S185">
        <v>4</v>
      </c>
      <c r="T185">
        <v>231041</v>
      </c>
      <c r="U185">
        <v>4</v>
      </c>
      <c r="V185">
        <v>231041</v>
      </c>
      <c r="W185">
        <v>4</v>
      </c>
      <c r="X185">
        <v>231041</v>
      </c>
      <c r="Y185" t="s">
        <v>16</v>
      </c>
      <c r="Z185" t="str">
        <f>LOOKUP(B185,{0,1083,124200,681950},{"1st","2nd","3rd","4th"})&amp;" Quartile"</f>
        <v>4th Quartile</v>
      </c>
    </row>
    <row r="186" spans="1:26">
      <c r="A186">
        <v>2020</v>
      </c>
      <c r="B186">
        <v>1100000</v>
      </c>
      <c r="C186" t="s">
        <v>1136</v>
      </c>
      <c r="D186" t="s">
        <v>1135</v>
      </c>
      <c r="E186">
        <v>82</v>
      </c>
      <c r="F186" t="s">
        <v>1134</v>
      </c>
      <c r="G186">
        <v>75</v>
      </c>
      <c r="H186">
        <v>0.72399999999999998</v>
      </c>
      <c r="I186">
        <v>0.49099999999999999</v>
      </c>
      <c r="J186">
        <v>-6.024</v>
      </c>
      <c r="K186">
        <v>1</v>
      </c>
      <c r="L186">
        <v>8</v>
      </c>
      <c r="M186">
        <v>2.9600000000000001E-2</v>
      </c>
      <c r="N186">
        <v>1.7999999999999999E-2</v>
      </c>
      <c r="O186">
        <v>1.29E-5</v>
      </c>
      <c r="P186">
        <v>8.8700000000000001E-2</v>
      </c>
      <c r="Q186">
        <v>0.38300000000000001</v>
      </c>
      <c r="R186">
        <v>105.04600000000001</v>
      </c>
      <c r="S186">
        <v>4</v>
      </c>
      <c r="T186">
        <v>170746</v>
      </c>
      <c r="U186">
        <v>4</v>
      </c>
      <c r="V186">
        <v>170746</v>
      </c>
      <c r="W186">
        <v>4</v>
      </c>
      <c r="X186">
        <v>170746</v>
      </c>
      <c r="Y186" t="s">
        <v>16</v>
      </c>
      <c r="Z186" t="str">
        <f>LOOKUP(B186,{0,1083,124200,681950},{"1st","2nd","3rd","4th"})&amp;" Quartile"</f>
        <v>4th Quartile</v>
      </c>
    </row>
    <row r="187" spans="1:26">
      <c r="A187">
        <v>2020</v>
      </c>
      <c r="B187">
        <v>1100000</v>
      </c>
      <c r="C187" t="s">
        <v>819</v>
      </c>
      <c r="D187" t="s">
        <v>818</v>
      </c>
      <c r="E187">
        <v>68</v>
      </c>
      <c r="F187" t="s">
        <v>817</v>
      </c>
      <c r="G187">
        <v>73</v>
      </c>
      <c r="H187">
        <v>0.45300000000000001</v>
      </c>
      <c r="I187">
        <v>0.53800000000000003</v>
      </c>
      <c r="J187">
        <v>-8.2119999999999997</v>
      </c>
      <c r="K187">
        <v>1</v>
      </c>
      <c r="L187">
        <v>1</v>
      </c>
      <c r="M187">
        <v>6.3799999999999996E-2</v>
      </c>
      <c r="N187">
        <v>0.44900000000000001</v>
      </c>
      <c r="O187">
        <v>0</v>
      </c>
      <c r="P187">
        <v>0.19</v>
      </c>
      <c r="Q187">
        <v>0.51600000000000001</v>
      </c>
      <c r="R187">
        <v>122.973</v>
      </c>
      <c r="S187">
        <v>4</v>
      </c>
      <c r="T187">
        <v>204533</v>
      </c>
      <c r="U187">
        <v>4</v>
      </c>
      <c r="V187">
        <v>204533</v>
      </c>
      <c r="W187">
        <v>4</v>
      </c>
      <c r="X187">
        <v>204533</v>
      </c>
      <c r="Y187" t="s">
        <v>16</v>
      </c>
      <c r="Z187" t="str">
        <f>LOOKUP(B187,{0,1083,124200,681950},{"1st","2nd","3rd","4th"})&amp;" Quartile"</f>
        <v>4th Quartile</v>
      </c>
    </row>
    <row r="188" spans="1:26">
      <c r="A188">
        <v>2019</v>
      </c>
      <c r="B188">
        <v>1100000</v>
      </c>
      <c r="C188" t="s">
        <v>529</v>
      </c>
      <c r="D188" t="s">
        <v>530</v>
      </c>
      <c r="E188">
        <v>66</v>
      </c>
      <c r="F188" t="s">
        <v>529</v>
      </c>
      <c r="G188">
        <v>78</v>
      </c>
      <c r="H188">
        <v>0.621</v>
      </c>
      <c r="I188">
        <v>0.60099999999999998</v>
      </c>
      <c r="J188">
        <v>-5.6159999999999997</v>
      </c>
      <c r="K188">
        <v>0</v>
      </c>
      <c r="L188">
        <v>6</v>
      </c>
      <c r="M188">
        <v>0.14799999999999999</v>
      </c>
      <c r="N188">
        <v>5.2200000000000003E-2</v>
      </c>
      <c r="O188">
        <v>0</v>
      </c>
      <c r="P188">
        <v>0.46</v>
      </c>
      <c r="Q188">
        <v>0.45700000000000002</v>
      </c>
      <c r="R188">
        <v>116.735</v>
      </c>
      <c r="S188">
        <v>5</v>
      </c>
      <c r="T188">
        <v>163636</v>
      </c>
      <c r="U188">
        <v>5</v>
      </c>
      <c r="V188">
        <v>163636</v>
      </c>
      <c r="W188">
        <v>5</v>
      </c>
      <c r="X188">
        <v>163636</v>
      </c>
      <c r="Y188" t="s">
        <v>16</v>
      </c>
      <c r="Z188" t="str">
        <f>LOOKUP(B188,{0,1083,124200,681950},{"1st","2nd","3rd","4th"})&amp;" Quartile"</f>
        <v>4th Quartile</v>
      </c>
    </row>
    <row r="189" spans="1:26">
      <c r="A189">
        <v>2019</v>
      </c>
      <c r="B189">
        <v>1100000</v>
      </c>
      <c r="C189" t="s">
        <v>392</v>
      </c>
      <c r="D189" t="s">
        <v>391</v>
      </c>
      <c r="E189">
        <v>73</v>
      </c>
      <c r="F189" t="s">
        <v>390</v>
      </c>
      <c r="G189">
        <v>70</v>
      </c>
      <c r="H189">
        <v>0.89900000000000002</v>
      </c>
      <c r="I189">
        <v>0.81100000000000005</v>
      </c>
      <c r="J189">
        <v>-6.2939999999999996</v>
      </c>
      <c r="K189">
        <v>1</v>
      </c>
      <c r="L189">
        <v>2</v>
      </c>
      <c r="M189">
        <v>0.25800000000000001</v>
      </c>
      <c r="N189">
        <v>6.7699999999999998E-4</v>
      </c>
      <c r="O189">
        <v>0</v>
      </c>
      <c r="P189">
        <v>6.7199999999999996E-2</v>
      </c>
      <c r="Q189">
        <v>0.58699999999999997</v>
      </c>
      <c r="R189">
        <v>105.038</v>
      </c>
      <c r="S189">
        <v>4</v>
      </c>
      <c r="T189">
        <v>126446</v>
      </c>
      <c r="U189">
        <v>4</v>
      </c>
      <c r="V189">
        <v>126446</v>
      </c>
      <c r="W189">
        <v>4</v>
      </c>
      <c r="X189">
        <v>126446</v>
      </c>
      <c r="Y189" t="s">
        <v>16</v>
      </c>
      <c r="Z189" t="str">
        <f>LOOKUP(B189,{0,1083,124200,681950},{"1st","2nd","3rd","4th"})&amp;" Quartile"</f>
        <v>4th Quartile</v>
      </c>
    </row>
    <row r="190" spans="1:26">
      <c r="A190">
        <v>2022</v>
      </c>
      <c r="B190">
        <v>1000000</v>
      </c>
      <c r="C190" t="s">
        <v>1835</v>
      </c>
      <c r="D190" t="s">
        <v>670</v>
      </c>
      <c r="E190">
        <v>85</v>
      </c>
      <c r="F190" t="s">
        <v>1835</v>
      </c>
      <c r="G190">
        <v>97</v>
      </c>
      <c r="H190">
        <v>0.44</v>
      </c>
      <c r="I190">
        <v>0.317</v>
      </c>
      <c r="J190">
        <v>-9.2579999999999991</v>
      </c>
      <c r="K190">
        <v>1</v>
      </c>
      <c r="L190">
        <v>8</v>
      </c>
      <c r="M190">
        <v>5.3100000000000001E-2</v>
      </c>
      <c r="N190">
        <v>0.89100000000000001</v>
      </c>
      <c r="O190">
        <v>4.78E-6</v>
      </c>
      <c r="P190">
        <v>0.14099999999999999</v>
      </c>
      <c r="Q190">
        <v>0.26800000000000002</v>
      </c>
      <c r="R190">
        <v>169.91399999999999</v>
      </c>
      <c r="S190">
        <v>3</v>
      </c>
      <c r="T190">
        <v>233456</v>
      </c>
      <c r="U190">
        <v>3</v>
      </c>
      <c r="V190">
        <v>233456</v>
      </c>
      <c r="W190">
        <v>3</v>
      </c>
      <c r="X190">
        <v>233456</v>
      </c>
      <c r="Y190" t="s">
        <v>16</v>
      </c>
      <c r="Z190" t="str">
        <f>LOOKUP(B190,{0,1083,124200,681950},{"1st","2nd","3rd","4th"})&amp;" Quartile"</f>
        <v>4th Quartile</v>
      </c>
    </row>
    <row r="191" spans="1:26">
      <c r="A191">
        <v>2022</v>
      </c>
      <c r="B191">
        <v>1000000</v>
      </c>
      <c r="C191" t="s">
        <v>1321</v>
      </c>
      <c r="D191" t="s">
        <v>1010</v>
      </c>
      <c r="E191">
        <v>67</v>
      </c>
      <c r="F191" t="s">
        <v>1321</v>
      </c>
      <c r="G191">
        <v>71</v>
      </c>
      <c r="H191">
        <v>0.82</v>
      </c>
      <c r="I191">
        <v>0.61099999999999999</v>
      </c>
      <c r="J191">
        <v>-5.0199999999999996</v>
      </c>
      <c r="K191">
        <v>0</v>
      </c>
      <c r="L191">
        <v>9</v>
      </c>
      <c r="M191">
        <v>0.122</v>
      </c>
      <c r="N191">
        <v>7.6600000000000001E-2</v>
      </c>
      <c r="O191">
        <v>2.5000000000000001E-5</v>
      </c>
      <c r="P191">
        <v>6.8400000000000002E-2</v>
      </c>
      <c r="Q191">
        <v>0.63700000000000001</v>
      </c>
      <c r="R191">
        <v>127.883</v>
      </c>
      <c r="S191">
        <v>4</v>
      </c>
      <c r="T191">
        <v>133134</v>
      </c>
      <c r="U191">
        <v>4</v>
      </c>
      <c r="V191">
        <v>133134</v>
      </c>
      <c r="W191">
        <v>4</v>
      </c>
      <c r="X191">
        <v>133134</v>
      </c>
      <c r="Y191" t="s">
        <v>16</v>
      </c>
      <c r="Z191" t="str">
        <f>LOOKUP(B191,{0,1083,124200,681950},{"1st","2nd","3rd","4th"})&amp;" Quartile"</f>
        <v>4th Quartile</v>
      </c>
    </row>
    <row r="192" spans="1:26">
      <c r="A192">
        <v>2021</v>
      </c>
      <c r="B192">
        <v>1000000</v>
      </c>
      <c r="C192" t="s">
        <v>1425</v>
      </c>
      <c r="D192" t="s">
        <v>515</v>
      </c>
      <c r="E192">
        <v>78</v>
      </c>
      <c r="F192" t="s">
        <v>1424</v>
      </c>
      <c r="G192">
        <v>79</v>
      </c>
      <c r="H192">
        <v>0.78800000000000003</v>
      </c>
      <c r="I192">
        <v>0.84399999999999997</v>
      </c>
      <c r="J192">
        <v>-3.1309999999999998</v>
      </c>
      <c r="K192">
        <v>1</v>
      </c>
      <c r="L192">
        <v>2</v>
      </c>
      <c r="M192">
        <v>3.3399999999999999E-2</v>
      </c>
      <c r="N192">
        <v>0.25</v>
      </c>
      <c r="O192">
        <v>6.78E-4</v>
      </c>
      <c r="P192">
        <v>7.2300000000000003E-2</v>
      </c>
      <c r="Q192">
        <v>0.38200000000000001</v>
      </c>
      <c r="R192">
        <v>113.324</v>
      </c>
      <c r="S192">
        <v>4</v>
      </c>
      <c r="T192">
        <v>251240</v>
      </c>
      <c r="U192">
        <v>4</v>
      </c>
      <c r="V192">
        <v>251240</v>
      </c>
      <c r="W192">
        <v>4</v>
      </c>
      <c r="X192">
        <v>251240</v>
      </c>
      <c r="Y192" t="s">
        <v>16</v>
      </c>
      <c r="Z192" t="str">
        <f>LOOKUP(B192,{0,1083,124200,681950},{"1st","2nd","3rd","4th"})&amp;" Quartile"</f>
        <v>4th Quartile</v>
      </c>
    </row>
    <row r="193" spans="1:26">
      <c r="A193">
        <v>2021</v>
      </c>
      <c r="B193">
        <v>1000000</v>
      </c>
      <c r="C193" t="s">
        <v>1321</v>
      </c>
      <c r="D193" t="s">
        <v>1010</v>
      </c>
      <c r="E193">
        <v>67</v>
      </c>
      <c r="F193" t="s">
        <v>1321</v>
      </c>
      <c r="G193">
        <v>71</v>
      </c>
      <c r="H193">
        <v>0.82</v>
      </c>
      <c r="I193">
        <v>0.61099999999999999</v>
      </c>
      <c r="J193">
        <v>-5.0199999999999996</v>
      </c>
      <c r="K193">
        <v>0</v>
      </c>
      <c r="L193">
        <v>9</v>
      </c>
      <c r="M193">
        <v>0.122</v>
      </c>
      <c r="N193">
        <v>7.6600000000000001E-2</v>
      </c>
      <c r="O193">
        <v>2.5000000000000001E-5</v>
      </c>
      <c r="P193">
        <v>6.8400000000000002E-2</v>
      </c>
      <c r="Q193">
        <v>0.63700000000000001</v>
      </c>
      <c r="R193">
        <v>127.883</v>
      </c>
      <c r="S193">
        <v>4</v>
      </c>
      <c r="T193">
        <v>133134</v>
      </c>
      <c r="U193">
        <v>4</v>
      </c>
      <c r="V193">
        <v>133134</v>
      </c>
      <c r="W193">
        <v>4</v>
      </c>
      <c r="X193">
        <v>133134</v>
      </c>
      <c r="Y193" t="s">
        <v>16</v>
      </c>
      <c r="Z193" t="str">
        <f>LOOKUP(B193,{0,1083,124200,681950},{"1st","2nd","3rd","4th"})&amp;" Quartile"</f>
        <v>4th Quartile</v>
      </c>
    </row>
    <row r="194" spans="1:26">
      <c r="A194">
        <v>2021</v>
      </c>
      <c r="B194">
        <v>1000000</v>
      </c>
      <c r="C194" t="s">
        <v>836</v>
      </c>
      <c r="D194" t="s">
        <v>837</v>
      </c>
      <c r="E194">
        <v>77</v>
      </c>
      <c r="F194" t="s">
        <v>836</v>
      </c>
      <c r="G194">
        <v>74</v>
      </c>
      <c r="H194">
        <v>0.81</v>
      </c>
      <c r="I194">
        <v>0.53800000000000003</v>
      </c>
      <c r="J194">
        <v>-5.7839999999999998</v>
      </c>
      <c r="K194">
        <v>0</v>
      </c>
      <c r="L194">
        <v>0</v>
      </c>
      <c r="M194">
        <v>3.56E-2</v>
      </c>
      <c r="N194">
        <v>0.52800000000000002</v>
      </c>
      <c r="O194">
        <v>0</v>
      </c>
      <c r="P194">
        <v>9.5100000000000004E-2</v>
      </c>
      <c r="Q194">
        <v>0.82799999999999996</v>
      </c>
      <c r="R194">
        <v>109.97</v>
      </c>
      <c r="S194">
        <v>4</v>
      </c>
      <c r="T194">
        <v>266840</v>
      </c>
      <c r="U194">
        <v>4</v>
      </c>
      <c r="V194">
        <v>266840</v>
      </c>
      <c r="W194">
        <v>4</v>
      </c>
      <c r="X194">
        <v>266840</v>
      </c>
      <c r="Y194" t="s">
        <v>16</v>
      </c>
      <c r="Z194" t="str">
        <f>LOOKUP(B194,{0,1083,124200,681950},{"1st","2nd","3rd","4th"})&amp;" Quartile"</f>
        <v>4th Quartile</v>
      </c>
    </row>
    <row r="195" spans="1:26">
      <c r="A195">
        <v>2021</v>
      </c>
      <c r="B195">
        <v>1000000</v>
      </c>
      <c r="C195" t="s">
        <v>1213</v>
      </c>
      <c r="D195" t="s">
        <v>609</v>
      </c>
      <c r="E195">
        <v>79</v>
      </c>
      <c r="F195" t="s">
        <v>1212</v>
      </c>
      <c r="G195">
        <v>83</v>
      </c>
      <c r="H195">
        <v>0.74199999999999999</v>
      </c>
      <c r="I195">
        <v>0.88200000000000001</v>
      </c>
      <c r="J195">
        <v>-2.8620000000000001</v>
      </c>
      <c r="K195">
        <v>1</v>
      </c>
      <c r="L195">
        <v>7</v>
      </c>
      <c r="M195">
        <v>0.11700000000000001</v>
      </c>
      <c r="N195">
        <v>4.6600000000000003E-2</v>
      </c>
      <c r="O195">
        <v>0</v>
      </c>
      <c r="P195">
        <v>0.20599999999999999</v>
      </c>
      <c r="Q195">
        <v>0.46300000000000002</v>
      </c>
      <c r="R195">
        <v>102.04</v>
      </c>
      <c r="S195">
        <v>4</v>
      </c>
      <c r="T195">
        <v>221176</v>
      </c>
      <c r="U195">
        <v>4</v>
      </c>
      <c r="V195">
        <v>221176</v>
      </c>
      <c r="W195">
        <v>4</v>
      </c>
      <c r="X195">
        <v>221176</v>
      </c>
      <c r="Y195" t="s">
        <v>16</v>
      </c>
      <c r="Z195" t="str">
        <f>LOOKUP(B195,{0,1083,124200,681950},{"1st","2nd","3rd","4th"})&amp;" Quartile"</f>
        <v>4th Quartile</v>
      </c>
    </row>
    <row r="196" spans="1:26">
      <c r="A196">
        <v>2021</v>
      </c>
      <c r="B196">
        <v>1000000</v>
      </c>
      <c r="C196" t="s">
        <v>1197</v>
      </c>
      <c r="D196" t="s">
        <v>1196</v>
      </c>
      <c r="E196">
        <v>82</v>
      </c>
      <c r="F196" t="s">
        <v>1195</v>
      </c>
      <c r="G196">
        <v>74</v>
      </c>
      <c r="H196">
        <v>0.71599999999999997</v>
      </c>
      <c r="I196">
        <v>0.51200000000000001</v>
      </c>
      <c r="J196">
        <v>-6.2569999999999997</v>
      </c>
      <c r="K196">
        <v>1</v>
      </c>
      <c r="L196">
        <v>1</v>
      </c>
      <c r="M196">
        <v>3.3099999999999997E-2</v>
      </c>
      <c r="N196">
        <v>0.48299999999999998</v>
      </c>
      <c r="O196">
        <v>0</v>
      </c>
      <c r="P196">
        <v>9.2799999999999994E-2</v>
      </c>
      <c r="Q196">
        <v>0.32600000000000001</v>
      </c>
      <c r="R196">
        <v>104.95699999999999</v>
      </c>
      <c r="S196">
        <v>3</v>
      </c>
      <c r="T196">
        <v>165907</v>
      </c>
      <c r="U196">
        <v>3</v>
      </c>
      <c r="V196">
        <v>165907</v>
      </c>
      <c r="W196">
        <v>3</v>
      </c>
      <c r="X196">
        <v>165907</v>
      </c>
      <c r="Y196" t="s">
        <v>16</v>
      </c>
      <c r="Z196" t="str">
        <f>LOOKUP(B196,{0,1083,124200,681950},{"1st","2nd","3rd","4th"})&amp;" Quartile"</f>
        <v>4th Quartile</v>
      </c>
    </row>
    <row r="197" spans="1:26">
      <c r="A197">
        <v>2020</v>
      </c>
      <c r="B197">
        <v>1000000</v>
      </c>
      <c r="C197" t="s">
        <v>968</v>
      </c>
      <c r="D197" t="s">
        <v>969</v>
      </c>
      <c r="E197">
        <v>48</v>
      </c>
      <c r="F197" t="s">
        <v>968</v>
      </c>
      <c r="G197">
        <v>1</v>
      </c>
      <c r="H197">
        <v>0.83899999999999997</v>
      </c>
      <c r="I197">
        <v>0.68300000000000005</v>
      </c>
      <c r="J197">
        <v>-9.2319999999999993</v>
      </c>
      <c r="K197">
        <v>0</v>
      </c>
      <c r="L197">
        <v>10</v>
      </c>
      <c r="M197">
        <v>0.16500000000000001</v>
      </c>
      <c r="N197">
        <v>6.6699999999999997E-3</v>
      </c>
      <c r="O197">
        <v>0</v>
      </c>
      <c r="P197">
        <v>0.24099999999999999</v>
      </c>
      <c r="Q197">
        <v>0.52200000000000002</v>
      </c>
      <c r="R197">
        <v>120.003</v>
      </c>
      <c r="S197">
        <v>4</v>
      </c>
      <c r="T197">
        <v>159955</v>
      </c>
      <c r="U197">
        <v>4</v>
      </c>
      <c r="V197">
        <v>159955</v>
      </c>
      <c r="W197">
        <v>4</v>
      </c>
      <c r="X197">
        <v>159955</v>
      </c>
      <c r="Y197" t="s">
        <v>16</v>
      </c>
      <c r="Z197" t="str">
        <f>LOOKUP(B197,{0,1083,124200,681950},{"1st","2nd","3rd","4th"})&amp;" Quartile"</f>
        <v>4th Quartile</v>
      </c>
    </row>
    <row r="198" spans="1:26">
      <c r="A198">
        <v>2020</v>
      </c>
      <c r="B198">
        <v>1000000</v>
      </c>
      <c r="C198" t="s">
        <v>855</v>
      </c>
      <c r="D198" t="s">
        <v>856</v>
      </c>
      <c r="E198">
        <v>53</v>
      </c>
      <c r="F198" t="s">
        <v>855</v>
      </c>
      <c r="G198">
        <v>53</v>
      </c>
      <c r="H198">
        <v>0.754</v>
      </c>
      <c r="I198">
        <v>0.56799999999999995</v>
      </c>
      <c r="J198">
        <v>-8.7189999999999994</v>
      </c>
      <c r="K198">
        <v>1</v>
      </c>
      <c r="L198">
        <v>10</v>
      </c>
      <c r="M198">
        <v>0.34399999999999997</v>
      </c>
      <c r="N198">
        <v>6.3500000000000001E-2</v>
      </c>
      <c r="O198">
        <v>9.3200000000000002E-3</v>
      </c>
      <c r="P198">
        <v>0.11799999999999999</v>
      </c>
      <c r="Q198">
        <v>0.17499999999999999</v>
      </c>
      <c r="R198">
        <v>159.947</v>
      </c>
      <c r="S198">
        <v>4</v>
      </c>
      <c r="T198">
        <v>83940</v>
      </c>
      <c r="U198">
        <v>4</v>
      </c>
      <c r="V198">
        <v>83940</v>
      </c>
      <c r="W198">
        <v>4</v>
      </c>
      <c r="X198">
        <v>83940</v>
      </c>
      <c r="Y198" t="s">
        <v>16</v>
      </c>
      <c r="Z198" t="str">
        <f>LOOKUP(B198,{0,1083,124200,681950},{"1st","2nd","3rd","4th"})&amp;" Quartile"</f>
        <v>4th Quartile</v>
      </c>
    </row>
    <row r="199" spans="1:26">
      <c r="A199">
        <v>2020</v>
      </c>
      <c r="B199">
        <v>1000000</v>
      </c>
      <c r="C199" t="s">
        <v>836</v>
      </c>
      <c r="D199" t="s">
        <v>837</v>
      </c>
      <c r="E199">
        <v>77</v>
      </c>
      <c r="F199" t="s">
        <v>836</v>
      </c>
      <c r="G199">
        <v>74</v>
      </c>
      <c r="H199">
        <v>0.81</v>
      </c>
      <c r="I199">
        <v>0.53800000000000003</v>
      </c>
      <c r="J199">
        <v>-5.7839999999999998</v>
      </c>
      <c r="K199">
        <v>0</v>
      </c>
      <c r="L199">
        <v>0</v>
      </c>
      <c r="M199">
        <v>3.56E-2</v>
      </c>
      <c r="N199">
        <v>0.52800000000000002</v>
      </c>
      <c r="O199">
        <v>0</v>
      </c>
      <c r="P199">
        <v>9.5100000000000004E-2</v>
      </c>
      <c r="Q199">
        <v>0.82799999999999996</v>
      </c>
      <c r="R199">
        <v>109.97</v>
      </c>
      <c r="S199">
        <v>4</v>
      </c>
      <c r="T199">
        <v>266840</v>
      </c>
      <c r="U199">
        <v>4</v>
      </c>
      <c r="V199">
        <v>266840</v>
      </c>
      <c r="W199">
        <v>4</v>
      </c>
      <c r="X199">
        <v>266840</v>
      </c>
      <c r="Y199" t="s">
        <v>16</v>
      </c>
      <c r="Z199" t="str">
        <f>LOOKUP(B199,{0,1083,124200,681950},{"1st","2nd","3rd","4th"})&amp;" Quartile"</f>
        <v>4th Quartile</v>
      </c>
    </row>
    <row r="200" spans="1:26">
      <c r="A200">
        <v>2020</v>
      </c>
      <c r="B200">
        <v>1000000</v>
      </c>
      <c r="C200" t="s">
        <v>713</v>
      </c>
      <c r="D200" t="s">
        <v>712</v>
      </c>
      <c r="E200">
        <v>40</v>
      </c>
      <c r="F200" t="s">
        <v>711</v>
      </c>
      <c r="G200">
        <v>41</v>
      </c>
      <c r="H200">
        <v>0.76900000000000002</v>
      </c>
      <c r="I200">
        <v>0.63700000000000001</v>
      </c>
      <c r="J200">
        <v>-6.4</v>
      </c>
      <c r="K200">
        <v>1</v>
      </c>
      <c r="L200">
        <v>8</v>
      </c>
      <c r="M200">
        <v>5.7200000000000001E-2</v>
      </c>
      <c r="N200">
        <v>4.7600000000000003E-2</v>
      </c>
      <c r="O200">
        <v>6.1500000000000004E-5</v>
      </c>
      <c r="P200">
        <v>0.35</v>
      </c>
      <c r="Q200">
        <v>0.36099999999999999</v>
      </c>
      <c r="R200">
        <v>79.016000000000005</v>
      </c>
      <c r="S200">
        <v>4</v>
      </c>
      <c r="T200">
        <v>234945</v>
      </c>
      <c r="U200">
        <v>4</v>
      </c>
      <c r="V200">
        <v>234945</v>
      </c>
      <c r="W200">
        <v>4</v>
      </c>
      <c r="X200">
        <v>234945</v>
      </c>
      <c r="Y200" t="s">
        <v>16</v>
      </c>
      <c r="Z200" t="str">
        <f>LOOKUP(B200,{0,1083,124200,681950},{"1st","2nd","3rd","4th"})&amp;" Quartile"</f>
        <v>4th Quartile</v>
      </c>
    </row>
    <row r="201" spans="1:26">
      <c r="A201">
        <v>2019</v>
      </c>
      <c r="B201">
        <v>1000000</v>
      </c>
      <c r="C201" t="s">
        <v>403</v>
      </c>
      <c r="D201" t="s">
        <v>404</v>
      </c>
      <c r="E201">
        <v>44</v>
      </c>
      <c r="F201" t="s">
        <v>403</v>
      </c>
      <c r="G201">
        <v>0</v>
      </c>
      <c r="H201">
        <v>0.75800000000000001</v>
      </c>
      <c r="I201">
        <v>0.71599999999999997</v>
      </c>
      <c r="J201">
        <v>-7.7030000000000003</v>
      </c>
      <c r="K201">
        <v>0</v>
      </c>
      <c r="L201">
        <v>4</v>
      </c>
      <c r="M201">
        <v>0.253</v>
      </c>
      <c r="N201">
        <v>0.622</v>
      </c>
      <c r="O201">
        <v>4.0200000000000001E-4</v>
      </c>
      <c r="P201">
        <v>0.28100000000000003</v>
      </c>
      <c r="Q201">
        <v>0.96399999999999997</v>
      </c>
      <c r="R201">
        <v>170.14</v>
      </c>
      <c r="S201">
        <v>4</v>
      </c>
      <c r="T201">
        <v>120054</v>
      </c>
      <c r="U201">
        <v>4</v>
      </c>
      <c r="V201">
        <v>120054</v>
      </c>
      <c r="W201">
        <v>4</v>
      </c>
      <c r="X201">
        <v>120054</v>
      </c>
      <c r="Y201" t="s">
        <v>16</v>
      </c>
      <c r="Z201" t="str">
        <f>LOOKUP(B201,{0,1083,124200,681950},{"1st","2nd","3rd","4th"})&amp;" Quartile"</f>
        <v>4th Quartile</v>
      </c>
    </row>
    <row r="202" spans="1:26">
      <c r="A202">
        <v>2021</v>
      </c>
      <c r="B202">
        <v>992000</v>
      </c>
      <c r="C202" t="s">
        <v>941</v>
      </c>
      <c r="D202" t="s">
        <v>942</v>
      </c>
      <c r="E202">
        <v>68</v>
      </c>
      <c r="F202" t="s">
        <v>941</v>
      </c>
      <c r="G202">
        <v>62</v>
      </c>
      <c r="H202">
        <v>0.73399999999999999</v>
      </c>
      <c r="I202">
        <v>0.69199999999999995</v>
      </c>
      <c r="J202">
        <v>-6.2270000000000003</v>
      </c>
      <c r="K202">
        <v>0</v>
      </c>
      <c r="L202">
        <v>2</v>
      </c>
      <c r="M202">
        <v>5.5500000000000001E-2</v>
      </c>
      <c r="N202">
        <v>2.2100000000000002E-2</v>
      </c>
      <c r="O202">
        <v>0</v>
      </c>
      <c r="P202">
        <v>0.224</v>
      </c>
      <c r="Q202">
        <v>0.34799999999999998</v>
      </c>
      <c r="R202">
        <v>77.994</v>
      </c>
      <c r="S202">
        <v>4</v>
      </c>
      <c r="T202">
        <v>149145</v>
      </c>
      <c r="U202">
        <v>4</v>
      </c>
      <c r="V202">
        <v>149145</v>
      </c>
      <c r="W202">
        <v>4</v>
      </c>
      <c r="X202">
        <v>149145</v>
      </c>
      <c r="Y202" t="s">
        <v>16</v>
      </c>
      <c r="Z202" t="str">
        <f>LOOKUP(B202,{0,1083,124200,681950},{"1st","2nd","3rd","4th"})&amp;" Quartile"</f>
        <v>4th Quartile</v>
      </c>
    </row>
    <row r="203" spans="1:26">
      <c r="A203">
        <v>2020</v>
      </c>
      <c r="B203">
        <v>991800</v>
      </c>
      <c r="C203" t="s">
        <v>941</v>
      </c>
      <c r="D203" t="s">
        <v>942</v>
      </c>
      <c r="E203">
        <v>68</v>
      </c>
      <c r="F203" t="s">
        <v>941</v>
      </c>
      <c r="G203">
        <v>62</v>
      </c>
      <c r="H203">
        <v>0.73399999999999999</v>
      </c>
      <c r="I203">
        <v>0.69199999999999995</v>
      </c>
      <c r="J203">
        <v>-6.2270000000000003</v>
      </c>
      <c r="K203">
        <v>0</v>
      </c>
      <c r="L203">
        <v>2</v>
      </c>
      <c r="M203">
        <v>5.5500000000000001E-2</v>
      </c>
      <c r="N203">
        <v>2.2100000000000002E-2</v>
      </c>
      <c r="O203">
        <v>0</v>
      </c>
      <c r="P203">
        <v>0.224</v>
      </c>
      <c r="Q203">
        <v>0.34799999999999998</v>
      </c>
      <c r="R203">
        <v>77.994</v>
      </c>
      <c r="S203">
        <v>4</v>
      </c>
      <c r="T203">
        <v>149145</v>
      </c>
      <c r="U203">
        <v>4</v>
      </c>
      <c r="V203">
        <v>149145</v>
      </c>
      <c r="W203">
        <v>4</v>
      </c>
      <c r="X203">
        <v>149145</v>
      </c>
      <c r="Y203" t="s">
        <v>16</v>
      </c>
      <c r="Z203" t="str">
        <f>LOOKUP(B203,{0,1083,124200,681950},{"1st","2nd","3rd","4th"})&amp;" Quartile"</f>
        <v>4th Quartile</v>
      </c>
    </row>
    <row r="204" spans="1:26">
      <c r="A204">
        <v>2021</v>
      </c>
      <c r="B204">
        <v>972200</v>
      </c>
      <c r="C204" t="s">
        <v>1227</v>
      </c>
      <c r="D204" t="s">
        <v>1097</v>
      </c>
      <c r="E204">
        <v>78</v>
      </c>
      <c r="F204" t="s">
        <v>1096</v>
      </c>
      <c r="G204">
        <v>73</v>
      </c>
      <c r="H204">
        <v>0.59499999999999997</v>
      </c>
      <c r="I204">
        <v>0.68899999999999995</v>
      </c>
      <c r="J204">
        <v>-6.1070000000000002</v>
      </c>
      <c r="K204">
        <v>0</v>
      </c>
      <c r="L204">
        <v>6</v>
      </c>
      <c r="M204">
        <v>0.14799999999999999</v>
      </c>
      <c r="N204">
        <v>0.254</v>
      </c>
      <c r="O204">
        <v>5.4399999999999996E-6</v>
      </c>
      <c r="P204">
        <v>0.129</v>
      </c>
      <c r="Q204">
        <v>0.21299999999999999</v>
      </c>
      <c r="R204">
        <v>168.11199999999999</v>
      </c>
      <c r="S204">
        <v>4</v>
      </c>
      <c r="T204">
        <v>209427</v>
      </c>
      <c r="U204">
        <v>4</v>
      </c>
      <c r="V204">
        <v>209427</v>
      </c>
      <c r="W204">
        <v>4</v>
      </c>
      <c r="X204">
        <v>209427</v>
      </c>
      <c r="Y204" t="s">
        <v>16</v>
      </c>
      <c r="Z204" t="str">
        <f>LOOKUP(B204,{0,1083,124200,681950},{"1st","2nd","3rd","4th"})&amp;" Quartile"</f>
        <v>4th Quartile</v>
      </c>
    </row>
    <row r="205" spans="1:26">
      <c r="A205">
        <v>2020</v>
      </c>
      <c r="B205">
        <v>957300</v>
      </c>
      <c r="C205" t="s">
        <v>1051</v>
      </c>
      <c r="D205" t="s">
        <v>175</v>
      </c>
      <c r="E205">
        <v>88</v>
      </c>
      <c r="F205" t="s">
        <v>1051</v>
      </c>
      <c r="G205">
        <v>78</v>
      </c>
      <c r="H205">
        <v>0.70699999999999996</v>
      </c>
      <c r="I205">
        <v>0.95499999999999996</v>
      </c>
      <c r="J205">
        <v>-4.593</v>
      </c>
      <c r="K205">
        <v>0</v>
      </c>
      <c r="L205">
        <v>10</v>
      </c>
      <c r="M205">
        <v>0.222</v>
      </c>
      <c r="N205">
        <v>0.127</v>
      </c>
      <c r="O205">
        <v>0</v>
      </c>
      <c r="P205">
        <v>0.20200000000000001</v>
      </c>
      <c r="Q205">
        <v>0.57499999999999996</v>
      </c>
      <c r="R205">
        <v>125.989</v>
      </c>
      <c r="S205">
        <v>4</v>
      </c>
      <c r="T205">
        <v>134240</v>
      </c>
      <c r="U205">
        <v>4</v>
      </c>
      <c r="V205">
        <v>134240</v>
      </c>
      <c r="W205">
        <v>4</v>
      </c>
      <c r="X205">
        <v>134240</v>
      </c>
      <c r="Y205" t="s">
        <v>16</v>
      </c>
      <c r="Z205" t="str">
        <f>LOOKUP(B205,{0,1083,124200,681950},{"1st","2nd","3rd","4th"})&amp;" Quartile"</f>
        <v>4th Quartile</v>
      </c>
    </row>
    <row r="206" spans="1:26">
      <c r="A206">
        <v>2020</v>
      </c>
      <c r="B206">
        <v>948400</v>
      </c>
      <c r="C206" t="s">
        <v>1032</v>
      </c>
      <c r="D206" t="s">
        <v>88</v>
      </c>
      <c r="E206">
        <v>72</v>
      </c>
      <c r="F206" t="s">
        <v>87</v>
      </c>
      <c r="G206">
        <v>24</v>
      </c>
      <c r="H206">
        <v>0.71899999999999997</v>
      </c>
      <c r="I206">
        <v>0.80300000000000005</v>
      </c>
      <c r="J206">
        <v>-3.8340000000000001</v>
      </c>
      <c r="K206">
        <v>1</v>
      </c>
      <c r="L206">
        <v>4</v>
      </c>
      <c r="M206">
        <v>7.9500000000000001E-2</v>
      </c>
      <c r="N206">
        <v>1.4800000000000001E-2</v>
      </c>
      <c r="O206">
        <v>3.9999999999999998E-6</v>
      </c>
      <c r="P206">
        <v>0.28999999999999998</v>
      </c>
      <c r="Q206">
        <v>0.71199999999999997</v>
      </c>
      <c r="R206">
        <v>142.96600000000001</v>
      </c>
      <c r="S206">
        <v>4</v>
      </c>
      <c r="T206">
        <v>133995</v>
      </c>
      <c r="U206">
        <v>4</v>
      </c>
      <c r="V206">
        <v>133995</v>
      </c>
      <c r="W206">
        <v>4</v>
      </c>
      <c r="X206">
        <v>133995</v>
      </c>
      <c r="Y206" t="s">
        <v>16</v>
      </c>
      <c r="Z206" t="str">
        <f>LOOKUP(B206,{0,1083,124200,681950},{"1st","2nd","3rd","4th"})&amp;" Quartile"</f>
        <v>4th Quartile</v>
      </c>
    </row>
    <row r="207" spans="1:26">
      <c r="A207">
        <v>2020</v>
      </c>
      <c r="B207">
        <v>944800</v>
      </c>
      <c r="C207" t="s">
        <v>820</v>
      </c>
      <c r="D207" t="s">
        <v>821</v>
      </c>
      <c r="E207">
        <v>61</v>
      </c>
      <c r="F207" t="s">
        <v>820</v>
      </c>
      <c r="G207">
        <v>68</v>
      </c>
      <c r="H207">
        <v>0.88300000000000001</v>
      </c>
      <c r="I207">
        <v>0.41499999999999998</v>
      </c>
      <c r="J207">
        <v>-8.5709999999999997</v>
      </c>
      <c r="K207">
        <v>0</v>
      </c>
      <c r="L207">
        <v>6</v>
      </c>
      <c r="M207">
        <v>0.17399999999999999</v>
      </c>
      <c r="N207">
        <v>0.35</v>
      </c>
      <c r="O207">
        <v>0</v>
      </c>
      <c r="P207">
        <v>6.3E-2</v>
      </c>
      <c r="Q207">
        <v>0.318</v>
      </c>
      <c r="R207">
        <v>76.986000000000004</v>
      </c>
      <c r="S207">
        <v>4</v>
      </c>
      <c r="T207">
        <v>155867</v>
      </c>
      <c r="U207">
        <v>4</v>
      </c>
      <c r="V207">
        <v>155867</v>
      </c>
      <c r="W207">
        <v>4</v>
      </c>
      <c r="X207">
        <v>155867</v>
      </c>
      <c r="Y207" t="s">
        <v>16</v>
      </c>
      <c r="Z207" t="str">
        <f>LOOKUP(B207,{0,1083,124200,681950},{"1st","2nd","3rd","4th"})&amp;" Quartile"</f>
        <v>4th Quartile</v>
      </c>
    </row>
    <row r="208" spans="1:26">
      <c r="A208">
        <v>2020</v>
      </c>
      <c r="B208">
        <v>918400</v>
      </c>
      <c r="C208" t="s">
        <v>1012</v>
      </c>
      <c r="D208" t="s">
        <v>1013</v>
      </c>
      <c r="E208">
        <v>88</v>
      </c>
      <c r="F208" t="s">
        <v>1012</v>
      </c>
      <c r="G208">
        <v>79</v>
      </c>
      <c r="H208">
        <v>0.79400000000000004</v>
      </c>
      <c r="I208">
        <v>0.79300000000000004</v>
      </c>
      <c r="J208">
        <v>-4.5209999999999999</v>
      </c>
      <c r="K208">
        <v>0</v>
      </c>
      <c r="L208">
        <v>11</v>
      </c>
      <c r="M208">
        <v>8.4199999999999997E-2</v>
      </c>
      <c r="N208">
        <v>1.2500000000000001E-2</v>
      </c>
      <c r="O208">
        <v>0</v>
      </c>
      <c r="P208">
        <v>9.5200000000000007E-2</v>
      </c>
      <c r="Q208">
        <v>0.67700000000000005</v>
      </c>
      <c r="R208">
        <v>123.941</v>
      </c>
      <c r="S208">
        <v>4</v>
      </c>
      <c r="T208">
        <v>183290</v>
      </c>
      <c r="U208">
        <v>4</v>
      </c>
      <c r="V208">
        <v>183290</v>
      </c>
      <c r="W208">
        <v>4</v>
      </c>
      <c r="X208">
        <v>183290</v>
      </c>
      <c r="Y208" t="s">
        <v>16</v>
      </c>
      <c r="Z208" t="str">
        <f>LOOKUP(B208,{0,1083,124200,681950},{"1st","2nd","3rd","4th"})&amp;" Quartile"</f>
        <v>4th Quartile</v>
      </c>
    </row>
    <row r="209" spans="1:26">
      <c r="A209">
        <v>2022</v>
      </c>
      <c r="B209">
        <v>918100</v>
      </c>
      <c r="C209" t="s">
        <v>1012</v>
      </c>
      <c r="D209" t="s">
        <v>1013</v>
      </c>
      <c r="E209">
        <v>88</v>
      </c>
      <c r="F209" t="s">
        <v>1012</v>
      </c>
      <c r="G209">
        <v>79</v>
      </c>
      <c r="H209">
        <v>0.79400000000000004</v>
      </c>
      <c r="I209">
        <v>0.79300000000000004</v>
      </c>
      <c r="J209">
        <v>-4.5209999999999999</v>
      </c>
      <c r="K209">
        <v>0</v>
      </c>
      <c r="L209">
        <v>11</v>
      </c>
      <c r="M209">
        <v>8.4199999999999997E-2</v>
      </c>
      <c r="N209">
        <v>1.2500000000000001E-2</v>
      </c>
      <c r="O209">
        <v>0</v>
      </c>
      <c r="P209">
        <v>9.5200000000000007E-2</v>
      </c>
      <c r="Q209">
        <v>0.67700000000000005</v>
      </c>
      <c r="R209">
        <v>123.941</v>
      </c>
      <c r="S209">
        <v>4</v>
      </c>
      <c r="T209">
        <v>183290</v>
      </c>
      <c r="U209">
        <v>4</v>
      </c>
      <c r="V209">
        <v>183290</v>
      </c>
      <c r="W209">
        <v>4</v>
      </c>
      <c r="X209">
        <v>183290</v>
      </c>
      <c r="Y209" t="s">
        <v>16</v>
      </c>
      <c r="Z209" t="str">
        <f>LOOKUP(B209,{0,1083,124200,681950},{"1st","2nd","3rd","4th"})&amp;" Quartile"</f>
        <v>4th Quartile</v>
      </c>
    </row>
    <row r="210" spans="1:26">
      <c r="A210">
        <v>2020</v>
      </c>
      <c r="B210">
        <v>916900</v>
      </c>
      <c r="C210" t="s">
        <v>797</v>
      </c>
      <c r="D210" t="s">
        <v>796</v>
      </c>
      <c r="E210">
        <v>25</v>
      </c>
      <c r="F210" t="s">
        <v>795</v>
      </c>
      <c r="G210">
        <v>12</v>
      </c>
      <c r="H210">
        <v>0.60399999999999998</v>
      </c>
      <c r="I210">
        <v>0.151</v>
      </c>
      <c r="J210">
        <v>-23.928000000000001</v>
      </c>
      <c r="K210">
        <v>0</v>
      </c>
      <c r="L210">
        <v>7</v>
      </c>
      <c r="M210">
        <v>0.88300000000000001</v>
      </c>
      <c r="N210">
        <v>0.82099999999999995</v>
      </c>
      <c r="O210">
        <v>4.9799999999999998E-5</v>
      </c>
      <c r="P210">
        <v>8.6699999999999999E-2</v>
      </c>
      <c r="Q210">
        <v>0.216</v>
      </c>
      <c r="R210">
        <v>209.08199999999999</v>
      </c>
      <c r="S210">
        <v>3</v>
      </c>
      <c r="T210">
        <v>37632</v>
      </c>
      <c r="U210">
        <v>3</v>
      </c>
      <c r="V210">
        <v>37632</v>
      </c>
      <c r="W210">
        <v>3</v>
      </c>
      <c r="X210">
        <v>37632</v>
      </c>
      <c r="Y210" t="s">
        <v>16</v>
      </c>
      <c r="Z210" t="str">
        <f>LOOKUP(B210,{0,1083,124200,681950},{"1st","2nd","3rd","4th"})&amp;" Quartile"</f>
        <v>4th Quartile</v>
      </c>
    </row>
    <row r="211" spans="1:26">
      <c r="A211">
        <v>2020</v>
      </c>
      <c r="B211">
        <v>914700</v>
      </c>
      <c r="C211" t="s">
        <v>893</v>
      </c>
      <c r="D211" t="s">
        <v>894</v>
      </c>
      <c r="E211">
        <v>70</v>
      </c>
      <c r="F211" t="s">
        <v>893</v>
      </c>
      <c r="G211">
        <v>71</v>
      </c>
      <c r="H211">
        <v>0.64500000000000002</v>
      </c>
      <c r="I211">
        <v>0.70499999999999996</v>
      </c>
      <c r="J211">
        <v>-5.008</v>
      </c>
      <c r="K211">
        <v>1</v>
      </c>
      <c r="L211">
        <v>1</v>
      </c>
      <c r="M211">
        <v>0.29899999999999999</v>
      </c>
      <c r="N211">
        <v>8.1300000000000003E-4</v>
      </c>
      <c r="O211">
        <v>0</v>
      </c>
      <c r="P211">
        <v>0.128</v>
      </c>
      <c r="Q211">
        <v>0.376</v>
      </c>
      <c r="R211">
        <v>137.13300000000001</v>
      </c>
      <c r="S211">
        <v>4</v>
      </c>
      <c r="T211">
        <v>229670</v>
      </c>
      <c r="U211">
        <v>4</v>
      </c>
      <c r="V211">
        <v>229670</v>
      </c>
      <c r="W211">
        <v>4</v>
      </c>
      <c r="X211">
        <v>229670</v>
      </c>
      <c r="Y211" t="s">
        <v>16</v>
      </c>
      <c r="Z211" t="str">
        <f>LOOKUP(B211,{0,1083,124200,681950},{"1st","2nd","3rd","4th"})&amp;" Quartile"</f>
        <v>4th Quartile</v>
      </c>
    </row>
    <row r="212" spans="1:26">
      <c r="A212">
        <v>2021</v>
      </c>
      <c r="B212">
        <v>909700</v>
      </c>
      <c r="C212" t="s">
        <v>1369</v>
      </c>
      <c r="D212" t="s">
        <v>1370</v>
      </c>
      <c r="E212">
        <v>70</v>
      </c>
      <c r="F212" t="s">
        <v>1369</v>
      </c>
      <c r="G212">
        <v>72</v>
      </c>
      <c r="H212">
        <v>0.80400000000000005</v>
      </c>
      <c r="I212">
        <v>0.65200000000000002</v>
      </c>
      <c r="J212">
        <v>-6.282</v>
      </c>
      <c r="K212">
        <v>1</v>
      </c>
      <c r="L212">
        <v>8</v>
      </c>
      <c r="M212">
        <v>8.9800000000000005E-2</v>
      </c>
      <c r="N212">
        <v>2.6700000000000002E-2</v>
      </c>
      <c r="O212">
        <v>7.8200000000000003E-4</v>
      </c>
      <c r="P212">
        <v>0.11799999999999999</v>
      </c>
      <c r="Q212">
        <v>0.85399999999999998</v>
      </c>
      <c r="R212">
        <v>150.07599999999999</v>
      </c>
      <c r="S212">
        <v>4</v>
      </c>
      <c r="T212">
        <v>200690</v>
      </c>
      <c r="U212">
        <v>4</v>
      </c>
      <c r="V212">
        <v>200690</v>
      </c>
      <c r="W212">
        <v>4</v>
      </c>
      <c r="X212">
        <v>200690</v>
      </c>
      <c r="Y212" t="s">
        <v>16</v>
      </c>
      <c r="Z212" t="str">
        <f>LOOKUP(B212,{0,1083,124200,681950},{"1st","2nd","3rd","4th"})&amp;" Quartile"</f>
        <v>4th Quartile</v>
      </c>
    </row>
    <row r="213" spans="1:26">
      <c r="A213">
        <v>2022</v>
      </c>
      <c r="B213">
        <v>882800</v>
      </c>
      <c r="C213" t="s">
        <v>1014</v>
      </c>
      <c r="D213" t="s">
        <v>597</v>
      </c>
      <c r="E213">
        <v>61</v>
      </c>
      <c r="F213" t="s">
        <v>1014</v>
      </c>
      <c r="G213">
        <v>65</v>
      </c>
      <c r="H213">
        <v>0.92400000000000004</v>
      </c>
      <c r="I213">
        <v>0.38600000000000001</v>
      </c>
      <c r="J213">
        <v>-8.1829999999999998</v>
      </c>
      <c r="K213">
        <v>1</v>
      </c>
      <c r="L213">
        <v>9</v>
      </c>
      <c r="M213">
        <v>5.4800000000000001E-2</v>
      </c>
      <c r="N213">
        <v>0.755</v>
      </c>
      <c r="O213">
        <v>2.5300000000000001E-3</v>
      </c>
      <c r="P213">
        <v>0.11799999999999999</v>
      </c>
      <c r="Q213">
        <v>0.42399999999999999</v>
      </c>
      <c r="R213">
        <v>108.95699999999999</v>
      </c>
      <c r="S213">
        <v>4</v>
      </c>
      <c r="T213">
        <v>179125</v>
      </c>
      <c r="U213">
        <v>4</v>
      </c>
      <c r="V213">
        <v>179125</v>
      </c>
      <c r="W213">
        <v>4</v>
      </c>
      <c r="X213">
        <v>179125</v>
      </c>
      <c r="Y213" t="s">
        <v>16</v>
      </c>
      <c r="Z213" t="str">
        <f>LOOKUP(B213,{0,1083,124200,681950},{"1st","2nd","3rd","4th"})&amp;" Quartile"</f>
        <v>4th Quartile</v>
      </c>
    </row>
    <row r="214" spans="1:26">
      <c r="A214">
        <v>2020</v>
      </c>
      <c r="B214">
        <v>882600</v>
      </c>
      <c r="C214" t="s">
        <v>1014</v>
      </c>
      <c r="D214" t="s">
        <v>597</v>
      </c>
      <c r="E214">
        <v>61</v>
      </c>
      <c r="F214" t="s">
        <v>1014</v>
      </c>
      <c r="G214">
        <v>65</v>
      </c>
      <c r="H214">
        <v>0.92400000000000004</v>
      </c>
      <c r="I214">
        <v>0.38600000000000001</v>
      </c>
      <c r="J214">
        <v>-8.1829999999999998</v>
      </c>
      <c r="K214">
        <v>1</v>
      </c>
      <c r="L214">
        <v>9</v>
      </c>
      <c r="M214">
        <v>5.4800000000000001E-2</v>
      </c>
      <c r="N214">
        <v>0.755</v>
      </c>
      <c r="O214">
        <v>2.5300000000000001E-3</v>
      </c>
      <c r="P214">
        <v>0.11799999999999999</v>
      </c>
      <c r="Q214">
        <v>0.42399999999999999</v>
      </c>
      <c r="R214">
        <v>108.95699999999999</v>
      </c>
      <c r="S214">
        <v>4</v>
      </c>
      <c r="T214">
        <v>179125</v>
      </c>
      <c r="U214">
        <v>4</v>
      </c>
      <c r="V214">
        <v>179125</v>
      </c>
      <c r="W214">
        <v>4</v>
      </c>
      <c r="X214">
        <v>179125</v>
      </c>
      <c r="Y214" t="s">
        <v>16</v>
      </c>
      <c r="Z214" t="str">
        <f>LOOKUP(B214,{0,1083,124200,681950},{"1st","2nd","3rd","4th"})&amp;" Quartile"</f>
        <v>4th Quartile</v>
      </c>
    </row>
    <row r="215" spans="1:26">
      <c r="A215">
        <v>2020</v>
      </c>
      <c r="B215">
        <v>880900</v>
      </c>
      <c r="C215" t="s">
        <v>1125</v>
      </c>
      <c r="D215" t="s">
        <v>1013</v>
      </c>
      <c r="E215">
        <v>88</v>
      </c>
      <c r="F215" t="s">
        <v>1124</v>
      </c>
      <c r="G215">
        <v>78</v>
      </c>
      <c r="H215">
        <v>0.73</v>
      </c>
      <c r="I215">
        <v>0.72899999999999998</v>
      </c>
      <c r="J215">
        <v>-3.4340000000000002</v>
      </c>
      <c r="K215">
        <v>0</v>
      </c>
      <c r="L215">
        <v>4</v>
      </c>
      <c r="M215">
        <v>8.8400000000000006E-2</v>
      </c>
      <c r="N215">
        <v>0.16700000000000001</v>
      </c>
      <c r="O215">
        <v>1.39E-6</v>
      </c>
      <c r="P215">
        <v>0.34899999999999998</v>
      </c>
      <c r="Q215">
        <v>0.46700000000000003</v>
      </c>
      <c r="R215">
        <v>113.011</v>
      </c>
      <c r="S215">
        <v>4</v>
      </c>
      <c r="T215">
        <v>221820</v>
      </c>
      <c r="U215">
        <v>4</v>
      </c>
      <c r="V215">
        <v>221820</v>
      </c>
      <c r="W215">
        <v>4</v>
      </c>
      <c r="X215">
        <v>221820</v>
      </c>
      <c r="Y215" t="s">
        <v>16</v>
      </c>
      <c r="Z215" t="str">
        <f>LOOKUP(B215,{0,1083,124200,681950},{"1st","2nd","3rd","4th"})&amp;" Quartile"</f>
        <v>4th Quartile</v>
      </c>
    </row>
    <row r="216" spans="1:26">
      <c r="A216">
        <v>2022</v>
      </c>
      <c r="B216">
        <v>880700</v>
      </c>
      <c r="C216" t="s">
        <v>1125</v>
      </c>
      <c r="D216" t="s">
        <v>1013</v>
      </c>
      <c r="E216">
        <v>88</v>
      </c>
      <c r="F216" t="s">
        <v>1124</v>
      </c>
      <c r="G216">
        <v>78</v>
      </c>
      <c r="H216">
        <v>0.73</v>
      </c>
      <c r="I216">
        <v>0.72899999999999998</v>
      </c>
      <c r="J216">
        <v>-3.4340000000000002</v>
      </c>
      <c r="K216">
        <v>0</v>
      </c>
      <c r="L216">
        <v>4</v>
      </c>
      <c r="M216">
        <v>8.8400000000000006E-2</v>
      </c>
      <c r="N216">
        <v>0.16700000000000001</v>
      </c>
      <c r="O216">
        <v>1.39E-6</v>
      </c>
      <c r="P216">
        <v>0.34899999999999998</v>
      </c>
      <c r="Q216">
        <v>0.46700000000000003</v>
      </c>
      <c r="R216">
        <v>113.011</v>
      </c>
      <c r="S216">
        <v>4</v>
      </c>
      <c r="T216">
        <v>221820</v>
      </c>
      <c r="U216">
        <v>4</v>
      </c>
      <c r="V216">
        <v>221820</v>
      </c>
      <c r="W216">
        <v>4</v>
      </c>
      <c r="X216">
        <v>221820</v>
      </c>
      <c r="Y216" t="s">
        <v>16</v>
      </c>
      <c r="Z216" t="str">
        <f>LOOKUP(B216,{0,1083,124200,681950},{"1st","2nd","3rd","4th"})&amp;" Quartile"</f>
        <v>4th Quartile</v>
      </c>
    </row>
    <row r="217" spans="1:26">
      <c r="A217">
        <v>2021</v>
      </c>
      <c r="B217">
        <v>875500</v>
      </c>
      <c r="C217" t="s">
        <v>1198</v>
      </c>
      <c r="D217" t="s">
        <v>1151</v>
      </c>
      <c r="E217">
        <v>75</v>
      </c>
      <c r="F217" t="s">
        <v>1198</v>
      </c>
      <c r="G217">
        <v>81</v>
      </c>
      <c r="H217">
        <v>0.628</v>
      </c>
      <c r="I217">
        <v>0.67600000000000005</v>
      </c>
      <c r="J217">
        <v>-4.2270000000000003</v>
      </c>
      <c r="K217">
        <v>1</v>
      </c>
      <c r="L217">
        <v>6</v>
      </c>
      <c r="M217">
        <v>4.24E-2</v>
      </c>
      <c r="N217">
        <v>0.39300000000000002</v>
      </c>
      <c r="O217">
        <v>6.9400000000000006E-5</v>
      </c>
      <c r="P217">
        <v>9.7799999999999998E-2</v>
      </c>
      <c r="Q217">
        <v>0.72299999999999998</v>
      </c>
      <c r="R217">
        <v>78.995999999999995</v>
      </c>
      <c r="S217">
        <v>4</v>
      </c>
      <c r="T217">
        <v>215687</v>
      </c>
      <c r="U217">
        <v>4</v>
      </c>
      <c r="V217">
        <v>215687</v>
      </c>
      <c r="W217">
        <v>4</v>
      </c>
      <c r="X217">
        <v>215687</v>
      </c>
      <c r="Y217" t="s">
        <v>16</v>
      </c>
      <c r="Z217" t="str">
        <f>LOOKUP(B217,{0,1083,124200,681950},{"1st","2nd","3rd","4th"})&amp;" Quartile"</f>
        <v>4th Quartile</v>
      </c>
    </row>
    <row r="218" spans="1:26">
      <c r="A218">
        <v>2021</v>
      </c>
      <c r="B218">
        <v>867200</v>
      </c>
      <c r="C218" t="s">
        <v>1464</v>
      </c>
      <c r="D218" t="s">
        <v>1013</v>
      </c>
      <c r="E218">
        <v>88</v>
      </c>
      <c r="F218" t="s">
        <v>1124</v>
      </c>
      <c r="G218">
        <v>83</v>
      </c>
      <c r="H218">
        <v>0.69499999999999995</v>
      </c>
      <c r="I218">
        <v>0.88400000000000001</v>
      </c>
      <c r="J218">
        <v>-2.278</v>
      </c>
      <c r="K218">
        <v>0</v>
      </c>
      <c r="L218">
        <v>6</v>
      </c>
      <c r="M218">
        <v>7.5300000000000006E-2</v>
      </c>
      <c r="N218">
        <v>5.6099999999999997E-2</v>
      </c>
      <c r="O218">
        <v>0</v>
      </c>
      <c r="P218">
        <v>0.21299999999999999</v>
      </c>
      <c r="Q218">
        <v>0.91400000000000003</v>
      </c>
      <c r="R218">
        <v>103.014</v>
      </c>
      <c r="S218">
        <v>4</v>
      </c>
      <c r="T218">
        <v>203808</v>
      </c>
      <c r="U218">
        <v>4</v>
      </c>
      <c r="V218">
        <v>203808</v>
      </c>
      <c r="W218">
        <v>4</v>
      </c>
      <c r="X218">
        <v>203808</v>
      </c>
      <c r="Y218" t="s">
        <v>16</v>
      </c>
      <c r="Z218" t="str">
        <f>LOOKUP(B218,{0,1083,124200,681950},{"1st","2nd","3rd","4th"})&amp;" Quartile"</f>
        <v>4th Quartile</v>
      </c>
    </row>
    <row r="219" spans="1:26">
      <c r="A219">
        <v>2022</v>
      </c>
      <c r="B219">
        <v>863100</v>
      </c>
      <c r="C219" t="s">
        <v>1729</v>
      </c>
      <c r="D219" t="s">
        <v>166</v>
      </c>
      <c r="E219">
        <v>82</v>
      </c>
      <c r="F219" t="s">
        <v>1729</v>
      </c>
      <c r="G219">
        <v>79</v>
      </c>
      <c r="H219">
        <v>0.53500000000000003</v>
      </c>
      <c r="I219">
        <v>0.38800000000000001</v>
      </c>
      <c r="J219">
        <v>-9.8049999999999997</v>
      </c>
      <c r="K219">
        <v>0</v>
      </c>
      <c r="L219">
        <v>7</v>
      </c>
      <c r="M219">
        <v>0.155</v>
      </c>
      <c r="N219">
        <v>0.50700000000000001</v>
      </c>
      <c r="O219">
        <v>0</v>
      </c>
      <c r="P219">
        <v>0.11</v>
      </c>
      <c r="Q219">
        <v>0.41199999999999998</v>
      </c>
      <c r="R219">
        <v>106.703</v>
      </c>
      <c r="S219">
        <v>5</v>
      </c>
      <c r="T219">
        <v>174000</v>
      </c>
      <c r="U219">
        <v>5</v>
      </c>
      <c r="V219">
        <v>174000</v>
      </c>
      <c r="W219">
        <v>5</v>
      </c>
      <c r="X219">
        <v>174000</v>
      </c>
      <c r="Y219" t="s">
        <v>16</v>
      </c>
      <c r="Z219" t="str">
        <f>LOOKUP(B219,{0,1083,124200,681950},{"1st","2nd","3rd","4th"})&amp;" Quartile"</f>
        <v>4th Quartile</v>
      </c>
    </row>
    <row r="220" spans="1:26">
      <c r="A220">
        <v>2020</v>
      </c>
      <c r="B220">
        <v>855500</v>
      </c>
      <c r="C220" t="s">
        <v>988</v>
      </c>
      <c r="D220" t="s">
        <v>989</v>
      </c>
      <c r="E220">
        <v>82</v>
      </c>
      <c r="F220" t="s">
        <v>988</v>
      </c>
      <c r="G220">
        <v>63</v>
      </c>
      <c r="H220">
        <v>0.84899999999999998</v>
      </c>
      <c r="I220">
        <v>0.59899999999999998</v>
      </c>
      <c r="J220">
        <v>-8.1639999999999997</v>
      </c>
      <c r="K220">
        <v>1</v>
      </c>
      <c r="L220">
        <v>6</v>
      </c>
      <c r="M220">
        <v>0.22700000000000001</v>
      </c>
      <c r="N220">
        <v>3.0100000000000001E-3</v>
      </c>
      <c r="O220">
        <v>2.4899999999999998E-4</v>
      </c>
      <c r="P220">
        <v>7.6300000000000007E-2</v>
      </c>
      <c r="Q220">
        <v>0.76100000000000001</v>
      </c>
      <c r="R220">
        <v>126.003</v>
      </c>
      <c r="S220">
        <v>4</v>
      </c>
      <c r="T220">
        <v>238507</v>
      </c>
      <c r="U220">
        <v>4</v>
      </c>
      <c r="V220">
        <v>238507</v>
      </c>
      <c r="W220">
        <v>4</v>
      </c>
      <c r="X220">
        <v>238507</v>
      </c>
      <c r="Y220" t="s">
        <v>16</v>
      </c>
      <c r="Z220" t="str">
        <f>LOOKUP(B220,{0,1083,124200,681950},{"1st","2nd","3rd","4th"})&amp;" Quartile"</f>
        <v>4th Quartile</v>
      </c>
    </row>
    <row r="221" spans="1:26">
      <c r="A221">
        <v>2020</v>
      </c>
      <c r="B221">
        <v>853500</v>
      </c>
      <c r="C221" t="s">
        <v>386</v>
      </c>
      <c r="D221" t="s">
        <v>387</v>
      </c>
      <c r="E221">
        <v>37</v>
      </c>
      <c r="F221" t="s">
        <v>386</v>
      </c>
      <c r="G221">
        <v>54</v>
      </c>
      <c r="H221">
        <v>0.93400000000000005</v>
      </c>
      <c r="I221">
        <v>0.65800000000000003</v>
      </c>
      <c r="J221">
        <v>-8.0519999999999996</v>
      </c>
      <c r="K221">
        <v>1</v>
      </c>
      <c r="L221">
        <v>0</v>
      </c>
      <c r="M221">
        <v>0.108</v>
      </c>
      <c r="N221">
        <v>0.41099999999999998</v>
      </c>
      <c r="O221">
        <v>7.3800000000000005E-4</v>
      </c>
      <c r="P221">
        <v>8.09E-2</v>
      </c>
      <c r="Q221">
        <v>0.34399999999999997</v>
      </c>
      <c r="R221">
        <v>110.015</v>
      </c>
      <c r="S221">
        <v>4</v>
      </c>
      <c r="T221">
        <v>117363</v>
      </c>
      <c r="U221">
        <v>4</v>
      </c>
      <c r="V221">
        <v>117363</v>
      </c>
      <c r="W221">
        <v>4</v>
      </c>
      <c r="X221">
        <v>117363</v>
      </c>
      <c r="Y221" t="s">
        <v>16</v>
      </c>
      <c r="Z221" t="str">
        <f>LOOKUP(B221,{0,1083,124200,681950},{"1st","2nd","3rd","4th"})&amp;" Quartile"</f>
        <v>4th Quartile</v>
      </c>
    </row>
    <row r="222" spans="1:26">
      <c r="A222">
        <v>2019</v>
      </c>
      <c r="B222">
        <v>852600</v>
      </c>
      <c r="C222" t="s">
        <v>386</v>
      </c>
      <c r="D222" t="s">
        <v>387</v>
      </c>
      <c r="E222">
        <v>38</v>
      </c>
      <c r="F222" t="s">
        <v>386</v>
      </c>
      <c r="G222">
        <v>54</v>
      </c>
      <c r="H222">
        <v>0.93400000000000005</v>
      </c>
      <c r="I222">
        <v>0.65800000000000003</v>
      </c>
      <c r="J222">
        <v>-8.0519999999999996</v>
      </c>
      <c r="K222">
        <v>1</v>
      </c>
      <c r="L222">
        <v>0</v>
      </c>
      <c r="M222">
        <v>0.108</v>
      </c>
      <c r="N222">
        <v>0.41099999999999998</v>
      </c>
      <c r="O222">
        <v>7.3800000000000005E-4</v>
      </c>
      <c r="P222">
        <v>8.09E-2</v>
      </c>
      <c r="Q222">
        <v>0.34399999999999997</v>
      </c>
      <c r="R222">
        <v>110.015</v>
      </c>
      <c r="S222">
        <v>4</v>
      </c>
      <c r="T222">
        <v>117363</v>
      </c>
      <c r="U222">
        <v>4</v>
      </c>
      <c r="V222">
        <v>117363</v>
      </c>
      <c r="W222">
        <v>4</v>
      </c>
      <c r="X222">
        <v>117363</v>
      </c>
      <c r="Y222" t="s">
        <v>16</v>
      </c>
      <c r="Z222" t="str">
        <f>LOOKUP(B222,{0,1083,124200,681950},{"1st","2nd","3rd","4th"})&amp;" Quartile"</f>
        <v>4th Quartile</v>
      </c>
    </row>
    <row r="223" spans="1:26">
      <c r="A223">
        <v>2020</v>
      </c>
      <c r="B223">
        <v>841900</v>
      </c>
      <c r="C223" t="s">
        <v>1066</v>
      </c>
      <c r="D223" t="s">
        <v>1067</v>
      </c>
      <c r="E223">
        <v>53</v>
      </c>
      <c r="F223" t="s">
        <v>1066</v>
      </c>
      <c r="G223">
        <v>2</v>
      </c>
      <c r="H223">
        <v>0.90600000000000003</v>
      </c>
      <c r="I223">
        <v>0.60399999999999998</v>
      </c>
      <c r="J223">
        <v>-8.3320000000000007</v>
      </c>
      <c r="K223">
        <v>0</v>
      </c>
      <c r="L223">
        <v>11</v>
      </c>
      <c r="M223">
        <v>7.46E-2</v>
      </c>
      <c r="N223">
        <v>0.32900000000000001</v>
      </c>
      <c r="O223">
        <v>0</v>
      </c>
      <c r="P223">
        <v>0.255</v>
      </c>
      <c r="Q223">
        <v>0.89900000000000002</v>
      </c>
      <c r="R223">
        <v>99.995999999999995</v>
      </c>
      <c r="S223">
        <v>4</v>
      </c>
      <c r="T223">
        <v>144013</v>
      </c>
      <c r="U223">
        <v>4</v>
      </c>
      <c r="V223">
        <v>144013</v>
      </c>
      <c r="W223">
        <v>4</v>
      </c>
      <c r="X223">
        <v>144013</v>
      </c>
      <c r="Y223" t="s">
        <v>17</v>
      </c>
      <c r="Z223" t="str">
        <f>LOOKUP(B223,{0,1083,124200,681950},{"1st","2nd","3rd","4th"})&amp;" Quartile"</f>
        <v>4th Quartile</v>
      </c>
    </row>
    <row r="224" spans="1:26">
      <c r="A224">
        <v>2019</v>
      </c>
      <c r="B224">
        <v>826000</v>
      </c>
      <c r="C224" t="s">
        <v>534</v>
      </c>
      <c r="D224" t="s">
        <v>396</v>
      </c>
      <c r="E224">
        <v>81</v>
      </c>
      <c r="F224" t="s">
        <v>533</v>
      </c>
      <c r="G224">
        <v>76</v>
      </c>
      <c r="H224">
        <v>0.90700000000000003</v>
      </c>
      <c r="I224">
        <v>0.53</v>
      </c>
      <c r="J224">
        <v>-6.1120000000000001</v>
      </c>
      <c r="K224">
        <v>1</v>
      </c>
      <c r="L224">
        <v>1</v>
      </c>
      <c r="M224">
        <v>0.127</v>
      </c>
      <c r="N224">
        <v>5.7799999999999997E-2</v>
      </c>
      <c r="O224">
        <v>2.2299999999999998E-6</v>
      </c>
      <c r="P224">
        <v>0.10100000000000001</v>
      </c>
      <c r="Q224">
        <v>0.50700000000000001</v>
      </c>
      <c r="R224">
        <v>135.99799999999999</v>
      </c>
      <c r="S224">
        <v>4</v>
      </c>
      <c r="T224">
        <v>113000</v>
      </c>
      <c r="U224">
        <v>4</v>
      </c>
      <c r="V224">
        <v>113000</v>
      </c>
      <c r="W224">
        <v>4</v>
      </c>
      <c r="X224">
        <v>113000</v>
      </c>
      <c r="Y224" t="s">
        <v>17</v>
      </c>
      <c r="Z224" t="str">
        <f>LOOKUP(B224,{0,1083,124200,681950},{"1st","2nd","3rd","4th"})&amp;" Quartile"</f>
        <v>4th Quartile</v>
      </c>
    </row>
    <row r="225" spans="1:26">
      <c r="A225">
        <v>2022</v>
      </c>
      <c r="B225">
        <v>825700</v>
      </c>
      <c r="C225" t="s">
        <v>768</v>
      </c>
      <c r="D225" t="s">
        <v>676</v>
      </c>
      <c r="E225">
        <v>72</v>
      </c>
      <c r="F225" t="s">
        <v>677</v>
      </c>
      <c r="G225">
        <v>76</v>
      </c>
      <c r="H225">
        <v>0.79900000000000004</v>
      </c>
      <c r="I225">
        <v>0.66</v>
      </c>
      <c r="J225">
        <v>-6.1529999999999996</v>
      </c>
      <c r="K225">
        <v>0</v>
      </c>
      <c r="L225">
        <v>1</v>
      </c>
      <c r="M225">
        <v>7.9000000000000001E-2</v>
      </c>
      <c r="N225">
        <v>0.25600000000000001</v>
      </c>
      <c r="O225">
        <v>0</v>
      </c>
      <c r="P225">
        <v>0.111</v>
      </c>
      <c r="Q225">
        <v>0.47099999999999997</v>
      </c>
      <c r="R225">
        <v>140.04</v>
      </c>
      <c r="S225">
        <v>4</v>
      </c>
      <c r="T225">
        <v>195429</v>
      </c>
      <c r="U225">
        <v>4</v>
      </c>
      <c r="V225">
        <v>195429</v>
      </c>
      <c r="W225">
        <v>4</v>
      </c>
      <c r="X225">
        <v>195429</v>
      </c>
      <c r="Y225" t="s">
        <v>17</v>
      </c>
      <c r="Z225" t="str">
        <f>LOOKUP(B225,{0,1083,124200,681950},{"1st","2nd","3rd","4th"})&amp;" Quartile"</f>
        <v>4th Quartile</v>
      </c>
    </row>
    <row r="226" spans="1:26">
      <c r="A226">
        <v>2020</v>
      </c>
      <c r="B226">
        <v>825500</v>
      </c>
      <c r="C226" t="s">
        <v>768</v>
      </c>
      <c r="D226" t="s">
        <v>676</v>
      </c>
      <c r="E226">
        <v>72</v>
      </c>
      <c r="F226" t="s">
        <v>677</v>
      </c>
      <c r="G226">
        <v>76</v>
      </c>
      <c r="H226">
        <v>0.79900000000000004</v>
      </c>
      <c r="I226">
        <v>0.66</v>
      </c>
      <c r="J226">
        <v>-6.1529999999999996</v>
      </c>
      <c r="K226">
        <v>0</v>
      </c>
      <c r="L226">
        <v>1</v>
      </c>
      <c r="M226">
        <v>7.9000000000000001E-2</v>
      </c>
      <c r="N226">
        <v>0.25600000000000001</v>
      </c>
      <c r="O226">
        <v>0</v>
      </c>
      <c r="P226">
        <v>0.111</v>
      </c>
      <c r="Q226">
        <v>0.47099999999999997</v>
      </c>
      <c r="R226">
        <v>140.04</v>
      </c>
      <c r="S226">
        <v>4</v>
      </c>
      <c r="T226">
        <v>195429</v>
      </c>
      <c r="U226">
        <v>4</v>
      </c>
      <c r="V226">
        <v>195429</v>
      </c>
      <c r="W226">
        <v>4</v>
      </c>
      <c r="X226">
        <v>195429</v>
      </c>
      <c r="Y226" t="s">
        <v>17</v>
      </c>
      <c r="Z226" t="str">
        <f>LOOKUP(B226,{0,1083,124200,681950},{"1st","2nd","3rd","4th"})&amp;" Quartile"</f>
        <v>4th Quartile</v>
      </c>
    </row>
    <row r="227" spans="1:26">
      <c r="A227">
        <v>2021</v>
      </c>
      <c r="B227">
        <v>825200</v>
      </c>
      <c r="C227" t="s">
        <v>1331</v>
      </c>
      <c r="D227" t="s">
        <v>1211</v>
      </c>
      <c r="E227">
        <v>77</v>
      </c>
      <c r="F227" t="s">
        <v>1330</v>
      </c>
      <c r="G227">
        <v>75</v>
      </c>
      <c r="H227">
        <v>0.58299999999999996</v>
      </c>
      <c r="I227">
        <v>0.69499999999999995</v>
      </c>
      <c r="J227">
        <v>-5.3360000000000003</v>
      </c>
      <c r="K227">
        <v>1</v>
      </c>
      <c r="L227">
        <v>9</v>
      </c>
      <c r="M227">
        <v>4.2299999999999997E-2</v>
      </c>
      <c r="N227">
        <v>1.41E-2</v>
      </c>
      <c r="O227">
        <v>0</v>
      </c>
      <c r="P227">
        <v>5.2699999999999997E-2</v>
      </c>
      <c r="Q227">
        <v>0.224</v>
      </c>
      <c r="R227">
        <v>104.879</v>
      </c>
      <c r="S227">
        <v>4</v>
      </c>
      <c r="T227">
        <v>220573</v>
      </c>
      <c r="U227">
        <v>4</v>
      </c>
      <c r="V227">
        <v>220573</v>
      </c>
      <c r="W227">
        <v>4</v>
      </c>
      <c r="X227">
        <v>220573</v>
      </c>
      <c r="Y227" t="s">
        <v>17</v>
      </c>
      <c r="Z227" t="str">
        <f>LOOKUP(B227,{0,1083,124200,681950},{"1st","2nd","3rd","4th"})&amp;" Quartile"</f>
        <v>4th Quartile</v>
      </c>
    </row>
    <row r="228" spans="1:26">
      <c r="A228">
        <v>2022</v>
      </c>
      <c r="B228">
        <v>803900</v>
      </c>
      <c r="C228" t="s">
        <v>1503</v>
      </c>
      <c r="D228" t="s">
        <v>175</v>
      </c>
      <c r="E228">
        <v>88</v>
      </c>
      <c r="F228" t="s">
        <v>1316</v>
      </c>
      <c r="G228">
        <v>85</v>
      </c>
      <c r="H228">
        <v>0.66400000000000003</v>
      </c>
      <c r="I228">
        <v>0.60899999999999999</v>
      </c>
      <c r="J228">
        <v>-6.5090000000000003</v>
      </c>
      <c r="K228">
        <v>1</v>
      </c>
      <c r="L228">
        <v>1</v>
      </c>
      <c r="M228">
        <v>7.0699999999999999E-2</v>
      </c>
      <c r="N228">
        <v>0.30399999999999999</v>
      </c>
      <c r="O228">
        <v>0</v>
      </c>
      <c r="P228">
        <v>9.2600000000000002E-2</v>
      </c>
      <c r="Q228">
        <v>0.19400000000000001</v>
      </c>
      <c r="R228">
        <v>130.041</v>
      </c>
      <c r="S228">
        <v>4</v>
      </c>
      <c r="T228">
        <v>210560</v>
      </c>
      <c r="U228">
        <v>4</v>
      </c>
      <c r="V228">
        <v>210560</v>
      </c>
      <c r="W228">
        <v>4</v>
      </c>
      <c r="X228">
        <v>210560</v>
      </c>
      <c r="Y228" t="s">
        <v>17</v>
      </c>
      <c r="Z228" t="str">
        <f>LOOKUP(B228,{0,1083,124200,681950},{"1st","2nd","3rd","4th"})&amp;" Quartile"</f>
        <v>4th Quartile</v>
      </c>
    </row>
    <row r="229" spans="1:26">
      <c r="A229">
        <v>2021</v>
      </c>
      <c r="B229">
        <v>803700</v>
      </c>
      <c r="C229" t="s">
        <v>1503</v>
      </c>
      <c r="D229" t="s">
        <v>175</v>
      </c>
      <c r="E229">
        <v>88</v>
      </c>
      <c r="F229" t="s">
        <v>1316</v>
      </c>
      <c r="G229">
        <v>85</v>
      </c>
      <c r="H229">
        <v>0.66400000000000003</v>
      </c>
      <c r="I229">
        <v>0.60899999999999999</v>
      </c>
      <c r="J229">
        <v>-6.5090000000000003</v>
      </c>
      <c r="K229">
        <v>1</v>
      </c>
      <c r="L229">
        <v>1</v>
      </c>
      <c r="M229">
        <v>7.0699999999999999E-2</v>
      </c>
      <c r="N229">
        <v>0.30399999999999999</v>
      </c>
      <c r="O229">
        <v>0</v>
      </c>
      <c r="P229">
        <v>9.2600000000000002E-2</v>
      </c>
      <c r="Q229">
        <v>0.19400000000000001</v>
      </c>
      <c r="R229">
        <v>130.041</v>
      </c>
      <c r="S229">
        <v>4</v>
      </c>
      <c r="T229">
        <v>210560</v>
      </c>
      <c r="U229">
        <v>4</v>
      </c>
      <c r="V229">
        <v>210560</v>
      </c>
      <c r="W229">
        <v>4</v>
      </c>
      <c r="X229">
        <v>210560</v>
      </c>
      <c r="Y229" t="s">
        <v>17</v>
      </c>
      <c r="Z229" t="str">
        <f>LOOKUP(B229,{0,1083,124200,681950},{"1st","2nd","3rd","4th"})&amp;" Quartile"</f>
        <v>4th Quartile</v>
      </c>
    </row>
    <row r="230" spans="1:26">
      <c r="A230">
        <v>2022</v>
      </c>
      <c r="B230">
        <v>788500</v>
      </c>
      <c r="C230" t="s">
        <v>1616</v>
      </c>
      <c r="D230" t="s">
        <v>396</v>
      </c>
      <c r="E230">
        <v>81</v>
      </c>
      <c r="F230" t="s">
        <v>1616</v>
      </c>
      <c r="G230">
        <v>73</v>
      </c>
      <c r="H230">
        <v>0.81</v>
      </c>
      <c r="I230">
        <v>0.51100000000000001</v>
      </c>
      <c r="J230">
        <v>-6.9240000000000004</v>
      </c>
      <c r="K230">
        <v>0</v>
      </c>
      <c r="L230">
        <v>5</v>
      </c>
      <c r="M230">
        <v>0.16400000000000001</v>
      </c>
      <c r="N230">
        <v>0.12</v>
      </c>
      <c r="O230">
        <v>0</v>
      </c>
      <c r="P230">
        <v>8.3199999999999996E-2</v>
      </c>
      <c r="Q230">
        <v>0.83699999999999997</v>
      </c>
      <c r="R230">
        <v>151.947</v>
      </c>
      <c r="S230">
        <v>4</v>
      </c>
      <c r="T230">
        <v>154998</v>
      </c>
      <c r="U230">
        <v>4</v>
      </c>
      <c r="V230">
        <v>154998</v>
      </c>
      <c r="W230">
        <v>4</v>
      </c>
      <c r="X230">
        <v>154998</v>
      </c>
      <c r="Y230" t="s">
        <v>17</v>
      </c>
      <c r="Z230" t="str">
        <f>LOOKUP(B230,{0,1083,124200,681950},{"1st","2nd","3rd","4th"})&amp;" Quartile"</f>
        <v>4th Quartile</v>
      </c>
    </row>
    <row r="231" spans="1:26">
      <c r="A231">
        <v>2019</v>
      </c>
      <c r="B231">
        <v>783300</v>
      </c>
      <c r="C231" t="s">
        <v>554</v>
      </c>
      <c r="D231" t="s">
        <v>130</v>
      </c>
      <c r="E231">
        <v>61</v>
      </c>
      <c r="F231" t="s">
        <v>129</v>
      </c>
      <c r="G231">
        <v>66</v>
      </c>
      <c r="H231">
        <v>0.85899999999999999</v>
      </c>
      <c r="I231">
        <v>0.60499999999999998</v>
      </c>
      <c r="J231">
        <v>-7.6349999999999998</v>
      </c>
      <c r="K231">
        <v>0</v>
      </c>
      <c r="L231">
        <v>7</v>
      </c>
      <c r="M231">
        <v>0.35699999999999998</v>
      </c>
      <c r="N231">
        <v>0.251</v>
      </c>
      <c r="O231">
        <v>0</v>
      </c>
      <c r="P231">
        <v>0.13200000000000001</v>
      </c>
      <c r="Q231">
        <v>0.72199999999999998</v>
      </c>
      <c r="R231">
        <v>82.91</v>
      </c>
      <c r="S231">
        <v>4</v>
      </c>
      <c r="T231">
        <v>245303</v>
      </c>
      <c r="U231">
        <v>4</v>
      </c>
      <c r="V231">
        <v>245303</v>
      </c>
      <c r="W231">
        <v>4</v>
      </c>
      <c r="X231">
        <v>245303</v>
      </c>
      <c r="Y231" t="s">
        <v>17</v>
      </c>
      <c r="Z231" t="str">
        <f>LOOKUP(B231,{0,1083,124200,681950},{"1st","2nd","3rd","4th"})&amp;" Quartile"</f>
        <v>4th Quartile</v>
      </c>
    </row>
    <row r="232" spans="1:26">
      <c r="A232">
        <v>2022</v>
      </c>
      <c r="B232">
        <v>780300</v>
      </c>
      <c r="C232" t="s">
        <v>1688</v>
      </c>
      <c r="D232" t="s">
        <v>421</v>
      </c>
      <c r="E232">
        <v>82</v>
      </c>
      <c r="F232" t="s">
        <v>1688</v>
      </c>
      <c r="G232">
        <v>72</v>
      </c>
      <c r="H232">
        <v>0.95</v>
      </c>
      <c r="I232">
        <v>0.69299999999999995</v>
      </c>
      <c r="J232">
        <v>-3.4239999999999999</v>
      </c>
      <c r="K232">
        <v>1</v>
      </c>
      <c r="L232">
        <v>9</v>
      </c>
      <c r="M232">
        <v>8.9800000000000005E-2</v>
      </c>
      <c r="N232">
        <v>1.3299999999999999E-2</v>
      </c>
      <c r="O232">
        <v>0</v>
      </c>
      <c r="P232">
        <v>0.17299999999999999</v>
      </c>
      <c r="Q232">
        <v>0.89100000000000001</v>
      </c>
      <c r="R232">
        <v>130.02000000000001</v>
      </c>
      <c r="S232">
        <v>4</v>
      </c>
      <c r="T232">
        <v>184635</v>
      </c>
      <c r="U232">
        <v>4</v>
      </c>
      <c r="V232">
        <v>184635</v>
      </c>
      <c r="W232">
        <v>4</v>
      </c>
      <c r="X232">
        <v>184635</v>
      </c>
      <c r="Y232" t="s">
        <v>17</v>
      </c>
      <c r="Z232" t="str">
        <f>LOOKUP(B232,{0,1083,124200,681950},{"1st","2nd","3rd","4th"})&amp;" Quartile"</f>
        <v>4th Quartile</v>
      </c>
    </row>
    <row r="233" spans="1:26">
      <c r="A233">
        <v>2020</v>
      </c>
      <c r="B233">
        <v>778000</v>
      </c>
      <c r="C233" t="s">
        <v>1107</v>
      </c>
      <c r="D233" t="s">
        <v>1105</v>
      </c>
      <c r="E233">
        <v>47</v>
      </c>
      <c r="F233" t="s">
        <v>1107</v>
      </c>
      <c r="G233">
        <v>57</v>
      </c>
      <c r="H233">
        <v>0.878</v>
      </c>
      <c r="I233">
        <v>0.57799999999999996</v>
      </c>
      <c r="J233">
        <v>-7.5810000000000004</v>
      </c>
      <c r="K233">
        <v>1</v>
      </c>
      <c r="L233">
        <v>0</v>
      </c>
      <c r="M233">
        <v>7.22E-2</v>
      </c>
      <c r="N233">
        <v>0.19600000000000001</v>
      </c>
      <c r="O233">
        <v>0.433</v>
      </c>
      <c r="P233">
        <v>9.6500000000000002E-2</v>
      </c>
      <c r="Q233">
        <v>0.14799999999999999</v>
      </c>
      <c r="R233">
        <v>100.996</v>
      </c>
      <c r="S233">
        <v>4</v>
      </c>
      <c r="T233">
        <v>154455</v>
      </c>
      <c r="U233">
        <v>4</v>
      </c>
      <c r="V233">
        <v>154455</v>
      </c>
      <c r="W233">
        <v>4</v>
      </c>
      <c r="X233">
        <v>154455</v>
      </c>
      <c r="Y233" t="s">
        <v>17</v>
      </c>
      <c r="Z233" t="str">
        <f>LOOKUP(B233,{0,1083,124200,681950},{"1st","2nd","3rd","4th"})&amp;" Quartile"</f>
        <v>4th Quartile</v>
      </c>
    </row>
    <row r="234" spans="1:26">
      <c r="A234">
        <v>2021</v>
      </c>
      <c r="B234">
        <v>777300</v>
      </c>
      <c r="C234" t="s">
        <v>1457</v>
      </c>
      <c r="D234" t="s">
        <v>1456</v>
      </c>
      <c r="E234">
        <v>46</v>
      </c>
      <c r="F234" t="s">
        <v>1455</v>
      </c>
      <c r="G234">
        <v>62</v>
      </c>
      <c r="H234">
        <v>0.84499999999999997</v>
      </c>
      <c r="I234">
        <v>0.73299999999999998</v>
      </c>
      <c r="J234">
        <v>-4.5810000000000004</v>
      </c>
      <c r="K234">
        <v>1</v>
      </c>
      <c r="L234">
        <v>9</v>
      </c>
      <c r="M234">
        <v>5.6599999999999998E-2</v>
      </c>
      <c r="N234">
        <v>2.6499999999999999E-2</v>
      </c>
      <c r="O234">
        <v>1.09E-2</v>
      </c>
      <c r="P234">
        <v>6.3E-2</v>
      </c>
      <c r="Q234">
        <v>0.28000000000000003</v>
      </c>
      <c r="R234">
        <v>128.01599999999999</v>
      </c>
      <c r="S234">
        <v>4</v>
      </c>
      <c r="T234">
        <v>183832</v>
      </c>
      <c r="U234">
        <v>4</v>
      </c>
      <c r="V234">
        <v>183832</v>
      </c>
      <c r="W234">
        <v>4</v>
      </c>
      <c r="X234">
        <v>183832</v>
      </c>
      <c r="Y234" t="s">
        <v>17</v>
      </c>
      <c r="Z234" t="str">
        <f>LOOKUP(B234,{0,1083,124200,681950},{"1st","2nd","3rd","4th"})&amp;" Quartile"</f>
        <v>4th Quartile</v>
      </c>
    </row>
    <row r="235" spans="1:26">
      <c r="A235">
        <v>2020</v>
      </c>
      <c r="B235">
        <v>766300</v>
      </c>
      <c r="C235" t="s">
        <v>716</v>
      </c>
      <c r="D235" t="s">
        <v>715</v>
      </c>
      <c r="E235">
        <v>68</v>
      </c>
      <c r="F235" t="s">
        <v>714</v>
      </c>
      <c r="G235">
        <v>56</v>
      </c>
      <c r="H235">
        <v>0.432</v>
      </c>
      <c r="I235">
        <v>0.61199999999999999</v>
      </c>
      <c r="J235">
        <v>-8.8460000000000001</v>
      </c>
      <c r="K235">
        <v>0</v>
      </c>
      <c r="L235">
        <v>11</v>
      </c>
      <c r="M235">
        <v>0.21099999999999999</v>
      </c>
      <c r="N235">
        <v>1.8500000000000001E-3</v>
      </c>
      <c r="O235">
        <v>0</v>
      </c>
      <c r="P235">
        <v>0.308</v>
      </c>
      <c r="Q235">
        <v>0.253</v>
      </c>
      <c r="R235">
        <v>88.715999999999994</v>
      </c>
      <c r="S235">
        <v>4</v>
      </c>
      <c r="T235">
        <v>205333</v>
      </c>
      <c r="U235">
        <v>4</v>
      </c>
      <c r="V235">
        <v>205333</v>
      </c>
      <c r="W235">
        <v>4</v>
      </c>
      <c r="X235">
        <v>205333</v>
      </c>
      <c r="Y235" t="s">
        <v>17</v>
      </c>
      <c r="Z235" t="str">
        <f>LOOKUP(B235,{0,1083,124200,681950},{"1st","2nd","3rd","4th"})&amp;" Quartile"</f>
        <v>4th Quartile</v>
      </c>
    </row>
    <row r="236" spans="1:26">
      <c r="A236">
        <v>2020</v>
      </c>
      <c r="B236">
        <v>747300</v>
      </c>
      <c r="C236" t="s">
        <v>671</v>
      </c>
      <c r="D236" t="s">
        <v>670</v>
      </c>
      <c r="E236">
        <v>85</v>
      </c>
      <c r="F236" t="s">
        <v>669</v>
      </c>
      <c r="G236">
        <v>85</v>
      </c>
      <c r="H236">
        <v>0.51500000000000001</v>
      </c>
      <c r="I236">
        <v>0.47899999999999998</v>
      </c>
      <c r="J236">
        <v>-7.4580000000000002</v>
      </c>
      <c r="K236">
        <v>1</v>
      </c>
      <c r="L236">
        <v>3</v>
      </c>
      <c r="M236">
        <v>2.6100000000000002E-2</v>
      </c>
      <c r="N236">
        <v>0.54400000000000004</v>
      </c>
      <c r="O236">
        <v>5.9800000000000001E-3</v>
      </c>
      <c r="P236">
        <v>0.191</v>
      </c>
      <c r="Q236">
        <v>0.28399999999999997</v>
      </c>
      <c r="R236">
        <v>88.963999999999999</v>
      </c>
      <c r="S236">
        <v>4</v>
      </c>
      <c r="T236">
        <v>209274</v>
      </c>
      <c r="U236">
        <v>4</v>
      </c>
      <c r="V236">
        <v>209274</v>
      </c>
      <c r="W236">
        <v>4</v>
      </c>
      <c r="X236">
        <v>209274</v>
      </c>
      <c r="Y236" t="s">
        <v>17</v>
      </c>
      <c r="Z236" t="str">
        <f>LOOKUP(B236,{0,1083,124200,681950},{"1st","2nd","3rd","4th"})&amp;" Quartile"</f>
        <v>4th Quartile</v>
      </c>
    </row>
    <row r="237" spans="1:26">
      <c r="A237">
        <v>2019</v>
      </c>
      <c r="B237">
        <v>746700</v>
      </c>
      <c r="C237" t="s">
        <v>260</v>
      </c>
      <c r="D237" t="s">
        <v>261</v>
      </c>
      <c r="E237">
        <v>44</v>
      </c>
      <c r="F237" t="s">
        <v>260</v>
      </c>
      <c r="G237">
        <v>51</v>
      </c>
      <c r="H237">
        <v>0.74</v>
      </c>
      <c r="I237">
        <v>0.76100000000000001</v>
      </c>
      <c r="J237">
        <v>-4.7530000000000001</v>
      </c>
      <c r="K237">
        <v>0</v>
      </c>
      <c r="L237">
        <v>0</v>
      </c>
      <c r="M237">
        <v>8.5099999999999995E-2</v>
      </c>
      <c r="N237">
        <v>6.9099999999999995E-2</v>
      </c>
      <c r="O237">
        <v>0</v>
      </c>
      <c r="P237">
        <v>0.14199999999999999</v>
      </c>
      <c r="Q237">
        <v>0.45300000000000001</v>
      </c>
      <c r="R237">
        <v>146.14400000000001</v>
      </c>
      <c r="S237">
        <v>4</v>
      </c>
      <c r="T237">
        <v>164935</v>
      </c>
      <c r="U237">
        <v>4</v>
      </c>
      <c r="V237">
        <v>164935</v>
      </c>
      <c r="W237">
        <v>4</v>
      </c>
      <c r="X237">
        <v>164935</v>
      </c>
      <c r="Y237" t="s">
        <v>17</v>
      </c>
      <c r="Z237" t="str">
        <f>LOOKUP(B237,{0,1083,124200,681950},{"1st","2nd","3rd","4th"})&amp;" Quartile"</f>
        <v>4th Quartile</v>
      </c>
    </row>
    <row r="238" spans="1:26">
      <c r="A238">
        <v>2021</v>
      </c>
      <c r="B238">
        <v>742300</v>
      </c>
      <c r="C238" t="s">
        <v>1383</v>
      </c>
      <c r="D238" t="s">
        <v>899</v>
      </c>
      <c r="E238">
        <v>85</v>
      </c>
      <c r="F238" t="s">
        <v>1382</v>
      </c>
      <c r="G238">
        <v>86</v>
      </c>
      <c r="H238">
        <v>0.39500000000000002</v>
      </c>
      <c r="I238">
        <v>0.443</v>
      </c>
      <c r="J238">
        <v>-9.7200000000000006</v>
      </c>
      <c r="K238">
        <v>1</v>
      </c>
      <c r="L238">
        <v>6</v>
      </c>
      <c r="M238">
        <v>0.13300000000000001</v>
      </c>
      <c r="N238">
        <v>0.76500000000000001</v>
      </c>
      <c r="O238">
        <v>9.6700000000000006E-6</v>
      </c>
      <c r="P238">
        <v>8.3900000000000002E-2</v>
      </c>
      <c r="Q238">
        <v>0.33800000000000002</v>
      </c>
      <c r="R238">
        <v>168.92400000000001</v>
      </c>
      <c r="S238">
        <v>3</v>
      </c>
      <c r="T238">
        <v>175933</v>
      </c>
      <c r="U238">
        <v>3</v>
      </c>
      <c r="V238">
        <v>175933</v>
      </c>
      <c r="W238">
        <v>3</v>
      </c>
      <c r="X238">
        <v>175933</v>
      </c>
      <c r="Y238" t="s">
        <v>17</v>
      </c>
      <c r="Z238" t="str">
        <f>LOOKUP(B238,{0,1083,124200,681950},{"1st","2nd","3rd","4th"})&amp;" Quartile"</f>
        <v>4th Quartile</v>
      </c>
    </row>
    <row r="239" spans="1:26">
      <c r="A239">
        <v>2021</v>
      </c>
      <c r="B239">
        <v>730200</v>
      </c>
      <c r="C239" t="s">
        <v>847</v>
      </c>
      <c r="D239" t="s">
        <v>88</v>
      </c>
      <c r="E239">
        <v>72</v>
      </c>
      <c r="F239" t="s">
        <v>1507</v>
      </c>
      <c r="G239">
        <v>75</v>
      </c>
      <c r="H239">
        <v>0.84399999999999997</v>
      </c>
      <c r="I239">
        <v>0.64400000000000002</v>
      </c>
      <c r="J239">
        <v>-6.2729999999999997</v>
      </c>
      <c r="K239">
        <v>0</v>
      </c>
      <c r="L239">
        <v>11</v>
      </c>
      <c r="M239">
        <v>4.7899999999999998E-2</v>
      </c>
      <c r="N239">
        <v>8.2799999999999999E-2</v>
      </c>
      <c r="O239">
        <v>0</v>
      </c>
      <c r="P239">
        <v>0.113</v>
      </c>
      <c r="Q239">
        <v>0.59099999999999997</v>
      </c>
      <c r="R239">
        <v>122.06100000000001</v>
      </c>
      <c r="S239">
        <v>4</v>
      </c>
      <c r="T239">
        <v>169038</v>
      </c>
      <c r="U239">
        <v>4</v>
      </c>
      <c r="V239">
        <v>169038</v>
      </c>
      <c r="W239">
        <v>4</v>
      </c>
      <c r="X239">
        <v>169038</v>
      </c>
      <c r="Y239" t="s">
        <v>17</v>
      </c>
      <c r="Z239" t="str">
        <f>LOOKUP(B239,{0,1083,124200,681950},{"1st","2nd","3rd","4th"})&amp;" Quartile"</f>
        <v>4th Quartile</v>
      </c>
    </row>
    <row r="240" spans="1:26">
      <c r="A240">
        <v>2020</v>
      </c>
      <c r="B240">
        <v>728100</v>
      </c>
      <c r="C240" t="s">
        <v>1043</v>
      </c>
      <c r="D240" t="s">
        <v>1042</v>
      </c>
      <c r="E240">
        <v>65</v>
      </c>
      <c r="F240" t="s">
        <v>1042</v>
      </c>
      <c r="G240">
        <v>71</v>
      </c>
      <c r="H240">
        <v>0.67400000000000004</v>
      </c>
      <c r="I240">
        <v>0.88200000000000001</v>
      </c>
      <c r="J240">
        <v>-2.7709999999999999</v>
      </c>
      <c r="K240">
        <v>0</v>
      </c>
      <c r="L240">
        <v>3</v>
      </c>
      <c r="M240">
        <v>4.7699999999999999E-2</v>
      </c>
      <c r="N240">
        <v>4.4099999999999999E-4</v>
      </c>
      <c r="O240">
        <v>6.4700000000000001E-5</v>
      </c>
      <c r="P240">
        <v>6.8000000000000005E-2</v>
      </c>
      <c r="Q240">
        <v>0.68200000000000005</v>
      </c>
      <c r="R240">
        <v>123.01600000000001</v>
      </c>
      <c r="S240">
        <v>4</v>
      </c>
      <c r="T240">
        <v>205733</v>
      </c>
      <c r="U240">
        <v>4</v>
      </c>
      <c r="V240">
        <v>205733</v>
      </c>
      <c r="W240">
        <v>4</v>
      </c>
      <c r="X240">
        <v>205733</v>
      </c>
      <c r="Y240" t="s">
        <v>17</v>
      </c>
      <c r="Z240" t="str">
        <f>LOOKUP(B240,{0,1083,124200,681950},{"1st","2nd","3rd","4th"})&amp;" Quartile"</f>
        <v>4th Quartile</v>
      </c>
    </row>
    <row r="241" spans="1:26">
      <c r="A241">
        <v>2022</v>
      </c>
      <c r="B241">
        <v>725400</v>
      </c>
      <c r="C241" t="s">
        <v>1652</v>
      </c>
      <c r="D241" t="s">
        <v>1653</v>
      </c>
      <c r="E241">
        <v>63</v>
      </c>
      <c r="F241" t="s">
        <v>1652</v>
      </c>
      <c r="G241">
        <v>74</v>
      </c>
      <c r="H241">
        <v>0.71899999999999997</v>
      </c>
      <c r="I241">
        <v>0.64800000000000002</v>
      </c>
      <c r="J241">
        <v>-7.6</v>
      </c>
      <c r="K241">
        <v>0</v>
      </c>
      <c r="L241">
        <v>3</v>
      </c>
      <c r="M241">
        <v>0.125</v>
      </c>
      <c r="N241">
        <v>0.2</v>
      </c>
      <c r="O241">
        <v>0</v>
      </c>
      <c r="P241">
        <v>0.127</v>
      </c>
      <c r="Q241">
        <v>0.66</v>
      </c>
      <c r="R241">
        <v>140.20099999999999</v>
      </c>
      <c r="S241">
        <v>4</v>
      </c>
      <c r="T241">
        <v>123263</v>
      </c>
      <c r="U241">
        <v>4</v>
      </c>
      <c r="V241">
        <v>123263</v>
      </c>
      <c r="W241">
        <v>4</v>
      </c>
      <c r="X241">
        <v>123263</v>
      </c>
      <c r="Y241" t="s">
        <v>17</v>
      </c>
      <c r="Z241" t="str">
        <f>LOOKUP(B241,{0,1083,124200,681950},{"1st","2nd","3rd","4th"})&amp;" Quartile"</f>
        <v>4th Quartile</v>
      </c>
    </row>
    <row r="242" spans="1:26">
      <c r="A242">
        <v>2022</v>
      </c>
      <c r="B242">
        <v>682400</v>
      </c>
      <c r="C242" t="s">
        <v>1834</v>
      </c>
      <c r="D242" t="s">
        <v>1833</v>
      </c>
      <c r="E242">
        <v>83</v>
      </c>
      <c r="F242" t="s">
        <v>1832</v>
      </c>
      <c r="G242">
        <v>86</v>
      </c>
      <c r="H242">
        <v>0.68600000000000005</v>
      </c>
      <c r="I242">
        <v>0.49399999999999999</v>
      </c>
      <c r="J242">
        <v>-7.093</v>
      </c>
      <c r="K242">
        <v>1</v>
      </c>
      <c r="L242">
        <v>1</v>
      </c>
      <c r="M242">
        <v>3.5499999999999997E-2</v>
      </c>
      <c r="N242">
        <v>0.61299999999999999</v>
      </c>
      <c r="O242">
        <v>5.8E-5</v>
      </c>
      <c r="P242">
        <v>0.40200000000000002</v>
      </c>
      <c r="Q242">
        <v>0.7</v>
      </c>
      <c r="R242">
        <v>168.946</v>
      </c>
      <c r="S242">
        <v>4</v>
      </c>
      <c r="T242">
        <v>232067</v>
      </c>
      <c r="U242">
        <v>4</v>
      </c>
      <c r="V242">
        <v>232067</v>
      </c>
      <c r="W242">
        <v>4</v>
      </c>
      <c r="X242">
        <v>232067</v>
      </c>
      <c r="Y242" t="s">
        <v>17</v>
      </c>
      <c r="Z242" t="str">
        <f>LOOKUP(B242,{0,1083,124200,681950},{"1st","2nd","3rd","4th"})&amp;" Quartile"</f>
        <v>4th Quartile</v>
      </c>
    </row>
    <row r="243" spans="1:26">
      <c r="A243">
        <v>2022</v>
      </c>
      <c r="B243">
        <v>680600</v>
      </c>
      <c r="C243" t="s">
        <v>1387</v>
      </c>
      <c r="D243" t="s">
        <v>1386</v>
      </c>
      <c r="E243">
        <v>75</v>
      </c>
      <c r="F243" t="s">
        <v>1385</v>
      </c>
      <c r="G243">
        <v>90</v>
      </c>
      <c r="H243">
        <v>0.60899999999999999</v>
      </c>
      <c r="I243">
        <v>0.69199999999999995</v>
      </c>
      <c r="J243">
        <v>-2.9580000000000002</v>
      </c>
      <c r="K243">
        <v>1</v>
      </c>
      <c r="L243">
        <v>1</v>
      </c>
      <c r="M243">
        <v>2.5899999999999999E-2</v>
      </c>
      <c r="N243">
        <v>1.5699999999999999E-2</v>
      </c>
      <c r="O243">
        <v>0</v>
      </c>
      <c r="P243">
        <v>8.6400000000000005E-2</v>
      </c>
      <c r="Q243">
        <v>0.45400000000000001</v>
      </c>
      <c r="R243">
        <v>116.959</v>
      </c>
      <c r="S243">
        <v>3</v>
      </c>
      <c r="T243">
        <v>233720</v>
      </c>
      <c r="U243">
        <v>3</v>
      </c>
      <c r="V243">
        <v>233720</v>
      </c>
      <c r="W243">
        <v>3</v>
      </c>
      <c r="X243">
        <v>233720</v>
      </c>
      <c r="Y243" t="s">
        <v>17</v>
      </c>
      <c r="Z243" t="str">
        <f>LOOKUP(B243,{0,1083,124200,681950},{"1st","2nd","3rd","4th"})&amp;" Quartile"</f>
        <v>3rd Quartile</v>
      </c>
    </row>
    <row r="244" spans="1:26">
      <c r="A244">
        <v>2021</v>
      </c>
      <c r="B244">
        <v>680600</v>
      </c>
      <c r="C244" t="s">
        <v>1387</v>
      </c>
      <c r="D244" t="s">
        <v>1386</v>
      </c>
      <c r="E244">
        <v>75</v>
      </c>
      <c r="F244" t="s">
        <v>1385</v>
      </c>
      <c r="G244">
        <v>90</v>
      </c>
      <c r="H244">
        <v>0.60899999999999999</v>
      </c>
      <c r="I244">
        <v>0.69199999999999995</v>
      </c>
      <c r="J244">
        <v>-2.9580000000000002</v>
      </c>
      <c r="K244">
        <v>1</v>
      </c>
      <c r="L244">
        <v>1</v>
      </c>
      <c r="M244">
        <v>2.5899999999999999E-2</v>
      </c>
      <c r="N244">
        <v>1.5699999999999999E-2</v>
      </c>
      <c r="O244">
        <v>0</v>
      </c>
      <c r="P244">
        <v>8.6400000000000005E-2</v>
      </c>
      <c r="Q244">
        <v>0.45400000000000001</v>
      </c>
      <c r="R244">
        <v>116.959</v>
      </c>
      <c r="S244">
        <v>3</v>
      </c>
      <c r="T244">
        <v>233720</v>
      </c>
      <c r="U244">
        <v>3</v>
      </c>
      <c r="V244">
        <v>233720</v>
      </c>
      <c r="W244">
        <v>3</v>
      </c>
      <c r="X244">
        <v>233720</v>
      </c>
      <c r="Y244" t="s">
        <v>17</v>
      </c>
      <c r="Z244" t="str">
        <f>LOOKUP(B244,{0,1083,124200,681950},{"1st","2nd","3rd","4th"})&amp;" Quartile"</f>
        <v>3rd Quartile</v>
      </c>
    </row>
    <row r="245" spans="1:26">
      <c r="A245">
        <v>2020</v>
      </c>
      <c r="B245">
        <v>669800</v>
      </c>
      <c r="C245" t="s">
        <v>1083</v>
      </c>
      <c r="D245" t="s">
        <v>75</v>
      </c>
      <c r="E245">
        <v>93</v>
      </c>
      <c r="F245" t="s">
        <v>1082</v>
      </c>
      <c r="G245">
        <v>79</v>
      </c>
      <c r="H245">
        <v>0.61299999999999999</v>
      </c>
      <c r="I245">
        <v>0.58099999999999996</v>
      </c>
      <c r="J245">
        <v>-8.5879999999999992</v>
      </c>
      <c r="K245">
        <v>0</v>
      </c>
      <c r="L245">
        <v>0</v>
      </c>
      <c r="M245">
        <v>4.24E-2</v>
      </c>
      <c r="N245">
        <v>0.53700000000000003</v>
      </c>
      <c r="O245">
        <v>3.4499999999999998E-4</v>
      </c>
      <c r="P245">
        <v>0.25</v>
      </c>
      <c r="Q245">
        <v>0.55100000000000005</v>
      </c>
      <c r="R245">
        <v>130.03299999999999</v>
      </c>
      <c r="S245">
        <v>4</v>
      </c>
      <c r="T245">
        <v>239560</v>
      </c>
      <c r="U245">
        <v>4</v>
      </c>
      <c r="V245">
        <v>239560</v>
      </c>
      <c r="W245">
        <v>4</v>
      </c>
      <c r="X245">
        <v>239560</v>
      </c>
      <c r="Y245" t="s">
        <v>17</v>
      </c>
      <c r="Z245" t="str">
        <f>LOOKUP(B245,{0,1083,124200,681950},{"1st","2nd","3rd","4th"})&amp;" Quartile"</f>
        <v>3rd Quartile</v>
      </c>
    </row>
    <row r="246" spans="1:26">
      <c r="A246">
        <v>2022</v>
      </c>
      <c r="B246">
        <v>665700</v>
      </c>
      <c r="C246" t="s">
        <v>607</v>
      </c>
      <c r="D246" t="s">
        <v>606</v>
      </c>
      <c r="E246">
        <v>82</v>
      </c>
      <c r="F246" t="s">
        <v>605</v>
      </c>
      <c r="G246">
        <v>80</v>
      </c>
      <c r="H246">
        <v>0.746</v>
      </c>
      <c r="I246">
        <v>0.69</v>
      </c>
      <c r="J246">
        <v>-7.9560000000000004</v>
      </c>
      <c r="K246">
        <v>1</v>
      </c>
      <c r="L246">
        <v>11</v>
      </c>
      <c r="M246">
        <v>0.16400000000000001</v>
      </c>
      <c r="N246">
        <v>0.247</v>
      </c>
      <c r="O246">
        <v>0</v>
      </c>
      <c r="P246">
        <v>0.10100000000000001</v>
      </c>
      <c r="Q246">
        <v>0.497</v>
      </c>
      <c r="R246">
        <v>89.977000000000004</v>
      </c>
      <c r="S246">
        <v>4</v>
      </c>
      <c r="T246">
        <v>181733</v>
      </c>
      <c r="U246">
        <v>4</v>
      </c>
      <c r="V246">
        <v>181733</v>
      </c>
      <c r="W246">
        <v>4</v>
      </c>
      <c r="X246">
        <v>181733</v>
      </c>
      <c r="Y246" t="s">
        <v>17</v>
      </c>
      <c r="Z246" t="str">
        <f>LOOKUP(B246,{0,1083,124200,681950},{"1st","2nd","3rd","4th"})&amp;" Quartile"</f>
        <v>3rd Quartile</v>
      </c>
    </row>
    <row r="247" spans="1:26">
      <c r="A247">
        <v>2020</v>
      </c>
      <c r="B247">
        <v>664600</v>
      </c>
      <c r="C247" t="s">
        <v>607</v>
      </c>
      <c r="D247" t="s">
        <v>606</v>
      </c>
      <c r="E247">
        <v>82</v>
      </c>
      <c r="F247" t="s">
        <v>605</v>
      </c>
      <c r="G247">
        <v>80</v>
      </c>
      <c r="H247">
        <v>0.746</v>
      </c>
      <c r="I247">
        <v>0.69</v>
      </c>
      <c r="J247">
        <v>-7.9560000000000004</v>
      </c>
      <c r="K247">
        <v>1</v>
      </c>
      <c r="L247">
        <v>11</v>
      </c>
      <c r="M247">
        <v>0.16400000000000001</v>
      </c>
      <c r="N247">
        <v>0.247</v>
      </c>
      <c r="O247">
        <v>0</v>
      </c>
      <c r="P247">
        <v>0.10100000000000001</v>
      </c>
      <c r="Q247">
        <v>0.497</v>
      </c>
      <c r="R247">
        <v>89.977000000000004</v>
      </c>
      <c r="S247">
        <v>4</v>
      </c>
      <c r="T247">
        <v>181733</v>
      </c>
      <c r="U247">
        <v>4</v>
      </c>
      <c r="V247">
        <v>181733</v>
      </c>
      <c r="W247">
        <v>4</v>
      </c>
      <c r="X247">
        <v>181733</v>
      </c>
      <c r="Y247" t="s">
        <v>17</v>
      </c>
      <c r="Z247" t="str">
        <f>LOOKUP(B247,{0,1083,124200,681950},{"1st","2nd","3rd","4th"})&amp;" Quartile"</f>
        <v>3rd Quartile</v>
      </c>
    </row>
    <row r="248" spans="1:26">
      <c r="A248">
        <v>2021</v>
      </c>
      <c r="B248">
        <v>658300</v>
      </c>
      <c r="C248" t="s">
        <v>1493</v>
      </c>
      <c r="D248" t="s">
        <v>1494</v>
      </c>
      <c r="E248">
        <v>80</v>
      </c>
      <c r="F248" t="s">
        <v>1493</v>
      </c>
      <c r="G248">
        <v>69</v>
      </c>
      <c r="H248">
        <v>0.73099999999999998</v>
      </c>
      <c r="I248">
        <v>0.83199999999999996</v>
      </c>
      <c r="J248">
        <v>-2.5920000000000001</v>
      </c>
      <c r="K248">
        <v>1</v>
      </c>
      <c r="L248">
        <v>9</v>
      </c>
      <c r="M248">
        <v>5.0299999999999997E-2</v>
      </c>
      <c r="N248">
        <v>0.27300000000000002</v>
      </c>
      <c r="O248">
        <v>0</v>
      </c>
      <c r="P248">
        <v>6.6500000000000004E-2</v>
      </c>
      <c r="Q248">
        <v>0.94</v>
      </c>
      <c r="R248">
        <v>146.01300000000001</v>
      </c>
      <c r="S248">
        <v>4</v>
      </c>
      <c r="T248">
        <v>178613</v>
      </c>
      <c r="U248">
        <v>4</v>
      </c>
      <c r="V248">
        <v>178613</v>
      </c>
      <c r="W248">
        <v>4</v>
      </c>
      <c r="X248">
        <v>178613</v>
      </c>
      <c r="Y248" t="s">
        <v>17</v>
      </c>
      <c r="Z248" t="str">
        <f>LOOKUP(B248,{0,1083,124200,681950},{"1st","2nd","3rd","4th"})&amp;" Quartile"</f>
        <v>3rd Quartile</v>
      </c>
    </row>
    <row r="249" spans="1:26">
      <c r="A249">
        <v>2020</v>
      </c>
      <c r="B249">
        <v>653100</v>
      </c>
      <c r="C249" t="s">
        <v>1071</v>
      </c>
      <c r="D249" t="s">
        <v>1072</v>
      </c>
      <c r="E249">
        <v>60</v>
      </c>
      <c r="F249" t="s">
        <v>1071</v>
      </c>
      <c r="G249">
        <v>74</v>
      </c>
      <c r="H249">
        <v>0.67600000000000005</v>
      </c>
      <c r="I249">
        <v>0.52500000000000002</v>
      </c>
      <c r="J249">
        <v>-5.88</v>
      </c>
      <c r="K249">
        <v>1</v>
      </c>
      <c r="L249">
        <v>9</v>
      </c>
      <c r="M249">
        <v>2.8000000000000001E-2</v>
      </c>
      <c r="N249">
        <v>0.61699999999999999</v>
      </c>
      <c r="O249">
        <v>0</v>
      </c>
      <c r="P249">
        <v>0.35599999999999998</v>
      </c>
      <c r="Q249">
        <v>0.42099999999999999</v>
      </c>
      <c r="R249">
        <v>112.011</v>
      </c>
      <c r="S249">
        <v>4</v>
      </c>
      <c r="T249">
        <v>210000</v>
      </c>
      <c r="U249">
        <v>4</v>
      </c>
      <c r="V249">
        <v>210000</v>
      </c>
      <c r="W249">
        <v>4</v>
      </c>
      <c r="X249">
        <v>210000</v>
      </c>
      <c r="Y249" t="s">
        <v>17</v>
      </c>
      <c r="Z249" t="str">
        <f>LOOKUP(B249,{0,1083,124200,681950},{"1st","2nd","3rd","4th"})&amp;" Quartile"</f>
        <v>3rd Quartile</v>
      </c>
    </row>
    <row r="250" spans="1:26">
      <c r="A250">
        <v>2021</v>
      </c>
      <c r="B250">
        <v>650300</v>
      </c>
      <c r="C250" t="s">
        <v>1416</v>
      </c>
      <c r="D250" t="s">
        <v>1417</v>
      </c>
      <c r="E250">
        <v>52</v>
      </c>
      <c r="F250" t="s">
        <v>1416</v>
      </c>
      <c r="G250">
        <v>68</v>
      </c>
      <c r="H250">
        <v>0.67600000000000005</v>
      </c>
      <c r="I250">
        <v>0.77400000000000002</v>
      </c>
      <c r="J250">
        <v>-3.988</v>
      </c>
      <c r="K250">
        <v>1</v>
      </c>
      <c r="L250">
        <v>8</v>
      </c>
      <c r="M250">
        <v>3.3799999999999997E-2</v>
      </c>
      <c r="N250">
        <v>0.13700000000000001</v>
      </c>
      <c r="O250">
        <v>0</v>
      </c>
      <c r="P250">
        <v>0.106</v>
      </c>
      <c r="Q250">
        <v>0.39200000000000002</v>
      </c>
      <c r="R250">
        <v>86.994</v>
      </c>
      <c r="S250">
        <v>4</v>
      </c>
      <c r="T250">
        <v>235413</v>
      </c>
      <c r="U250">
        <v>4</v>
      </c>
      <c r="V250">
        <v>235413</v>
      </c>
      <c r="W250">
        <v>4</v>
      </c>
      <c r="X250">
        <v>235413</v>
      </c>
      <c r="Y250" t="s">
        <v>17</v>
      </c>
      <c r="Z250" t="str">
        <f>LOOKUP(B250,{0,1083,124200,681950},{"1st","2nd","3rd","4th"})&amp;" Quartile"</f>
        <v>3rd Quartile</v>
      </c>
    </row>
    <row r="251" spans="1:26">
      <c r="A251">
        <v>2021</v>
      </c>
      <c r="B251">
        <v>645600</v>
      </c>
      <c r="C251" t="s">
        <v>1512</v>
      </c>
      <c r="D251" t="s">
        <v>1511</v>
      </c>
      <c r="E251">
        <v>60</v>
      </c>
      <c r="F251" t="s">
        <v>1510</v>
      </c>
      <c r="G251">
        <v>73</v>
      </c>
      <c r="H251">
        <v>0.60199999999999998</v>
      </c>
      <c r="I251">
        <v>0.29799999999999999</v>
      </c>
      <c r="J251">
        <v>-13.333</v>
      </c>
      <c r="K251">
        <v>1</v>
      </c>
      <c r="L251">
        <v>4</v>
      </c>
      <c r="M251">
        <v>3.85E-2</v>
      </c>
      <c r="N251">
        <v>0.31</v>
      </c>
      <c r="O251">
        <v>0</v>
      </c>
      <c r="P251">
        <v>0.11700000000000001</v>
      </c>
      <c r="Q251">
        <v>0.316</v>
      </c>
      <c r="R251">
        <v>119.889</v>
      </c>
      <c r="S251">
        <v>4</v>
      </c>
      <c r="T251">
        <v>203076</v>
      </c>
      <c r="U251">
        <v>4</v>
      </c>
      <c r="V251">
        <v>203076</v>
      </c>
      <c r="W251">
        <v>4</v>
      </c>
      <c r="X251">
        <v>203076</v>
      </c>
      <c r="Y251" t="s">
        <v>17</v>
      </c>
      <c r="Z251" t="str">
        <f>LOOKUP(B251,{0,1083,124200,681950},{"1st","2nd","3rd","4th"})&amp;" Quartile"</f>
        <v>3rd Quartile</v>
      </c>
    </row>
    <row r="252" spans="1:26">
      <c r="A252">
        <v>2022</v>
      </c>
      <c r="B252">
        <v>644600</v>
      </c>
      <c r="C252" t="s">
        <v>1661</v>
      </c>
      <c r="D252" t="s">
        <v>1662</v>
      </c>
      <c r="E252">
        <v>55</v>
      </c>
      <c r="F252" t="s">
        <v>1661</v>
      </c>
      <c r="G252">
        <v>72</v>
      </c>
      <c r="H252">
        <v>0.57999999999999996</v>
      </c>
      <c r="I252">
        <v>0.69599999999999995</v>
      </c>
      <c r="J252">
        <v>-10.91</v>
      </c>
      <c r="K252">
        <v>1</v>
      </c>
      <c r="L252">
        <v>7</v>
      </c>
      <c r="M252">
        <v>4.0800000000000003E-2</v>
      </c>
      <c r="N252">
        <v>0.66</v>
      </c>
      <c r="O252">
        <v>0.85199999999999998</v>
      </c>
      <c r="P252">
        <v>0.14499999999999999</v>
      </c>
      <c r="Q252">
        <v>0.72099999999999997</v>
      </c>
      <c r="R252">
        <v>93.688000000000002</v>
      </c>
      <c r="S252">
        <v>4</v>
      </c>
      <c r="T252">
        <v>111787</v>
      </c>
      <c r="U252">
        <v>4</v>
      </c>
      <c r="V252">
        <v>111787</v>
      </c>
      <c r="W252">
        <v>4</v>
      </c>
      <c r="X252">
        <v>111787</v>
      </c>
      <c r="Y252" t="s">
        <v>17</v>
      </c>
      <c r="Z252" t="str">
        <f>LOOKUP(B252,{0,1083,124200,681950},{"1st","2nd","3rd","4th"})&amp;" Quartile"</f>
        <v>3rd Quartile</v>
      </c>
    </row>
    <row r="253" spans="1:26">
      <c r="A253">
        <v>2022</v>
      </c>
      <c r="B253">
        <v>638000</v>
      </c>
      <c r="C253" t="s">
        <v>1788</v>
      </c>
      <c r="D253" t="s">
        <v>1787</v>
      </c>
      <c r="E253">
        <v>74</v>
      </c>
      <c r="F253" t="s">
        <v>1786</v>
      </c>
      <c r="G253">
        <v>89</v>
      </c>
      <c r="H253">
        <v>0.44500000000000001</v>
      </c>
      <c r="I253">
        <v>0.53700000000000003</v>
      </c>
      <c r="J253">
        <v>-8.532</v>
      </c>
      <c r="K253">
        <v>0</v>
      </c>
      <c r="L253">
        <v>4</v>
      </c>
      <c r="M253">
        <v>0.04</v>
      </c>
      <c r="N253">
        <v>0.69499999999999995</v>
      </c>
      <c r="O253">
        <v>1.6500000000000001E-5</v>
      </c>
      <c r="P253">
        <v>9.4399999999999998E-2</v>
      </c>
      <c r="Q253">
        <v>0.13100000000000001</v>
      </c>
      <c r="R253">
        <v>122.76900000000001</v>
      </c>
      <c r="S253">
        <v>4</v>
      </c>
      <c r="T253">
        <v>244360</v>
      </c>
      <c r="U253">
        <v>4</v>
      </c>
      <c r="V253">
        <v>244360</v>
      </c>
      <c r="W253">
        <v>4</v>
      </c>
      <c r="X253">
        <v>244360</v>
      </c>
      <c r="Y253" t="s">
        <v>17</v>
      </c>
      <c r="Z253" t="str">
        <f>LOOKUP(B253,{0,1083,124200,681950},{"1st","2nd","3rd","4th"})&amp;" Quartile"</f>
        <v>3rd Quartile</v>
      </c>
    </row>
    <row r="254" spans="1:26">
      <c r="A254">
        <v>2021</v>
      </c>
      <c r="B254">
        <v>629900</v>
      </c>
      <c r="C254" t="s">
        <v>1377</v>
      </c>
      <c r="D254" t="s">
        <v>846</v>
      </c>
      <c r="E254">
        <v>87</v>
      </c>
      <c r="F254" t="s">
        <v>1377</v>
      </c>
      <c r="G254">
        <v>83</v>
      </c>
      <c r="H254">
        <v>0.58799999999999997</v>
      </c>
      <c r="I254">
        <v>0.70099999999999996</v>
      </c>
      <c r="J254">
        <v>-6.39</v>
      </c>
      <c r="K254">
        <v>1</v>
      </c>
      <c r="L254">
        <v>9</v>
      </c>
      <c r="M254">
        <v>4.02E-2</v>
      </c>
      <c r="N254">
        <v>8.1300000000000001E-3</v>
      </c>
      <c r="O254">
        <v>0</v>
      </c>
      <c r="P254">
        <v>0.2</v>
      </c>
      <c r="Q254">
        <v>0.443</v>
      </c>
      <c r="R254">
        <v>104.988</v>
      </c>
      <c r="S254">
        <v>4</v>
      </c>
      <c r="T254">
        <v>228000</v>
      </c>
      <c r="U254">
        <v>4</v>
      </c>
      <c r="V254">
        <v>228000</v>
      </c>
      <c r="W254">
        <v>4</v>
      </c>
      <c r="X254">
        <v>228000</v>
      </c>
      <c r="Y254" t="s">
        <v>17</v>
      </c>
      <c r="Z254" t="str">
        <f>LOOKUP(B254,{0,1083,124200,681950},{"1st","2nd","3rd","4th"})&amp;" Quartile"</f>
        <v>3rd Quartile</v>
      </c>
    </row>
    <row r="255" spans="1:26">
      <c r="A255">
        <v>2021</v>
      </c>
      <c r="B255">
        <v>624600</v>
      </c>
      <c r="C255" t="s">
        <v>1166</v>
      </c>
      <c r="D255" t="s">
        <v>1165</v>
      </c>
      <c r="E255">
        <v>75</v>
      </c>
      <c r="F255" t="s">
        <v>1164</v>
      </c>
      <c r="G255">
        <v>79</v>
      </c>
      <c r="H255">
        <v>0.73799999999999999</v>
      </c>
      <c r="I255">
        <v>0.67</v>
      </c>
      <c r="J255">
        <v>-3.766</v>
      </c>
      <c r="K255">
        <v>0</v>
      </c>
      <c r="L255">
        <v>7</v>
      </c>
      <c r="M255">
        <v>4.3900000000000002E-2</v>
      </c>
      <c r="N255">
        <v>0.45800000000000002</v>
      </c>
      <c r="O255">
        <v>0</v>
      </c>
      <c r="P255">
        <v>0.36099999999999999</v>
      </c>
      <c r="Q255">
        <v>0.65100000000000002</v>
      </c>
      <c r="R255">
        <v>138.05500000000001</v>
      </c>
      <c r="S255">
        <v>4</v>
      </c>
      <c r="T255">
        <v>184602</v>
      </c>
      <c r="U255">
        <v>4</v>
      </c>
      <c r="V255">
        <v>184602</v>
      </c>
      <c r="W255">
        <v>4</v>
      </c>
      <c r="X255">
        <v>184602</v>
      </c>
      <c r="Y255" t="s">
        <v>17</v>
      </c>
      <c r="Z255" t="str">
        <f>LOOKUP(B255,{0,1083,124200,681950},{"1st","2nd","3rd","4th"})&amp;" Quartile"</f>
        <v>3rd Quartile</v>
      </c>
    </row>
    <row r="256" spans="1:26">
      <c r="A256">
        <v>2022</v>
      </c>
      <c r="B256">
        <v>619700</v>
      </c>
      <c r="C256" t="s">
        <v>1475</v>
      </c>
      <c r="D256" t="s">
        <v>1231</v>
      </c>
      <c r="E256">
        <v>82</v>
      </c>
      <c r="F256" t="s">
        <v>1475</v>
      </c>
      <c r="G256">
        <v>83</v>
      </c>
      <c r="H256">
        <v>0.79800000000000004</v>
      </c>
      <c r="I256">
        <v>0.62</v>
      </c>
      <c r="J256">
        <v>-7.0789999999999997</v>
      </c>
      <c r="K256">
        <v>0</v>
      </c>
      <c r="L256">
        <v>8</v>
      </c>
      <c r="M256">
        <v>0.23200000000000001</v>
      </c>
      <c r="N256">
        <v>0.41399999999999998</v>
      </c>
      <c r="O256">
        <v>1.9199999999999998E-2</v>
      </c>
      <c r="P256">
        <v>0.112</v>
      </c>
      <c r="Q256">
        <v>0.23499999999999999</v>
      </c>
      <c r="R256">
        <v>120.03100000000001</v>
      </c>
      <c r="S256">
        <v>4</v>
      </c>
      <c r="T256">
        <v>164000</v>
      </c>
      <c r="U256">
        <v>4</v>
      </c>
      <c r="V256">
        <v>164000</v>
      </c>
      <c r="W256">
        <v>4</v>
      </c>
      <c r="X256">
        <v>164000</v>
      </c>
      <c r="Y256" t="s">
        <v>17</v>
      </c>
      <c r="Z256" t="str">
        <f>LOOKUP(B256,{0,1083,124200,681950},{"1st","2nd","3rd","4th"})&amp;" Quartile"</f>
        <v>3rd Quartile</v>
      </c>
    </row>
    <row r="257" spans="1:26">
      <c r="A257">
        <v>2021</v>
      </c>
      <c r="B257">
        <v>619700</v>
      </c>
      <c r="C257" t="s">
        <v>1475</v>
      </c>
      <c r="D257" t="s">
        <v>1231</v>
      </c>
      <c r="E257">
        <v>82</v>
      </c>
      <c r="F257" t="s">
        <v>1475</v>
      </c>
      <c r="G257">
        <v>83</v>
      </c>
      <c r="H257">
        <v>0.79800000000000004</v>
      </c>
      <c r="I257">
        <v>0.62</v>
      </c>
      <c r="J257">
        <v>-7.0789999999999997</v>
      </c>
      <c r="K257">
        <v>0</v>
      </c>
      <c r="L257">
        <v>8</v>
      </c>
      <c r="M257">
        <v>0.23200000000000001</v>
      </c>
      <c r="N257">
        <v>0.41399999999999998</v>
      </c>
      <c r="O257">
        <v>1.9199999999999998E-2</v>
      </c>
      <c r="P257">
        <v>0.112</v>
      </c>
      <c r="Q257">
        <v>0.23499999999999999</v>
      </c>
      <c r="R257">
        <v>120.03100000000001</v>
      </c>
      <c r="S257">
        <v>4</v>
      </c>
      <c r="T257">
        <v>164000</v>
      </c>
      <c r="U257">
        <v>4</v>
      </c>
      <c r="V257">
        <v>164000</v>
      </c>
      <c r="W257">
        <v>4</v>
      </c>
      <c r="X257">
        <v>164000</v>
      </c>
      <c r="Y257" t="s">
        <v>17</v>
      </c>
      <c r="Z257" t="str">
        <f>LOOKUP(B257,{0,1083,124200,681950},{"1st","2nd","3rd","4th"})&amp;" Quartile"</f>
        <v>3rd Quartile</v>
      </c>
    </row>
    <row r="258" spans="1:26">
      <c r="A258">
        <v>2019</v>
      </c>
      <c r="B258">
        <v>616200</v>
      </c>
      <c r="C258" t="s">
        <v>321</v>
      </c>
      <c r="D258" t="s">
        <v>322</v>
      </c>
      <c r="E258">
        <v>76</v>
      </c>
      <c r="F258" t="s">
        <v>321</v>
      </c>
      <c r="G258">
        <v>62</v>
      </c>
      <c r="H258">
        <v>0.47399999999999998</v>
      </c>
      <c r="I258">
        <v>0.53700000000000003</v>
      </c>
      <c r="J258">
        <v>-6.77</v>
      </c>
      <c r="K258">
        <v>1</v>
      </c>
      <c r="L258">
        <v>2</v>
      </c>
      <c r="M258">
        <v>6.4899999999999999E-2</v>
      </c>
      <c r="N258">
        <v>7.5800000000000006E-2</v>
      </c>
      <c r="O258">
        <v>0</v>
      </c>
      <c r="P258">
        <v>0.316</v>
      </c>
      <c r="Q258">
        <v>0.33500000000000002</v>
      </c>
      <c r="R258">
        <v>90.102999999999994</v>
      </c>
      <c r="S258">
        <v>4</v>
      </c>
      <c r="T258">
        <v>207775</v>
      </c>
      <c r="U258">
        <v>4</v>
      </c>
      <c r="V258">
        <v>207775</v>
      </c>
      <c r="W258">
        <v>4</v>
      </c>
      <c r="X258">
        <v>207775</v>
      </c>
      <c r="Y258" t="s">
        <v>17</v>
      </c>
      <c r="Z258" t="str">
        <f>LOOKUP(B258,{0,1083,124200,681950},{"1st","2nd","3rd","4th"})&amp;" Quartile"</f>
        <v>3rd Quartile</v>
      </c>
    </row>
    <row r="259" spans="1:26">
      <c r="A259">
        <v>2021</v>
      </c>
      <c r="B259">
        <v>615600</v>
      </c>
      <c r="C259" t="s">
        <v>1423</v>
      </c>
      <c r="D259" t="s">
        <v>1422</v>
      </c>
      <c r="E259">
        <v>51</v>
      </c>
      <c r="F259" t="s">
        <v>1421</v>
      </c>
      <c r="G259">
        <v>57</v>
      </c>
      <c r="H259">
        <v>0.753</v>
      </c>
      <c r="I259">
        <v>0.59</v>
      </c>
      <c r="J259">
        <v>-4.1440000000000001</v>
      </c>
      <c r="K259">
        <v>1</v>
      </c>
      <c r="L259">
        <v>0</v>
      </c>
      <c r="M259">
        <v>3.1699999999999999E-2</v>
      </c>
      <c r="N259">
        <v>0.25900000000000001</v>
      </c>
      <c r="O259">
        <v>0</v>
      </c>
      <c r="P259">
        <v>8.3599999999999994E-2</v>
      </c>
      <c r="Q259">
        <v>0.59299999999999997</v>
      </c>
      <c r="R259">
        <v>123.02800000000001</v>
      </c>
      <c r="S259">
        <v>4</v>
      </c>
      <c r="T259">
        <v>235693</v>
      </c>
      <c r="U259">
        <v>4</v>
      </c>
      <c r="V259">
        <v>235693</v>
      </c>
      <c r="W259">
        <v>4</v>
      </c>
      <c r="X259">
        <v>235693</v>
      </c>
      <c r="Y259" t="s">
        <v>17</v>
      </c>
      <c r="Z259" t="str">
        <f>LOOKUP(B259,{0,1083,124200,681950},{"1st","2nd","3rd","4th"})&amp;" Quartile"</f>
        <v>3rd Quartile</v>
      </c>
    </row>
    <row r="260" spans="1:26">
      <c r="A260">
        <v>2022</v>
      </c>
      <c r="B260">
        <v>607800</v>
      </c>
      <c r="C260" t="s">
        <v>1805</v>
      </c>
      <c r="D260" t="s">
        <v>1806</v>
      </c>
      <c r="E260">
        <v>74</v>
      </c>
      <c r="F260" t="s">
        <v>1805</v>
      </c>
      <c r="G260">
        <v>90</v>
      </c>
      <c r="H260">
        <v>0.53900000000000003</v>
      </c>
      <c r="I260">
        <v>0.50800000000000001</v>
      </c>
      <c r="J260">
        <v>-6.05</v>
      </c>
      <c r="K260">
        <v>1</v>
      </c>
      <c r="L260">
        <v>10</v>
      </c>
      <c r="M260">
        <v>2.8799999999999999E-2</v>
      </c>
      <c r="N260">
        <v>0.72699999999999998</v>
      </c>
      <c r="O260">
        <v>0</v>
      </c>
      <c r="P260">
        <v>0.17399999999999999</v>
      </c>
      <c r="Q260">
        <v>0.22700000000000001</v>
      </c>
      <c r="R260">
        <v>101.358</v>
      </c>
      <c r="S260">
        <v>3</v>
      </c>
      <c r="T260">
        <v>177720</v>
      </c>
      <c r="U260">
        <v>3</v>
      </c>
      <c r="V260">
        <v>177720</v>
      </c>
      <c r="W260">
        <v>3</v>
      </c>
      <c r="X260">
        <v>177720</v>
      </c>
      <c r="Y260" t="s">
        <v>17</v>
      </c>
      <c r="Z260" t="str">
        <f>LOOKUP(B260,{0,1083,124200,681950},{"1st","2nd","3rd","4th"})&amp;" Quartile"</f>
        <v>3rd Quartile</v>
      </c>
    </row>
    <row r="261" spans="1:26">
      <c r="A261">
        <v>2020</v>
      </c>
      <c r="B261">
        <v>601700</v>
      </c>
      <c r="C261" t="s">
        <v>809</v>
      </c>
      <c r="D261" t="s">
        <v>810</v>
      </c>
      <c r="E261">
        <v>71</v>
      </c>
      <c r="F261" t="s">
        <v>809</v>
      </c>
      <c r="G261">
        <v>7</v>
      </c>
      <c r="H261">
        <v>0.61099999999999999</v>
      </c>
      <c r="I261">
        <v>0.68799999999999994</v>
      </c>
      <c r="J261">
        <v>-5.6879999999999997</v>
      </c>
      <c r="K261">
        <v>1</v>
      </c>
      <c r="L261">
        <v>1</v>
      </c>
      <c r="M261">
        <v>0.34100000000000003</v>
      </c>
      <c r="N261">
        <v>2.64E-2</v>
      </c>
      <c r="O261">
        <v>0</v>
      </c>
      <c r="P261">
        <v>0.251</v>
      </c>
      <c r="Q261">
        <v>0.39300000000000002</v>
      </c>
      <c r="R261">
        <v>178.46199999999999</v>
      </c>
      <c r="S261">
        <v>4</v>
      </c>
      <c r="T261">
        <v>132303</v>
      </c>
      <c r="U261">
        <v>4</v>
      </c>
      <c r="V261">
        <v>132303</v>
      </c>
      <c r="W261">
        <v>4</v>
      </c>
      <c r="X261">
        <v>132303</v>
      </c>
      <c r="Y261" t="s">
        <v>17</v>
      </c>
      <c r="Z261" t="str">
        <f>LOOKUP(B261,{0,1083,124200,681950},{"1st","2nd","3rd","4th"})&amp;" Quartile"</f>
        <v>3rd Quartile</v>
      </c>
    </row>
    <row r="262" spans="1:26">
      <c r="A262">
        <v>2020</v>
      </c>
      <c r="B262">
        <v>598400</v>
      </c>
      <c r="C262" t="s">
        <v>628</v>
      </c>
      <c r="D262" t="s">
        <v>629</v>
      </c>
      <c r="E262">
        <v>49</v>
      </c>
      <c r="F262" t="s">
        <v>628</v>
      </c>
      <c r="G262">
        <v>57</v>
      </c>
      <c r="H262">
        <v>0.91200000000000003</v>
      </c>
      <c r="I262">
        <v>0.56799999999999995</v>
      </c>
      <c r="J262">
        <v>-6.1070000000000002</v>
      </c>
      <c r="K262">
        <v>1</v>
      </c>
      <c r="L262">
        <v>2</v>
      </c>
      <c r="M262">
        <v>0.47599999999999998</v>
      </c>
      <c r="N262">
        <v>6.5600000000000006E-2</v>
      </c>
      <c r="O262">
        <v>1.05E-4</v>
      </c>
      <c r="P262">
        <v>5.21E-2</v>
      </c>
      <c r="Q262">
        <v>0.49099999999999999</v>
      </c>
      <c r="R262">
        <v>140.96799999999999</v>
      </c>
      <c r="S262">
        <v>4</v>
      </c>
      <c r="T262">
        <v>151520</v>
      </c>
      <c r="U262">
        <v>4</v>
      </c>
      <c r="V262">
        <v>151520</v>
      </c>
      <c r="W262">
        <v>4</v>
      </c>
      <c r="X262">
        <v>151520</v>
      </c>
      <c r="Y262" t="s">
        <v>17</v>
      </c>
      <c r="Z262" t="str">
        <f>LOOKUP(B262,{0,1083,124200,681950},{"1st","2nd","3rd","4th"})&amp;" Quartile"</f>
        <v>3rd Quartile</v>
      </c>
    </row>
    <row r="263" spans="1:26">
      <c r="A263">
        <v>2020</v>
      </c>
      <c r="B263">
        <v>587000</v>
      </c>
      <c r="C263" t="s">
        <v>77</v>
      </c>
      <c r="D263" t="s">
        <v>78</v>
      </c>
      <c r="E263">
        <v>60</v>
      </c>
      <c r="F263" t="s">
        <v>1081</v>
      </c>
      <c r="G263">
        <v>68</v>
      </c>
      <c r="H263">
        <v>0.876</v>
      </c>
      <c r="I263">
        <v>0.312</v>
      </c>
      <c r="J263">
        <v>-10.17</v>
      </c>
      <c r="K263">
        <v>1</v>
      </c>
      <c r="L263">
        <v>7</v>
      </c>
      <c r="M263">
        <v>5.21E-2</v>
      </c>
      <c r="N263">
        <v>0.443</v>
      </c>
      <c r="O263">
        <v>0</v>
      </c>
      <c r="P263">
        <v>0.247</v>
      </c>
      <c r="Q263">
        <v>0.377</v>
      </c>
      <c r="R263">
        <v>114.973</v>
      </c>
      <c r="S263">
        <v>4</v>
      </c>
      <c r="T263">
        <v>197217</v>
      </c>
      <c r="U263">
        <v>4</v>
      </c>
      <c r="V263">
        <v>197217</v>
      </c>
      <c r="W263">
        <v>4</v>
      </c>
      <c r="X263">
        <v>197217</v>
      </c>
      <c r="Y263" t="s">
        <v>17</v>
      </c>
      <c r="Z263" t="str">
        <f>LOOKUP(B263,{0,1083,124200,681950},{"1st","2nd","3rd","4th"})&amp;" Quartile"</f>
        <v>3rd Quartile</v>
      </c>
    </row>
    <row r="264" spans="1:26">
      <c r="A264">
        <v>2019</v>
      </c>
      <c r="B264">
        <v>585800</v>
      </c>
      <c r="C264" t="s">
        <v>77</v>
      </c>
      <c r="D264" t="s">
        <v>78</v>
      </c>
      <c r="E264">
        <v>60</v>
      </c>
      <c r="F264" t="s">
        <v>77</v>
      </c>
      <c r="G264">
        <v>0</v>
      </c>
      <c r="H264">
        <v>0.86799999999999999</v>
      </c>
      <c r="I264">
        <v>0.36499999999999999</v>
      </c>
      <c r="J264">
        <v>-9.51</v>
      </c>
      <c r="K264">
        <v>1</v>
      </c>
      <c r="L264">
        <v>7</v>
      </c>
      <c r="M264">
        <v>3.8300000000000001E-2</v>
      </c>
      <c r="N264">
        <v>0.433</v>
      </c>
      <c r="O264">
        <v>0</v>
      </c>
      <c r="P264">
        <v>0.20699999999999999</v>
      </c>
      <c r="Q264">
        <v>0.47099999999999997</v>
      </c>
      <c r="R264">
        <v>114.979</v>
      </c>
      <c r="S264">
        <v>4</v>
      </c>
      <c r="T264">
        <v>197217</v>
      </c>
      <c r="U264">
        <v>4</v>
      </c>
      <c r="V264">
        <v>197217</v>
      </c>
      <c r="W264">
        <v>4</v>
      </c>
      <c r="X264">
        <v>197217</v>
      </c>
      <c r="Y264" t="s">
        <v>17</v>
      </c>
      <c r="Z264" t="str">
        <f>LOOKUP(B264,{0,1083,124200,681950},{"1st","2nd","3rd","4th"})&amp;" Quartile"</f>
        <v>3rd Quartile</v>
      </c>
    </row>
    <row r="265" spans="1:26">
      <c r="A265">
        <v>2021</v>
      </c>
      <c r="B265">
        <v>584200</v>
      </c>
      <c r="C265" t="s">
        <v>1443</v>
      </c>
      <c r="D265" t="s">
        <v>1442</v>
      </c>
      <c r="E265">
        <v>70</v>
      </c>
      <c r="F265" t="s">
        <v>1441</v>
      </c>
      <c r="G265">
        <v>68</v>
      </c>
      <c r="H265">
        <v>0.69899999999999995</v>
      </c>
      <c r="I265">
        <v>0.88200000000000001</v>
      </c>
      <c r="J265">
        <v>-3.8959999999999999</v>
      </c>
      <c r="K265">
        <v>0</v>
      </c>
      <c r="L265">
        <v>4</v>
      </c>
      <c r="M265">
        <v>3.1099999999999999E-2</v>
      </c>
      <c r="N265">
        <v>2.96E-3</v>
      </c>
      <c r="O265">
        <v>5.4399999999999997E-2</v>
      </c>
      <c r="P265">
        <v>0.13</v>
      </c>
      <c r="Q265">
        <v>0.65700000000000003</v>
      </c>
      <c r="R265">
        <v>120.01600000000001</v>
      </c>
      <c r="S265">
        <v>4</v>
      </c>
      <c r="T265">
        <v>196813</v>
      </c>
      <c r="U265">
        <v>4</v>
      </c>
      <c r="V265">
        <v>196813</v>
      </c>
      <c r="W265">
        <v>4</v>
      </c>
      <c r="X265">
        <v>196813</v>
      </c>
      <c r="Y265" t="s">
        <v>17</v>
      </c>
      <c r="Z265" t="str">
        <f>LOOKUP(B265,{0,1083,124200,681950},{"1st","2nd","3rd","4th"})&amp;" Quartile"</f>
        <v>3rd Quartile</v>
      </c>
    </row>
    <row r="266" spans="1:26">
      <c r="A266">
        <v>2022</v>
      </c>
      <c r="B266">
        <v>577800</v>
      </c>
      <c r="C266" t="s">
        <v>1657</v>
      </c>
      <c r="D266" t="s">
        <v>849</v>
      </c>
      <c r="E266">
        <v>91</v>
      </c>
      <c r="F266" t="s">
        <v>1657</v>
      </c>
      <c r="G266">
        <v>96</v>
      </c>
      <c r="H266">
        <v>0.52</v>
      </c>
      <c r="I266">
        <v>0.73099999999999998</v>
      </c>
      <c r="J266">
        <v>-5.3380000000000001</v>
      </c>
      <c r="K266">
        <v>0</v>
      </c>
      <c r="L266">
        <v>6</v>
      </c>
      <c r="M266">
        <v>5.57E-2</v>
      </c>
      <c r="N266">
        <v>0.34200000000000003</v>
      </c>
      <c r="O266">
        <v>1.01E-3</v>
      </c>
      <c r="P266">
        <v>0.311</v>
      </c>
      <c r="Q266">
        <v>0.66200000000000003</v>
      </c>
      <c r="R266">
        <v>173.93</v>
      </c>
      <c r="S266">
        <v>4</v>
      </c>
      <c r="T266">
        <v>167303</v>
      </c>
      <c r="U266">
        <v>4</v>
      </c>
      <c r="V266">
        <v>167303</v>
      </c>
      <c r="W266">
        <v>4</v>
      </c>
      <c r="X266">
        <v>167303</v>
      </c>
      <c r="Y266" t="s">
        <v>17</v>
      </c>
      <c r="Z266" t="str">
        <f>LOOKUP(B266,{0,1083,124200,681950},{"1st","2nd","3rd","4th"})&amp;" Quartile"</f>
        <v>3rd Quartile</v>
      </c>
    </row>
    <row r="267" spans="1:26">
      <c r="A267">
        <v>2019</v>
      </c>
      <c r="B267">
        <v>566500</v>
      </c>
      <c r="C267" t="s">
        <v>516</v>
      </c>
      <c r="D267" t="s">
        <v>515</v>
      </c>
      <c r="E267">
        <v>78</v>
      </c>
      <c r="F267" t="s">
        <v>514</v>
      </c>
      <c r="G267">
        <v>71</v>
      </c>
      <c r="H267">
        <v>0.69599999999999995</v>
      </c>
      <c r="I267">
        <v>0.73399999999999999</v>
      </c>
      <c r="J267">
        <v>-5.2939999999999996</v>
      </c>
      <c r="K267">
        <v>1</v>
      </c>
      <c r="L267">
        <v>7</v>
      </c>
      <c r="M267">
        <v>2.98E-2</v>
      </c>
      <c r="N267">
        <v>4.8500000000000001E-2</v>
      </c>
      <c r="O267">
        <v>0</v>
      </c>
      <c r="P267">
        <v>0.183</v>
      </c>
      <c r="Q267">
        <v>0.71099999999999997</v>
      </c>
      <c r="R267">
        <v>107.98699999999999</v>
      </c>
      <c r="S267">
        <v>4</v>
      </c>
      <c r="T267">
        <v>225080</v>
      </c>
      <c r="U267">
        <v>4</v>
      </c>
      <c r="V267">
        <v>225080</v>
      </c>
      <c r="W267">
        <v>4</v>
      </c>
      <c r="X267">
        <v>225080</v>
      </c>
      <c r="Y267" t="s">
        <v>17</v>
      </c>
      <c r="Z267" t="str">
        <f>LOOKUP(B267,{0,1083,124200,681950},{"1st","2nd","3rd","4th"})&amp;" Quartile"</f>
        <v>3rd Quartile</v>
      </c>
    </row>
    <row r="268" spans="1:26">
      <c r="A268">
        <v>2022</v>
      </c>
      <c r="B268">
        <v>562400</v>
      </c>
      <c r="C268" t="s">
        <v>1063</v>
      </c>
      <c r="D268" t="s">
        <v>175</v>
      </c>
      <c r="E268">
        <v>88</v>
      </c>
      <c r="F268" t="s">
        <v>1063</v>
      </c>
      <c r="G268">
        <v>72</v>
      </c>
      <c r="H268">
        <v>0.68799999999999994</v>
      </c>
      <c r="I268">
        <v>0.71599999999999997</v>
      </c>
      <c r="J268">
        <v>-5.702</v>
      </c>
      <c r="K268">
        <v>1</v>
      </c>
      <c r="L268">
        <v>7</v>
      </c>
      <c r="M268">
        <v>3.85E-2</v>
      </c>
      <c r="N268">
        <v>9.69E-2</v>
      </c>
      <c r="O268">
        <v>0</v>
      </c>
      <c r="P268">
        <v>9.8900000000000002E-2</v>
      </c>
      <c r="Q268">
        <v>0.373</v>
      </c>
      <c r="R268">
        <v>116.91200000000001</v>
      </c>
      <c r="S268">
        <v>3</v>
      </c>
      <c r="T268">
        <v>284480</v>
      </c>
      <c r="U268">
        <v>3</v>
      </c>
      <c r="V268">
        <v>284480</v>
      </c>
      <c r="W268">
        <v>3</v>
      </c>
      <c r="X268">
        <v>284480</v>
      </c>
      <c r="Y268" t="s">
        <v>17</v>
      </c>
      <c r="Z268" t="str">
        <f>LOOKUP(B268,{0,1083,124200,681950},{"1st","2nd","3rd","4th"})&amp;" Quartile"</f>
        <v>3rd Quartile</v>
      </c>
    </row>
    <row r="269" spans="1:26">
      <c r="A269">
        <v>2020</v>
      </c>
      <c r="B269">
        <v>562300</v>
      </c>
      <c r="C269" t="s">
        <v>1063</v>
      </c>
      <c r="D269" t="s">
        <v>175</v>
      </c>
      <c r="E269">
        <v>88</v>
      </c>
      <c r="F269" t="s">
        <v>1063</v>
      </c>
      <c r="G269">
        <v>72</v>
      </c>
      <c r="H269">
        <v>0.68799999999999994</v>
      </c>
      <c r="I269">
        <v>0.71599999999999997</v>
      </c>
      <c r="J269">
        <v>-5.702</v>
      </c>
      <c r="K269">
        <v>1</v>
      </c>
      <c r="L269">
        <v>7</v>
      </c>
      <c r="M269">
        <v>3.85E-2</v>
      </c>
      <c r="N269">
        <v>9.69E-2</v>
      </c>
      <c r="O269">
        <v>0</v>
      </c>
      <c r="P269">
        <v>9.8900000000000002E-2</v>
      </c>
      <c r="Q269">
        <v>0.373</v>
      </c>
      <c r="R269">
        <v>116.91200000000001</v>
      </c>
      <c r="S269">
        <v>3</v>
      </c>
      <c r="T269">
        <v>284480</v>
      </c>
      <c r="U269">
        <v>3</v>
      </c>
      <c r="V269">
        <v>284480</v>
      </c>
      <c r="W269">
        <v>3</v>
      </c>
      <c r="X269">
        <v>284480</v>
      </c>
      <c r="Y269" t="s">
        <v>17</v>
      </c>
      <c r="Z269" t="str">
        <f>LOOKUP(B269,{0,1083,124200,681950},{"1st","2nd","3rd","4th"})&amp;" Quartile"</f>
        <v>3rd Quartile</v>
      </c>
    </row>
    <row r="270" spans="1:26">
      <c r="A270">
        <v>2020</v>
      </c>
      <c r="B270">
        <v>561700</v>
      </c>
      <c r="C270" t="s">
        <v>1091</v>
      </c>
      <c r="D270" t="s">
        <v>1092</v>
      </c>
      <c r="E270">
        <v>57</v>
      </c>
      <c r="F270" t="s">
        <v>1091</v>
      </c>
      <c r="G270">
        <v>62</v>
      </c>
      <c r="H270">
        <v>0.86099999999999999</v>
      </c>
      <c r="I270">
        <v>0.82</v>
      </c>
      <c r="J270">
        <v>-4.8070000000000004</v>
      </c>
      <c r="K270">
        <v>0</v>
      </c>
      <c r="L270">
        <v>1</v>
      </c>
      <c r="M270">
        <v>7.2800000000000004E-2</v>
      </c>
      <c r="N270">
        <v>3.2000000000000001E-2</v>
      </c>
      <c r="O270">
        <v>4.7600000000000002E-6</v>
      </c>
      <c r="P270">
        <v>7.0599999999999996E-2</v>
      </c>
      <c r="Q270">
        <v>0.78100000000000003</v>
      </c>
      <c r="R270">
        <v>118.04</v>
      </c>
      <c r="S270">
        <v>4</v>
      </c>
      <c r="T270">
        <v>187571</v>
      </c>
      <c r="U270">
        <v>4</v>
      </c>
      <c r="V270">
        <v>187571</v>
      </c>
      <c r="W270">
        <v>4</v>
      </c>
      <c r="X270">
        <v>187571</v>
      </c>
      <c r="Y270" t="s">
        <v>17</v>
      </c>
      <c r="Z270" t="str">
        <f>LOOKUP(B270,{0,1083,124200,681950},{"1st","2nd","3rd","4th"})&amp;" Quartile"</f>
        <v>3rd Quartile</v>
      </c>
    </row>
    <row r="271" spans="1:26">
      <c r="A271">
        <v>2020</v>
      </c>
      <c r="B271">
        <v>560500</v>
      </c>
      <c r="C271" t="s">
        <v>1070</v>
      </c>
      <c r="D271" t="s">
        <v>530</v>
      </c>
      <c r="E271">
        <v>66</v>
      </c>
      <c r="F271" t="s">
        <v>1069</v>
      </c>
      <c r="G271">
        <v>0</v>
      </c>
      <c r="H271">
        <v>0.81599999999999995</v>
      </c>
      <c r="I271">
        <v>0.59</v>
      </c>
      <c r="J271">
        <v>-5.9610000000000003</v>
      </c>
      <c r="K271">
        <v>0</v>
      </c>
      <c r="L271">
        <v>2</v>
      </c>
      <c r="M271">
        <v>0.121</v>
      </c>
      <c r="N271">
        <v>8.5400000000000004E-2</v>
      </c>
      <c r="O271">
        <v>0</v>
      </c>
      <c r="P271">
        <v>0.108</v>
      </c>
      <c r="Q271">
        <v>0.61199999999999999</v>
      </c>
      <c r="R271">
        <v>100.137</v>
      </c>
      <c r="S271">
        <v>4</v>
      </c>
      <c r="T271">
        <v>222961</v>
      </c>
      <c r="U271">
        <v>4</v>
      </c>
      <c r="V271">
        <v>222961</v>
      </c>
      <c r="W271">
        <v>4</v>
      </c>
      <c r="X271">
        <v>222961</v>
      </c>
      <c r="Y271" t="s">
        <v>17</v>
      </c>
      <c r="Z271" t="str">
        <f>LOOKUP(B271,{0,1083,124200,681950},{"1st","2nd","3rd","4th"})&amp;" Quartile"</f>
        <v>3rd Quartile</v>
      </c>
    </row>
    <row r="272" spans="1:26">
      <c r="A272">
        <v>2019</v>
      </c>
      <c r="B272">
        <v>553400</v>
      </c>
      <c r="C272" t="s">
        <v>438</v>
      </c>
      <c r="D272" t="s">
        <v>437</v>
      </c>
      <c r="E272">
        <v>55</v>
      </c>
      <c r="F272" t="s">
        <v>436</v>
      </c>
      <c r="G272">
        <v>69</v>
      </c>
      <c r="H272">
        <v>0.62</v>
      </c>
      <c r="I272">
        <v>0.496</v>
      </c>
      <c r="J272">
        <v>-7.5090000000000003</v>
      </c>
      <c r="K272">
        <v>1</v>
      </c>
      <c r="L272">
        <v>7</v>
      </c>
      <c r="M272">
        <v>0.13300000000000001</v>
      </c>
      <c r="N272">
        <v>0.59699999999999998</v>
      </c>
      <c r="O272">
        <v>1.36E-5</v>
      </c>
      <c r="P272">
        <v>0.32200000000000001</v>
      </c>
      <c r="Q272">
        <v>0.63600000000000001</v>
      </c>
      <c r="R272">
        <v>126.032</v>
      </c>
      <c r="S272">
        <v>4</v>
      </c>
      <c r="T272">
        <v>112205</v>
      </c>
      <c r="U272">
        <v>4</v>
      </c>
      <c r="V272">
        <v>112205</v>
      </c>
      <c r="W272">
        <v>4</v>
      </c>
      <c r="X272">
        <v>112205</v>
      </c>
      <c r="Y272" t="s">
        <v>17</v>
      </c>
      <c r="Z272" t="str">
        <f>LOOKUP(B272,{0,1083,124200,681950},{"1st","2nd","3rd","4th"})&amp;" Quartile"</f>
        <v>3rd Quartile</v>
      </c>
    </row>
    <row r="273" spans="1:26">
      <c r="A273">
        <v>2020</v>
      </c>
      <c r="B273">
        <v>531900</v>
      </c>
      <c r="C273" t="s">
        <v>979</v>
      </c>
      <c r="D273" t="s">
        <v>978</v>
      </c>
      <c r="E273">
        <v>70</v>
      </c>
      <c r="F273" t="s">
        <v>977</v>
      </c>
      <c r="G273">
        <v>80</v>
      </c>
      <c r="H273">
        <v>0.38800000000000001</v>
      </c>
      <c r="I273">
        <v>0.33800000000000002</v>
      </c>
      <c r="J273">
        <v>-10.054</v>
      </c>
      <c r="K273">
        <v>1</v>
      </c>
      <c r="L273">
        <v>10</v>
      </c>
      <c r="M273">
        <v>3.2899999999999999E-2</v>
      </c>
      <c r="N273">
        <v>0.65200000000000002</v>
      </c>
      <c r="O273">
        <v>3.7299999999999999E-6</v>
      </c>
      <c r="P273">
        <v>0.248</v>
      </c>
      <c r="Q273">
        <v>0.47799999999999998</v>
      </c>
      <c r="R273">
        <v>177.76499999999999</v>
      </c>
      <c r="S273">
        <v>4</v>
      </c>
      <c r="T273">
        <v>303373</v>
      </c>
      <c r="U273">
        <v>4</v>
      </c>
      <c r="V273">
        <v>303373</v>
      </c>
      <c r="W273">
        <v>4</v>
      </c>
      <c r="X273">
        <v>303373</v>
      </c>
      <c r="Y273" t="s">
        <v>17</v>
      </c>
      <c r="Z273" t="str">
        <f>LOOKUP(B273,{0,1083,124200,681950},{"1st","2nd","3rd","4th"})&amp;" Quartile"</f>
        <v>3rd Quartile</v>
      </c>
    </row>
    <row r="274" spans="1:26">
      <c r="A274">
        <v>2019</v>
      </c>
      <c r="B274">
        <v>531800</v>
      </c>
      <c r="C274" t="s">
        <v>230</v>
      </c>
      <c r="D274" t="s">
        <v>229</v>
      </c>
      <c r="E274">
        <v>61</v>
      </c>
      <c r="F274" t="s">
        <v>228</v>
      </c>
      <c r="G274">
        <v>54</v>
      </c>
      <c r="H274">
        <v>0.81599999999999995</v>
      </c>
      <c r="I274">
        <v>0.53500000000000003</v>
      </c>
      <c r="J274">
        <v>-8.3019999999999996</v>
      </c>
      <c r="K274">
        <v>1</v>
      </c>
      <c r="L274">
        <v>9</v>
      </c>
      <c r="M274">
        <v>0.33800000000000002</v>
      </c>
      <c r="N274">
        <v>0.14699999999999999</v>
      </c>
      <c r="O274">
        <v>4.5299999999999998E-6</v>
      </c>
      <c r="P274">
        <v>0.17599999999999999</v>
      </c>
      <c r="Q274">
        <v>0.435</v>
      </c>
      <c r="R274">
        <v>80.012</v>
      </c>
      <c r="S274">
        <v>4</v>
      </c>
      <c r="T274">
        <v>241267</v>
      </c>
      <c r="U274">
        <v>4</v>
      </c>
      <c r="V274">
        <v>241267</v>
      </c>
      <c r="W274">
        <v>4</v>
      </c>
      <c r="X274">
        <v>241267</v>
      </c>
      <c r="Y274" t="s">
        <v>17</v>
      </c>
      <c r="Z274" t="str">
        <f>LOOKUP(B274,{0,1083,124200,681950},{"1st","2nd","3rd","4th"})&amp;" Quartile"</f>
        <v>3rd Quartile</v>
      </c>
    </row>
    <row r="275" spans="1:26">
      <c r="A275">
        <v>2020</v>
      </c>
      <c r="B275">
        <v>525600</v>
      </c>
      <c r="C275" t="s">
        <v>1031</v>
      </c>
      <c r="D275" t="s">
        <v>1030</v>
      </c>
      <c r="E275">
        <v>77</v>
      </c>
      <c r="F275" t="s">
        <v>1029</v>
      </c>
      <c r="G275">
        <v>72</v>
      </c>
      <c r="H275">
        <v>0.71</v>
      </c>
      <c r="I275">
        <v>0.40400000000000003</v>
      </c>
      <c r="J275">
        <v>-10.039999999999999</v>
      </c>
      <c r="K275">
        <v>0</v>
      </c>
      <c r="L275">
        <v>1</v>
      </c>
      <c r="M275">
        <v>0.379</v>
      </c>
      <c r="N275">
        <v>0.48399999999999999</v>
      </c>
      <c r="O275">
        <v>0</v>
      </c>
      <c r="P275">
        <v>9.5299999999999996E-2</v>
      </c>
      <c r="Q275">
        <v>0.39800000000000002</v>
      </c>
      <c r="R275">
        <v>139.553</v>
      </c>
      <c r="S275">
        <v>4</v>
      </c>
      <c r="T275">
        <v>165853</v>
      </c>
      <c r="U275">
        <v>4</v>
      </c>
      <c r="V275">
        <v>165853</v>
      </c>
      <c r="W275">
        <v>4</v>
      </c>
      <c r="X275">
        <v>165853</v>
      </c>
      <c r="Y275" t="s">
        <v>17</v>
      </c>
      <c r="Z275" t="str">
        <f>LOOKUP(B275,{0,1083,124200,681950},{"1st","2nd","3rd","4th"})&amp;" Quartile"</f>
        <v>3rd Quartile</v>
      </c>
    </row>
    <row r="276" spans="1:26">
      <c r="A276">
        <v>2022</v>
      </c>
      <c r="B276">
        <v>524600</v>
      </c>
      <c r="C276" t="s">
        <v>1828</v>
      </c>
      <c r="D276" t="s">
        <v>639</v>
      </c>
      <c r="E276">
        <v>84</v>
      </c>
      <c r="F276" t="s">
        <v>1828</v>
      </c>
      <c r="G276">
        <v>89</v>
      </c>
      <c r="H276">
        <v>0.90500000000000003</v>
      </c>
      <c r="I276">
        <v>0.56299999999999994</v>
      </c>
      <c r="J276">
        <v>-6.1349999999999998</v>
      </c>
      <c r="K276">
        <v>1</v>
      </c>
      <c r="L276">
        <v>8</v>
      </c>
      <c r="M276">
        <v>0.10199999999999999</v>
      </c>
      <c r="N276">
        <v>2.5399999999999999E-2</v>
      </c>
      <c r="O276">
        <v>9.7100000000000002E-6</v>
      </c>
      <c r="P276">
        <v>0.113</v>
      </c>
      <c r="Q276">
        <v>0.32400000000000001</v>
      </c>
      <c r="R276">
        <v>106.998</v>
      </c>
      <c r="S276">
        <v>4</v>
      </c>
      <c r="T276">
        <v>173948</v>
      </c>
      <c r="U276">
        <v>4</v>
      </c>
      <c r="V276">
        <v>173948</v>
      </c>
      <c r="W276">
        <v>4</v>
      </c>
      <c r="X276">
        <v>173948</v>
      </c>
      <c r="Y276" t="s">
        <v>17</v>
      </c>
      <c r="Z276" t="str">
        <f>LOOKUP(B276,{0,1083,124200,681950},{"1st","2nd","3rd","4th"})&amp;" Quartile"</f>
        <v>3rd Quartile</v>
      </c>
    </row>
    <row r="277" spans="1:26">
      <c r="A277">
        <v>2022</v>
      </c>
      <c r="B277">
        <v>523700</v>
      </c>
      <c r="C277" t="s">
        <v>244</v>
      </c>
      <c r="D277" t="s">
        <v>243</v>
      </c>
      <c r="E277">
        <v>83</v>
      </c>
      <c r="F277" t="s">
        <v>242</v>
      </c>
      <c r="G277">
        <v>90</v>
      </c>
      <c r="H277">
        <v>0.61199999999999999</v>
      </c>
      <c r="I277">
        <v>0.80700000000000005</v>
      </c>
      <c r="J277">
        <v>-2.81</v>
      </c>
      <c r="K277">
        <v>1</v>
      </c>
      <c r="L277">
        <v>10</v>
      </c>
      <c r="M277">
        <v>3.3599999999999998E-2</v>
      </c>
      <c r="N277">
        <v>4.9500000000000002E-2</v>
      </c>
      <c r="O277">
        <v>1.77E-2</v>
      </c>
      <c r="P277">
        <v>0.10100000000000001</v>
      </c>
      <c r="Q277">
        <v>0.39800000000000002</v>
      </c>
      <c r="R277">
        <v>124.053</v>
      </c>
      <c r="S277">
        <v>4</v>
      </c>
      <c r="T277">
        <v>240400</v>
      </c>
      <c r="U277">
        <v>4</v>
      </c>
      <c r="V277">
        <v>240400</v>
      </c>
      <c r="W277">
        <v>4</v>
      </c>
      <c r="X277">
        <v>240400</v>
      </c>
      <c r="Y277" t="s">
        <v>17</v>
      </c>
      <c r="Z277" t="str">
        <f>LOOKUP(B277,{0,1083,124200,681950},{"1st","2nd","3rd","4th"})&amp;" Quartile"</f>
        <v>3rd Quartile</v>
      </c>
    </row>
    <row r="278" spans="1:26">
      <c r="A278">
        <v>2019</v>
      </c>
      <c r="B278">
        <v>522400</v>
      </c>
      <c r="C278" t="s">
        <v>244</v>
      </c>
      <c r="D278" t="s">
        <v>243</v>
      </c>
      <c r="E278">
        <v>83</v>
      </c>
      <c r="F278" t="s">
        <v>242</v>
      </c>
      <c r="G278">
        <v>90</v>
      </c>
      <c r="H278">
        <v>0.61199999999999999</v>
      </c>
      <c r="I278">
        <v>0.80700000000000005</v>
      </c>
      <c r="J278">
        <v>-2.81</v>
      </c>
      <c r="K278">
        <v>1</v>
      </c>
      <c r="L278">
        <v>10</v>
      </c>
      <c r="M278">
        <v>3.3599999999999998E-2</v>
      </c>
      <c r="N278">
        <v>4.9500000000000002E-2</v>
      </c>
      <c r="O278">
        <v>1.77E-2</v>
      </c>
      <c r="P278">
        <v>0.10100000000000001</v>
      </c>
      <c r="Q278">
        <v>0.39800000000000002</v>
      </c>
      <c r="R278">
        <v>124.053</v>
      </c>
      <c r="S278">
        <v>4</v>
      </c>
      <c r="T278">
        <v>240400</v>
      </c>
      <c r="U278">
        <v>4</v>
      </c>
      <c r="V278">
        <v>240400</v>
      </c>
      <c r="W278">
        <v>4</v>
      </c>
      <c r="X278">
        <v>240400</v>
      </c>
      <c r="Y278" t="s">
        <v>17</v>
      </c>
      <c r="Z278" t="str">
        <f>LOOKUP(B278,{0,1083,124200,681950},{"1st","2nd","3rd","4th"})&amp;" Quartile"</f>
        <v>3rd Quartile</v>
      </c>
    </row>
    <row r="279" spans="1:26">
      <c r="A279">
        <v>2020</v>
      </c>
      <c r="B279">
        <v>521400</v>
      </c>
      <c r="C279" t="s">
        <v>1050</v>
      </c>
      <c r="D279" t="s">
        <v>1049</v>
      </c>
      <c r="E279">
        <v>56</v>
      </c>
      <c r="F279" t="s">
        <v>1048</v>
      </c>
      <c r="G279">
        <v>66</v>
      </c>
      <c r="H279">
        <v>0.66200000000000003</v>
      </c>
      <c r="I279">
        <v>0.65700000000000003</v>
      </c>
      <c r="J279">
        <v>-10.002000000000001</v>
      </c>
      <c r="K279">
        <v>1</v>
      </c>
      <c r="L279">
        <v>7</v>
      </c>
      <c r="M279">
        <v>3.4500000000000003E-2</v>
      </c>
      <c r="N279">
        <v>0.28799999999999998</v>
      </c>
      <c r="O279">
        <v>0.85599999999999998</v>
      </c>
      <c r="P279">
        <v>0.10199999999999999</v>
      </c>
      <c r="Q279">
        <v>5.8400000000000001E-2</v>
      </c>
      <c r="R279">
        <v>117.986</v>
      </c>
      <c r="S279">
        <v>4</v>
      </c>
      <c r="T279">
        <v>390639</v>
      </c>
      <c r="U279">
        <v>4</v>
      </c>
      <c r="V279">
        <v>390639</v>
      </c>
      <c r="W279">
        <v>4</v>
      </c>
      <c r="X279">
        <v>390639</v>
      </c>
      <c r="Y279" t="s">
        <v>17</v>
      </c>
      <c r="Z279" t="str">
        <f>LOOKUP(B279,{0,1083,124200,681950},{"1st","2nd","3rd","4th"})&amp;" Quartile"</f>
        <v>3rd Quartile</v>
      </c>
    </row>
    <row r="280" spans="1:26">
      <c r="A280">
        <v>2020</v>
      </c>
      <c r="B280">
        <v>520000</v>
      </c>
      <c r="C280" t="s">
        <v>734</v>
      </c>
      <c r="D280" t="s">
        <v>75</v>
      </c>
      <c r="E280">
        <v>93</v>
      </c>
      <c r="F280" t="s">
        <v>734</v>
      </c>
      <c r="G280">
        <v>73</v>
      </c>
      <c r="H280">
        <v>0.626</v>
      </c>
      <c r="I280">
        <v>0.79</v>
      </c>
      <c r="J280">
        <v>-4.3019999999999996</v>
      </c>
      <c r="K280">
        <v>1</v>
      </c>
      <c r="L280">
        <v>2</v>
      </c>
      <c r="M280">
        <v>3.1099999999999999E-2</v>
      </c>
      <c r="N280">
        <v>0.13500000000000001</v>
      </c>
      <c r="O280">
        <v>3.9700000000000001E-6</v>
      </c>
      <c r="P280">
        <v>9.8900000000000002E-2</v>
      </c>
      <c r="Q280">
        <v>0.41599999999999998</v>
      </c>
      <c r="R280">
        <v>119.08199999999999</v>
      </c>
      <c r="S280">
        <v>4</v>
      </c>
      <c r="T280">
        <v>235767</v>
      </c>
      <c r="U280">
        <v>4</v>
      </c>
      <c r="V280">
        <v>235767</v>
      </c>
      <c r="W280">
        <v>4</v>
      </c>
      <c r="X280">
        <v>235767</v>
      </c>
      <c r="Y280" t="s">
        <v>17</v>
      </c>
      <c r="Z280" t="str">
        <f>LOOKUP(B280,{0,1083,124200,681950},{"1st","2nd","3rd","4th"})&amp;" Quartile"</f>
        <v>3rd Quartile</v>
      </c>
    </row>
    <row r="281" spans="1:26">
      <c r="A281">
        <v>2022</v>
      </c>
      <c r="B281">
        <v>518600</v>
      </c>
      <c r="C281" t="s">
        <v>1660</v>
      </c>
      <c r="D281" t="s">
        <v>1013</v>
      </c>
      <c r="E281">
        <v>88</v>
      </c>
      <c r="F281" t="s">
        <v>1124</v>
      </c>
      <c r="G281">
        <v>85</v>
      </c>
      <c r="H281">
        <v>0.70199999999999996</v>
      </c>
      <c r="I281">
        <v>0.82499999999999996</v>
      </c>
      <c r="J281">
        <v>-3.7869999999999999</v>
      </c>
      <c r="K281">
        <v>0</v>
      </c>
      <c r="L281">
        <v>6</v>
      </c>
      <c r="M281">
        <v>6.0100000000000001E-2</v>
      </c>
      <c r="N281">
        <v>8.8299999999999993E-3</v>
      </c>
      <c r="O281">
        <v>0</v>
      </c>
      <c r="P281">
        <v>6.7400000000000002E-2</v>
      </c>
      <c r="Q281">
        <v>0.91500000000000004</v>
      </c>
      <c r="R281">
        <v>102.977</v>
      </c>
      <c r="S281">
        <v>4</v>
      </c>
      <c r="T281">
        <v>203064</v>
      </c>
      <c r="U281">
        <v>4</v>
      </c>
      <c r="V281">
        <v>203064</v>
      </c>
      <c r="W281">
        <v>4</v>
      </c>
      <c r="X281">
        <v>203064</v>
      </c>
      <c r="Y281" t="s">
        <v>17</v>
      </c>
      <c r="Z281" t="str">
        <f>LOOKUP(B281,{0,1083,124200,681950},{"1st","2nd","3rd","4th"})&amp;" Quartile"</f>
        <v>3rd Quartile</v>
      </c>
    </row>
    <row r="282" spans="1:26">
      <c r="A282">
        <v>2022</v>
      </c>
      <c r="B282">
        <v>518100</v>
      </c>
      <c r="C282" t="s">
        <v>1320</v>
      </c>
      <c r="D282" t="s">
        <v>396</v>
      </c>
      <c r="E282">
        <v>81</v>
      </c>
      <c r="F282" t="s">
        <v>1319</v>
      </c>
      <c r="G282">
        <v>88</v>
      </c>
      <c r="H282">
        <v>0.73699999999999999</v>
      </c>
      <c r="I282">
        <v>0.84599999999999997</v>
      </c>
      <c r="J282">
        <v>-4.51</v>
      </c>
      <c r="K282">
        <v>0</v>
      </c>
      <c r="L282">
        <v>1</v>
      </c>
      <c r="M282">
        <v>0.22</v>
      </c>
      <c r="N282">
        <v>6.1399999999999996E-3</v>
      </c>
      <c r="O282">
        <v>0</v>
      </c>
      <c r="P282">
        <v>4.8599999999999997E-2</v>
      </c>
      <c r="Q282">
        <v>0.54600000000000004</v>
      </c>
      <c r="R282">
        <v>87.980999999999995</v>
      </c>
      <c r="S282">
        <v>4</v>
      </c>
      <c r="T282">
        <v>143901</v>
      </c>
      <c r="U282">
        <v>4</v>
      </c>
      <c r="V282">
        <v>143901</v>
      </c>
      <c r="W282">
        <v>4</v>
      </c>
      <c r="X282">
        <v>143901</v>
      </c>
      <c r="Y282" t="s">
        <v>17</v>
      </c>
      <c r="Z282" t="str">
        <f>LOOKUP(B282,{0,1083,124200,681950},{"1st","2nd","3rd","4th"})&amp;" Quartile"</f>
        <v>3rd Quartile</v>
      </c>
    </row>
    <row r="283" spans="1:26">
      <c r="A283">
        <v>2021</v>
      </c>
      <c r="B283">
        <v>518100</v>
      </c>
      <c r="C283" t="s">
        <v>1320</v>
      </c>
      <c r="D283" t="s">
        <v>396</v>
      </c>
      <c r="E283">
        <v>81</v>
      </c>
      <c r="F283" t="s">
        <v>1319</v>
      </c>
      <c r="G283">
        <v>88</v>
      </c>
      <c r="H283">
        <v>0.73699999999999999</v>
      </c>
      <c r="I283">
        <v>0.84599999999999997</v>
      </c>
      <c r="J283">
        <v>-4.51</v>
      </c>
      <c r="K283">
        <v>0</v>
      </c>
      <c r="L283">
        <v>1</v>
      </c>
      <c r="M283">
        <v>0.22</v>
      </c>
      <c r="N283">
        <v>6.1399999999999996E-3</v>
      </c>
      <c r="O283">
        <v>0</v>
      </c>
      <c r="P283">
        <v>4.8599999999999997E-2</v>
      </c>
      <c r="Q283">
        <v>0.54600000000000004</v>
      </c>
      <c r="R283">
        <v>87.980999999999995</v>
      </c>
      <c r="S283">
        <v>4</v>
      </c>
      <c r="T283">
        <v>143901</v>
      </c>
      <c r="U283">
        <v>4</v>
      </c>
      <c r="V283">
        <v>143901</v>
      </c>
      <c r="W283">
        <v>4</v>
      </c>
      <c r="X283">
        <v>143901</v>
      </c>
      <c r="Y283" t="s">
        <v>17</v>
      </c>
      <c r="Z283" t="str">
        <f>LOOKUP(B283,{0,1083,124200,681950},{"1st","2nd","3rd","4th"})&amp;" Quartile"</f>
        <v>3rd Quartile</v>
      </c>
    </row>
    <row r="284" spans="1:26">
      <c r="A284">
        <v>2021</v>
      </c>
      <c r="B284">
        <v>518000</v>
      </c>
      <c r="C284" t="s">
        <v>1264</v>
      </c>
      <c r="D284" t="s">
        <v>1263</v>
      </c>
      <c r="E284">
        <v>62</v>
      </c>
      <c r="F284" t="s">
        <v>1262</v>
      </c>
      <c r="G284">
        <v>72</v>
      </c>
      <c r="H284">
        <v>0.65900000000000003</v>
      </c>
      <c r="I284">
        <v>0.79900000000000004</v>
      </c>
      <c r="J284">
        <v>-2.8490000000000002</v>
      </c>
      <c r="K284">
        <v>0</v>
      </c>
      <c r="L284">
        <v>1</v>
      </c>
      <c r="M284">
        <v>6.2899999999999998E-2</v>
      </c>
      <c r="N284">
        <v>0.41699999999999998</v>
      </c>
      <c r="O284">
        <v>0</v>
      </c>
      <c r="P284">
        <v>5.62E-2</v>
      </c>
      <c r="Q284">
        <v>0.78200000000000003</v>
      </c>
      <c r="R284">
        <v>103.991</v>
      </c>
      <c r="S284">
        <v>4</v>
      </c>
      <c r="T284">
        <v>181373</v>
      </c>
      <c r="U284">
        <v>4</v>
      </c>
      <c r="V284">
        <v>181373</v>
      </c>
      <c r="W284">
        <v>4</v>
      </c>
      <c r="X284">
        <v>181373</v>
      </c>
      <c r="Y284" t="s">
        <v>17</v>
      </c>
      <c r="Z284" t="str">
        <f>LOOKUP(B284,{0,1083,124200,681950},{"1st","2nd","3rd","4th"})&amp;" Quartile"</f>
        <v>3rd Quartile</v>
      </c>
    </row>
    <row r="285" spans="1:26">
      <c r="A285">
        <v>2020</v>
      </c>
      <c r="B285">
        <v>513600</v>
      </c>
      <c r="C285" t="s">
        <v>540</v>
      </c>
      <c r="D285" t="s">
        <v>541</v>
      </c>
      <c r="E285">
        <v>26</v>
      </c>
      <c r="F285" t="s">
        <v>540</v>
      </c>
      <c r="G285">
        <v>41</v>
      </c>
      <c r="H285">
        <v>0.68600000000000005</v>
      </c>
      <c r="I285">
        <v>0.80500000000000005</v>
      </c>
      <c r="J285">
        <v>-6.8159999999999998</v>
      </c>
      <c r="K285">
        <v>0</v>
      </c>
      <c r="L285">
        <v>11</v>
      </c>
      <c r="M285">
        <v>0.154</v>
      </c>
      <c r="N285">
        <v>4.7800000000000004E-3</v>
      </c>
      <c r="O285">
        <v>1.0899999999999999E-6</v>
      </c>
      <c r="P285">
        <v>8.8700000000000001E-2</v>
      </c>
      <c r="Q285">
        <v>0.28899999999999998</v>
      </c>
      <c r="R285">
        <v>130.98099999999999</v>
      </c>
      <c r="S285">
        <v>4</v>
      </c>
      <c r="T285">
        <v>154567</v>
      </c>
      <c r="U285">
        <v>4</v>
      </c>
      <c r="V285">
        <v>154567</v>
      </c>
      <c r="W285">
        <v>4</v>
      </c>
      <c r="X285">
        <v>154567</v>
      </c>
      <c r="Y285" t="s">
        <v>17</v>
      </c>
      <c r="Z285" t="str">
        <f>LOOKUP(B285,{0,1083,124200,681950},{"1st","2nd","3rd","4th"})&amp;" Quartile"</f>
        <v>3rd Quartile</v>
      </c>
    </row>
    <row r="286" spans="1:26">
      <c r="A286">
        <v>2019</v>
      </c>
      <c r="B286">
        <v>513600</v>
      </c>
      <c r="C286" t="s">
        <v>540</v>
      </c>
      <c r="D286" t="s">
        <v>541</v>
      </c>
      <c r="E286">
        <v>27</v>
      </c>
      <c r="F286" t="s">
        <v>540</v>
      </c>
      <c r="G286">
        <v>41</v>
      </c>
      <c r="H286">
        <v>0.68600000000000005</v>
      </c>
      <c r="I286">
        <v>0.80500000000000005</v>
      </c>
      <c r="J286">
        <v>-6.8159999999999998</v>
      </c>
      <c r="K286">
        <v>0</v>
      </c>
      <c r="L286">
        <v>11</v>
      </c>
      <c r="M286">
        <v>0.154</v>
      </c>
      <c r="N286">
        <v>4.7800000000000004E-3</v>
      </c>
      <c r="O286">
        <v>1.0899999999999999E-6</v>
      </c>
      <c r="P286">
        <v>8.8700000000000001E-2</v>
      </c>
      <c r="Q286">
        <v>0.28899999999999998</v>
      </c>
      <c r="R286">
        <v>130.98099999999999</v>
      </c>
      <c r="S286">
        <v>4</v>
      </c>
      <c r="T286">
        <v>154567</v>
      </c>
      <c r="U286">
        <v>4</v>
      </c>
      <c r="V286">
        <v>154567</v>
      </c>
      <c r="W286">
        <v>4</v>
      </c>
      <c r="X286">
        <v>154567</v>
      </c>
      <c r="Y286" t="s">
        <v>17</v>
      </c>
      <c r="Z286" t="str">
        <f>LOOKUP(B286,{0,1083,124200,681950},{"1st","2nd","3rd","4th"})&amp;" Quartile"</f>
        <v>3rd Quartile</v>
      </c>
    </row>
    <row r="287" spans="1:26">
      <c r="A287">
        <v>2019</v>
      </c>
      <c r="B287">
        <v>504900</v>
      </c>
      <c r="C287" t="s">
        <v>294</v>
      </c>
      <c r="D287" t="s">
        <v>293</v>
      </c>
      <c r="E287">
        <v>74</v>
      </c>
      <c r="F287" t="s">
        <v>292</v>
      </c>
      <c r="G287">
        <v>72</v>
      </c>
      <c r="H287">
        <v>0.746</v>
      </c>
      <c r="I287">
        <v>0.71699999999999997</v>
      </c>
      <c r="J287">
        <v>-4.8410000000000002</v>
      </c>
      <c r="K287">
        <v>0</v>
      </c>
      <c r="L287">
        <v>9</v>
      </c>
      <c r="M287">
        <v>0.17899999999999999</v>
      </c>
      <c r="N287">
        <v>0.19900000000000001</v>
      </c>
      <c r="O287">
        <v>0</v>
      </c>
      <c r="P287">
        <v>0.13200000000000001</v>
      </c>
      <c r="Q287">
        <v>0.52300000000000002</v>
      </c>
      <c r="R287">
        <v>150.964</v>
      </c>
      <c r="S287">
        <v>4</v>
      </c>
      <c r="T287">
        <v>179133</v>
      </c>
      <c r="U287">
        <v>4</v>
      </c>
      <c r="V287">
        <v>179133</v>
      </c>
      <c r="W287">
        <v>4</v>
      </c>
      <c r="X287">
        <v>179133</v>
      </c>
      <c r="Y287" t="s">
        <v>17</v>
      </c>
      <c r="Z287" t="str">
        <f>LOOKUP(B287,{0,1083,124200,681950},{"1st","2nd","3rd","4th"})&amp;" Quartile"</f>
        <v>3rd Quartile</v>
      </c>
    </row>
    <row r="288" spans="1:26">
      <c r="A288">
        <v>2022</v>
      </c>
      <c r="B288">
        <v>502900</v>
      </c>
      <c r="C288" t="s">
        <v>1812</v>
      </c>
      <c r="D288" t="s">
        <v>1811</v>
      </c>
      <c r="E288">
        <v>78</v>
      </c>
      <c r="F288" t="s">
        <v>1810</v>
      </c>
      <c r="G288">
        <v>86</v>
      </c>
      <c r="H288">
        <v>0.50600000000000001</v>
      </c>
      <c r="I288">
        <v>0.81699999999999995</v>
      </c>
      <c r="J288">
        <v>-5.0510000000000002</v>
      </c>
      <c r="K288">
        <v>0</v>
      </c>
      <c r="L288">
        <v>11</v>
      </c>
      <c r="M288">
        <v>3.3500000000000002E-2</v>
      </c>
      <c r="N288">
        <v>2.7200000000000002E-3</v>
      </c>
      <c r="O288">
        <v>0</v>
      </c>
      <c r="P288">
        <v>4.8599999999999997E-2</v>
      </c>
      <c r="Q288">
        <v>0.50600000000000001</v>
      </c>
      <c r="R288">
        <v>109.952</v>
      </c>
      <c r="S288">
        <v>4</v>
      </c>
      <c r="T288">
        <v>208707</v>
      </c>
      <c r="U288">
        <v>4</v>
      </c>
      <c r="V288">
        <v>208707</v>
      </c>
      <c r="W288">
        <v>4</v>
      </c>
      <c r="X288">
        <v>208707</v>
      </c>
      <c r="Y288" t="s">
        <v>17</v>
      </c>
      <c r="Z288" t="str">
        <f>LOOKUP(B288,{0,1083,124200,681950},{"1st","2nd","3rd","4th"})&amp;" Quartile"</f>
        <v>3rd Quartile</v>
      </c>
    </row>
    <row r="289" spans="1:26">
      <c r="A289">
        <v>2020</v>
      </c>
      <c r="B289">
        <v>500800</v>
      </c>
      <c r="C289" t="s">
        <v>741</v>
      </c>
      <c r="D289" t="s">
        <v>740</v>
      </c>
      <c r="E289">
        <v>60</v>
      </c>
      <c r="F289" t="s">
        <v>739</v>
      </c>
      <c r="G289">
        <v>67</v>
      </c>
      <c r="H289">
        <v>0.72499999999999998</v>
      </c>
      <c r="I289">
        <v>0.66800000000000004</v>
      </c>
      <c r="J289">
        <v>-7.2859999999999996</v>
      </c>
      <c r="K289">
        <v>0</v>
      </c>
      <c r="L289">
        <v>5</v>
      </c>
      <c r="M289">
        <v>5.5E-2</v>
      </c>
      <c r="N289">
        <v>9.3200000000000005E-2</v>
      </c>
      <c r="O289">
        <v>2.3300000000000001E-6</v>
      </c>
      <c r="P289">
        <v>0.112</v>
      </c>
      <c r="Q289">
        <v>0.56599999999999995</v>
      </c>
      <c r="R289">
        <v>82.965999999999994</v>
      </c>
      <c r="S289">
        <v>4</v>
      </c>
      <c r="T289">
        <v>176787</v>
      </c>
      <c r="U289">
        <v>4</v>
      </c>
      <c r="V289">
        <v>176787</v>
      </c>
      <c r="W289">
        <v>4</v>
      </c>
      <c r="X289">
        <v>176787</v>
      </c>
      <c r="Y289" t="s">
        <v>17</v>
      </c>
      <c r="Z289" t="str">
        <f>LOOKUP(B289,{0,1083,124200,681950},{"1st","2nd","3rd","4th"})&amp;" Quartile"</f>
        <v>3rd Quartile</v>
      </c>
    </row>
    <row r="290" spans="1:26">
      <c r="A290">
        <v>2019</v>
      </c>
      <c r="B290">
        <v>499700</v>
      </c>
      <c r="C290" t="s">
        <v>413</v>
      </c>
      <c r="D290" t="s">
        <v>414</v>
      </c>
      <c r="E290">
        <v>67</v>
      </c>
      <c r="F290" t="s">
        <v>413</v>
      </c>
      <c r="G290">
        <v>61</v>
      </c>
      <c r="H290">
        <v>0.70299999999999996</v>
      </c>
      <c r="I290">
        <v>0.7</v>
      </c>
      <c r="J290">
        <v>-2.4169999999999998</v>
      </c>
      <c r="K290">
        <v>1</v>
      </c>
      <c r="L290">
        <v>2</v>
      </c>
      <c r="M290">
        <v>0.221</v>
      </c>
      <c r="N290">
        <v>5.4999999999999997E-3</v>
      </c>
      <c r="O290">
        <v>0</v>
      </c>
      <c r="P290">
        <v>0.115</v>
      </c>
      <c r="Q290">
        <v>0.34</v>
      </c>
      <c r="R290">
        <v>169.86099999999999</v>
      </c>
      <c r="S290">
        <v>4</v>
      </c>
      <c r="T290">
        <v>138353</v>
      </c>
      <c r="U290">
        <v>4</v>
      </c>
      <c r="V290">
        <v>138353</v>
      </c>
      <c r="W290">
        <v>4</v>
      </c>
      <c r="X290">
        <v>138353</v>
      </c>
      <c r="Y290" t="s">
        <v>17</v>
      </c>
      <c r="Z290" t="str">
        <f>LOOKUP(B290,{0,1083,124200,681950},{"1st","2nd","3rd","4th"})&amp;" Quartile"</f>
        <v>3rd Quartile</v>
      </c>
    </row>
    <row r="291" spans="1:26">
      <c r="A291">
        <v>2020</v>
      </c>
      <c r="B291">
        <v>495300</v>
      </c>
      <c r="C291" t="s">
        <v>697</v>
      </c>
      <c r="D291" t="s">
        <v>698</v>
      </c>
      <c r="E291">
        <v>62</v>
      </c>
      <c r="F291" t="s">
        <v>697</v>
      </c>
      <c r="G291">
        <v>59</v>
      </c>
      <c r="H291">
        <v>0.76</v>
      </c>
      <c r="I291">
        <v>0.79400000000000004</v>
      </c>
      <c r="J291">
        <v>-4.3109999999999999</v>
      </c>
      <c r="K291">
        <v>0</v>
      </c>
      <c r="L291">
        <v>10</v>
      </c>
      <c r="M291">
        <v>0.34399999999999997</v>
      </c>
      <c r="N291">
        <v>0.26300000000000001</v>
      </c>
      <c r="O291">
        <v>3.2399999999999998E-3</v>
      </c>
      <c r="P291">
        <v>9.9599999999999994E-2</v>
      </c>
      <c r="Q291">
        <v>0.58299999999999996</v>
      </c>
      <c r="R291">
        <v>165.99</v>
      </c>
      <c r="S291">
        <v>4</v>
      </c>
      <c r="T291">
        <v>109595</v>
      </c>
      <c r="U291">
        <v>4</v>
      </c>
      <c r="V291">
        <v>109595</v>
      </c>
      <c r="W291">
        <v>4</v>
      </c>
      <c r="X291">
        <v>109595</v>
      </c>
      <c r="Y291" t="s">
        <v>17</v>
      </c>
      <c r="Z291" t="str">
        <f>LOOKUP(B291,{0,1083,124200,681950},{"1st","2nd","3rd","4th"})&amp;" Quartile"</f>
        <v>3rd Quartile</v>
      </c>
    </row>
    <row r="292" spans="1:26">
      <c r="A292">
        <v>2020</v>
      </c>
      <c r="B292">
        <v>488000</v>
      </c>
      <c r="C292" t="s">
        <v>909</v>
      </c>
      <c r="D292" t="s">
        <v>910</v>
      </c>
      <c r="E292">
        <v>55</v>
      </c>
      <c r="F292" t="s">
        <v>909</v>
      </c>
      <c r="G292">
        <v>34</v>
      </c>
      <c r="H292">
        <v>0.94599999999999995</v>
      </c>
      <c r="I292">
        <v>0.26900000000000002</v>
      </c>
      <c r="J292">
        <v>-10.061</v>
      </c>
      <c r="K292">
        <v>1</v>
      </c>
      <c r="L292">
        <v>1</v>
      </c>
      <c r="M292">
        <v>0.56699999999999995</v>
      </c>
      <c r="N292">
        <v>1.7999999999999999E-2</v>
      </c>
      <c r="O292">
        <v>6.8000000000000005E-2</v>
      </c>
      <c r="P292">
        <v>0.108</v>
      </c>
      <c r="Q292">
        <v>9.9900000000000003E-2</v>
      </c>
      <c r="R292">
        <v>125.95</v>
      </c>
      <c r="S292">
        <v>4</v>
      </c>
      <c r="T292">
        <v>100000</v>
      </c>
      <c r="U292">
        <v>4</v>
      </c>
      <c r="V292">
        <v>100000</v>
      </c>
      <c r="W292">
        <v>4</v>
      </c>
      <c r="X292">
        <v>100000</v>
      </c>
      <c r="Y292" t="s">
        <v>17</v>
      </c>
      <c r="Z292" t="str">
        <f>LOOKUP(B292,{0,1083,124200,681950},{"1st","2nd","3rd","4th"})&amp;" Quartile"</f>
        <v>3rd Quartile</v>
      </c>
    </row>
    <row r="293" spans="1:26">
      <c r="A293">
        <v>2020</v>
      </c>
      <c r="B293">
        <v>484000</v>
      </c>
      <c r="C293" t="s">
        <v>889</v>
      </c>
      <c r="D293" t="s">
        <v>890</v>
      </c>
      <c r="E293">
        <v>47</v>
      </c>
      <c r="F293" t="s">
        <v>889</v>
      </c>
      <c r="G293">
        <v>65</v>
      </c>
      <c r="H293">
        <v>0.91</v>
      </c>
      <c r="I293">
        <v>0.61699999999999999</v>
      </c>
      <c r="J293">
        <v>-10.234</v>
      </c>
      <c r="K293">
        <v>1</v>
      </c>
      <c r="L293">
        <v>0</v>
      </c>
      <c r="M293">
        <v>8.4699999999999998E-2</v>
      </c>
      <c r="N293">
        <v>0.25800000000000001</v>
      </c>
      <c r="O293">
        <v>0</v>
      </c>
      <c r="P293">
        <v>0.122</v>
      </c>
      <c r="Q293">
        <v>0.57199999999999995</v>
      </c>
      <c r="R293">
        <v>104.97199999999999</v>
      </c>
      <c r="S293">
        <v>4</v>
      </c>
      <c r="T293">
        <v>166857</v>
      </c>
      <c r="U293">
        <v>4</v>
      </c>
      <c r="V293">
        <v>166857</v>
      </c>
      <c r="W293">
        <v>4</v>
      </c>
      <c r="X293">
        <v>166857</v>
      </c>
      <c r="Y293" t="s">
        <v>17</v>
      </c>
      <c r="Z293" t="str">
        <f>LOOKUP(B293,{0,1083,124200,681950},{"1st","2nd","3rd","4th"})&amp;" Quartile"</f>
        <v>3rd Quartile</v>
      </c>
    </row>
    <row r="294" spans="1:26">
      <c r="A294">
        <v>2019</v>
      </c>
      <c r="B294">
        <v>483700</v>
      </c>
      <c r="C294" t="s">
        <v>417</v>
      </c>
      <c r="D294" t="s">
        <v>416</v>
      </c>
      <c r="E294">
        <v>43</v>
      </c>
      <c r="F294" t="s">
        <v>415</v>
      </c>
      <c r="G294">
        <v>61</v>
      </c>
      <c r="H294">
        <v>0.76200000000000001</v>
      </c>
      <c r="I294">
        <v>0.624</v>
      </c>
      <c r="J294">
        <v>-6.2990000000000004</v>
      </c>
      <c r="K294">
        <v>1</v>
      </c>
      <c r="L294">
        <v>3</v>
      </c>
      <c r="M294">
        <v>9.5100000000000004E-2</v>
      </c>
      <c r="N294">
        <v>9.4200000000000006E-2</v>
      </c>
      <c r="O294">
        <v>0</v>
      </c>
      <c r="P294">
        <v>0.115</v>
      </c>
      <c r="Q294">
        <v>0.48799999999999999</v>
      </c>
      <c r="R294">
        <v>149.94999999999999</v>
      </c>
      <c r="S294">
        <v>4</v>
      </c>
      <c r="T294">
        <v>181543</v>
      </c>
      <c r="U294">
        <v>4</v>
      </c>
      <c r="V294">
        <v>181543</v>
      </c>
      <c r="W294">
        <v>4</v>
      </c>
      <c r="X294">
        <v>181543</v>
      </c>
      <c r="Y294" t="s">
        <v>17</v>
      </c>
      <c r="Z294" t="str">
        <f>LOOKUP(B294,{0,1083,124200,681950},{"1st","2nd","3rd","4th"})&amp;" Quartile"</f>
        <v>3rd Quartile</v>
      </c>
    </row>
    <row r="295" spans="1:26">
      <c r="A295">
        <v>2022</v>
      </c>
      <c r="B295">
        <v>482900</v>
      </c>
      <c r="C295" t="s">
        <v>1611</v>
      </c>
      <c r="D295" t="s">
        <v>1612</v>
      </c>
      <c r="E295">
        <v>64</v>
      </c>
      <c r="F295" t="s">
        <v>1611</v>
      </c>
      <c r="G295">
        <v>78</v>
      </c>
      <c r="H295">
        <v>0.61299999999999999</v>
      </c>
      <c r="I295">
        <v>0.624</v>
      </c>
      <c r="J295">
        <v>-6.66</v>
      </c>
      <c r="K295">
        <v>0</v>
      </c>
      <c r="L295">
        <v>11</v>
      </c>
      <c r="M295">
        <v>0.20599999999999999</v>
      </c>
      <c r="N295">
        <v>0.496</v>
      </c>
      <c r="O295">
        <v>0</v>
      </c>
      <c r="P295">
        <v>0.28299999999999997</v>
      </c>
      <c r="Q295">
        <v>0.80300000000000005</v>
      </c>
      <c r="R295">
        <v>62.948</v>
      </c>
      <c r="S295">
        <v>5</v>
      </c>
      <c r="T295">
        <v>167917</v>
      </c>
      <c r="U295">
        <v>5</v>
      </c>
      <c r="V295">
        <v>167917</v>
      </c>
      <c r="W295">
        <v>5</v>
      </c>
      <c r="X295">
        <v>167917</v>
      </c>
      <c r="Y295" t="s">
        <v>17</v>
      </c>
      <c r="Z295" t="str">
        <f>LOOKUP(B295,{0,1083,124200,681950},{"1st","2nd","3rd","4th"})&amp;" Quartile"</f>
        <v>3rd Quartile</v>
      </c>
    </row>
    <row r="296" spans="1:26">
      <c r="A296">
        <v>2020</v>
      </c>
      <c r="B296">
        <v>472400</v>
      </c>
      <c r="C296" t="s">
        <v>1004</v>
      </c>
      <c r="D296" t="s">
        <v>1005</v>
      </c>
      <c r="E296">
        <v>65</v>
      </c>
      <c r="F296" t="s">
        <v>1004</v>
      </c>
      <c r="G296">
        <v>0</v>
      </c>
      <c r="H296">
        <v>0.51100000000000001</v>
      </c>
      <c r="I296">
        <v>0.93</v>
      </c>
      <c r="J296">
        <v>-3.649</v>
      </c>
      <c r="K296">
        <v>1</v>
      </c>
      <c r="L296">
        <v>2</v>
      </c>
      <c r="M296">
        <v>4.41E-2</v>
      </c>
      <c r="N296">
        <v>5.5999999999999999E-3</v>
      </c>
      <c r="O296">
        <v>0</v>
      </c>
      <c r="P296">
        <v>0.24199999999999999</v>
      </c>
      <c r="Q296">
        <v>0.67300000000000004</v>
      </c>
      <c r="R296">
        <v>75.010000000000005</v>
      </c>
      <c r="S296">
        <v>4</v>
      </c>
      <c r="T296">
        <v>219813</v>
      </c>
      <c r="U296">
        <v>4</v>
      </c>
      <c r="V296">
        <v>219813</v>
      </c>
      <c r="W296">
        <v>4</v>
      </c>
      <c r="X296">
        <v>219813</v>
      </c>
      <c r="Y296" t="s">
        <v>17</v>
      </c>
      <c r="Z296" t="str">
        <f>LOOKUP(B296,{0,1083,124200,681950},{"1st","2nd","3rd","4th"})&amp;" Quartile"</f>
        <v>3rd Quartile</v>
      </c>
    </row>
    <row r="297" spans="1:26">
      <c r="A297">
        <v>2022</v>
      </c>
      <c r="B297">
        <v>472100</v>
      </c>
      <c r="C297" t="s">
        <v>1721</v>
      </c>
      <c r="D297" t="s">
        <v>1722</v>
      </c>
      <c r="E297">
        <v>59</v>
      </c>
      <c r="F297" t="s">
        <v>1721</v>
      </c>
      <c r="G297">
        <v>76</v>
      </c>
      <c r="H297">
        <v>0.64600000000000002</v>
      </c>
      <c r="I297">
        <v>0.47099999999999997</v>
      </c>
      <c r="J297">
        <v>-9.2469999999999999</v>
      </c>
      <c r="K297">
        <v>1</v>
      </c>
      <c r="L297">
        <v>10</v>
      </c>
      <c r="M297">
        <v>0.157</v>
      </c>
      <c r="N297">
        <v>0.122</v>
      </c>
      <c r="O297">
        <v>0</v>
      </c>
      <c r="P297">
        <v>0.125</v>
      </c>
      <c r="Q297">
        <v>0.45500000000000002</v>
      </c>
      <c r="R297">
        <v>170.084</v>
      </c>
      <c r="S297">
        <v>4</v>
      </c>
      <c r="T297">
        <v>232813</v>
      </c>
      <c r="U297">
        <v>4</v>
      </c>
      <c r="V297">
        <v>232813</v>
      </c>
      <c r="W297">
        <v>4</v>
      </c>
      <c r="X297">
        <v>232813</v>
      </c>
      <c r="Y297" t="s">
        <v>17</v>
      </c>
      <c r="Z297" t="str">
        <f>LOOKUP(B297,{0,1083,124200,681950},{"1st","2nd","3rd","4th"})&amp;" Quartile"</f>
        <v>3rd Quartile</v>
      </c>
    </row>
    <row r="298" spans="1:26">
      <c r="A298">
        <v>2022</v>
      </c>
      <c r="B298">
        <v>471400</v>
      </c>
      <c r="C298" t="s">
        <v>1712</v>
      </c>
      <c r="D298" t="s">
        <v>1460</v>
      </c>
      <c r="E298">
        <v>86</v>
      </c>
      <c r="F298" t="s">
        <v>1711</v>
      </c>
      <c r="G298">
        <v>76</v>
      </c>
      <c r="H298">
        <v>0.498</v>
      </c>
      <c r="I298">
        <v>0.59</v>
      </c>
      <c r="J298">
        <v>-4.7210000000000001</v>
      </c>
      <c r="K298">
        <v>0</v>
      </c>
      <c r="L298">
        <v>1</v>
      </c>
      <c r="M298">
        <v>3.2000000000000001E-2</v>
      </c>
      <c r="N298">
        <v>0.51100000000000001</v>
      </c>
      <c r="O298">
        <v>0</v>
      </c>
      <c r="P298">
        <v>0.107</v>
      </c>
      <c r="Q298">
        <v>7.8399999999999997E-2</v>
      </c>
      <c r="R298">
        <v>145.86699999999999</v>
      </c>
      <c r="S298">
        <v>4</v>
      </c>
      <c r="T298">
        <v>217867</v>
      </c>
      <c r="U298">
        <v>4</v>
      </c>
      <c r="V298">
        <v>217867</v>
      </c>
      <c r="W298">
        <v>4</v>
      </c>
      <c r="X298">
        <v>217867</v>
      </c>
      <c r="Y298" t="s">
        <v>17</v>
      </c>
      <c r="Z298" t="str">
        <f>LOOKUP(B298,{0,1083,124200,681950},{"1st","2nd","3rd","4th"})&amp;" Quartile"</f>
        <v>3rd Quartile</v>
      </c>
    </row>
    <row r="299" spans="1:26">
      <c r="A299">
        <v>2020</v>
      </c>
      <c r="B299">
        <v>470600</v>
      </c>
      <c r="C299" t="s">
        <v>547</v>
      </c>
      <c r="D299" t="s">
        <v>546</v>
      </c>
      <c r="E299">
        <v>58</v>
      </c>
      <c r="F299" t="s">
        <v>545</v>
      </c>
      <c r="G299">
        <v>57</v>
      </c>
      <c r="H299">
        <v>0.89300000000000002</v>
      </c>
      <c r="I299">
        <v>0.61</v>
      </c>
      <c r="J299">
        <v>-5.6909999999999998</v>
      </c>
      <c r="K299">
        <v>0</v>
      </c>
      <c r="L299">
        <v>4</v>
      </c>
      <c r="M299">
        <v>4.8800000000000003E-2</v>
      </c>
      <c r="N299">
        <v>2.2700000000000001E-2</v>
      </c>
      <c r="O299">
        <v>7.4400000000000004E-3</v>
      </c>
      <c r="P299">
        <v>0.10199999999999999</v>
      </c>
      <c r="Q299">
        <v>0.77800000000000002</v>
      </c>
      <c r="R299">
        <v>136.63999999999999</v>
      </c>
      <c r="S299">
        <v>4</v>
      </c>
      <c r="T299">
        <v>60000</v>
      </c>
      <c r="U299">
        <v>4</v>
      </c>
      <c r="V299">
        <v>60000</v>
      </c>
      <c r="W299">
        <v>4</v>
      </c>
      <c r="X299">
        <v>60000</v>
      </c>
      <c r="Y299" t="s">
        <v>17</v>
      </c>
      <c r="Z299" t="str">
        <f>LOOKUP(B299,{0,1083,124200,681950},{"1st","2nd","3rd","4th"})&amp;" Quartile"</f>
        <v>3rd Quartile</v>
      </c>
    </row>
    <row r="300" spans="1:26">
      <c r="A300">
        <v>2019</v>
      </c>
      <c r="B300">
        <v>470600</v>
      </c>
      <c r="C300" t="s">
        <v>547</v>
      </c>
      <c r="D300" t="s">
        <v>546</v>
      </c>
      <c r="E300">
        <v>58</v>
      </c>
      <c r="F300" t="s">
        <v>545</v>
      </c>
      <c r="G300">
        <v>57</v>
      </c>
      <c r="H300">
        <v>0.89300000000000002</v>
      </c>
      <c r="I300">
        <v>0.61</v>
      </c>
      <c r="J300">
        <v>-5.6909999999999998</v>
      </c>
      <c r="K300">
        <v>0</v>
      </c>
      <c r="L300">
        <v>4</v>
      </c>
      <c r="M300">
        <v>4.8800000000000003E-2</v>
      </c>
      <c r="N300">
        <v>2.2700000000000001E-2</v>
      </c>
      <c r="O300">
        <v>7.4400000000000004E-3</v>
      </c>
      <c r="P300">
        <v>0.10199999999999999</v>
      </c>
      <c r="Q300">
        <v>0.77800000000000002</v>
      </c>
      <c r="R300">
        <v>136.63999999999999</v>
      </c>
      <c r="S300">
        <v>4</v>
      </c>
      <c r="T300">
        <v>60000</v>
      </c>
      <c r="U300">
        <v>4</v>
      </c>
      <c r="V300">
        <v>60000</v>
      </c>
      <c r="W300">
        <v>4</v>
      </c>
      <c r="X300">
        <v>60000</v>
      </c>
      <c r="Y300" t="s">
        <v>17</v>
      </c>
      <c r="Z300" t="str">
        <f>LOOKUP(B300,{0,1083,124200,681950},{"1st","2nd","3rd","4th"})&amp;" Quartile"</f>
        <v>3rd Quartile</v>
      </c>
    </row>
    <row r="301" spans="1:26">
      <c r="A301">
        <v>2019</v>
      </c>
      <c r="B301">
        <v>465300</v>
      </c>
      <c r="C301" t="s">
        <v>139</v>
      </c>
      <c r="D301" t="s">
        <v>140</v>
      </c>
      <c r="E301">
        <v>70</v>
      </c>
      <c r="F301" t="s">
        <v>426</v>
      </c>
      <c r="G301">
        <v>79</v>
      </c>
      <c r="H301">
        <v>0.73199999999999998</v>
      </c>
      <c r="I301">
        <v>0.46300000000000002</v>
      </c>
      <c r="J301">
        <v>-6.9720000000000004</v>
      </c>
      <c r="K301">
        <v>0</v>
      </c>
      <c r="L301">
        <v>11</v>
      </c>
      <c r="M301">
        <v>2.87E-2</v>
      </c>
      <c r="N301">
        <v>0.374</v>
      </c>
      <c r="O301">
        <v>0</v>
      </c>
      <c r="P301">
        <v>0.19400000000000001</v>
      </c>
      <c r="Q301">
        <v>0.39700000000000002</v>
      </c>
      <c r="R301">
        <v>95.971000000000004</v>
      </c>
      <c r="S301">
        <v>4</v>
      </c>
      <c r="T301">
        <v>212607</v>
      </c>
      <c r="U301">
        <v>4</v>
      </c>
      <c r="V301">
        <v>212607</v>
      </c>
      <c r="W301">
        <v>4</v>
      </c>
      <c r="X301">
        <v>212607</v>
      </c>
      <c r="Y301" t="s">
        <v>17</v>
      </c>
      <c r="Z301" t="str">
        <f>LOOKUP(B301,{0,1083,124200,681950},{"1st","2nd","3rd","4th"})&amp;" Quartile"</f>
        <v>3rd Quartile</v>
      </c>
    </row>
    <row r="302" spans="1:26">
      <c r="A302">
        <v>2019</v>
      </c>
      <c r="B302">
        <v>465300</v>
      </c>
      <c r="C302" t="s">
        <v>139</v>
      </c>
      <c r="D302" t="s">
        <v>140</v>
      </c>
      <c r="E302">
        <v>70</v>
      </c>
      <c r="F302" t="s">
        <v>139</v>
      </c>
      <c r="G302">
        <v>5</v>
      </c>
      <c r="H302">
        <v>0.73199999999999998</v>
      </c>
      <c r="I302">
        <v>0.46300000000000002</v>
      </c>
      <c r="J302">
        <v>-6.9720000000000004</v>
      </c>
      <c r="K302">
        <v>0</v>
      </c>
      <c r="L302">
        <v>11</v>
      </c>
      <c r="M302">
        <v>2.87E-2</v>
      </c>
      <c r="N302">
        <v>0.374</v>
      </c>
      <c r="O302">
        <v>0</v>
      </c>
      <c r="P302">
        <v>0.19400000000000001</v>
      </c>
      <c r="Q302">
        <v>0.39700000000000002</v>
      </c>
      <c r="R302">
        <v>95.971000000000004</v>
      </c>
      <c r="S302">
        <v>4</v>
      </c>
      <c r="T302">
        <v>212607</v>
      </c>
      <c r="U302">
        <v>4</v>
      </c>
      <c r="V302">
        <v>212607</v>
      </c>
      <c r="W302">
        <v>4</v>
      </c>
      <c r="X302">
        <v>212607</v>
      </c>
      <c r="Y302" t="s">
        <v>17</v>
      </c>
      <c r="Z302" t="str">
        <f>LOOKUP(B302,{0,1083,124200,681950},{"1st","2nd","3rd","4th"})&amp;" Quartile"</f>
        <v>3rd Quartile</v>
      </c>
    </row>
    <row r="303" spans="1:26">
      <c r="A303">
        <v>2020</v>
      </c>
      <c r="B303">
        <v>449100</v>
      </c>
      <c r="C303" t="s">
        <v>760</v>
      </c>
      <c r="D303" t="s">
        <v>759</v>
      </c>
      <c r="E303">
        <v>73</v>
      </c>
      <c r="F303" t="s">
        <v>758</v>
      </c>
      <c r="G303">
        <v>78</v>
      </c>
      <c r="H303">
        <v>0.65400000000000003</v>
      </c>
      <c r="I303">
        <v>0.81</v>
      </c>
      <c r="J303">
        <v>-6.26</v>
      </c>
      <c r="K303">
        <v>0</v>
      </c>
      <c r="L303">
        <v>4</v>
      </c>
      <c r="M303">
        <v>2.8799999999999999E-2</v>
      </c>
      <c r="N303">
        <v>7.1900000000000002E-3</v>
      </c>
      <c r="O303">
        <v>2.5100000000000001E-3</v>
      </c>
      <c r="P303">
        <v>0.16500000000000001</v>
      </c>
      <c r="Q303">
        <v>0.66100000000000003</v>
      </c>
      <c r="R303">
        <v>114.623</v>
      </c>
      <c r="S303">
        <v>4</v>
      </c>
      <c r="T303">
        <v>200307</v>
      </c>
      <c r="U303">
        <v>4</v>
      </c>
      <c r="V303">
        <v>200307</v>
      </c>
      <c r="W303">
        <v>4</v>
      </c>
      <c r="X303">
        <v>200307</v>
      </c>
      <c r="Y303" t="s">
        <v>17</v>
      </c>
      <c r="Z303" t="str">
        <f>LOOKUP(B303,{0,1083,124200,681950},{"1st","2nd","3rd","4th"})&amp;" Quartile"</f>
        <v>3rd Quartile</v>
      </c>
    </row>
    <row r="304" spans="1:26">
      <c r="A304">
        <v>2022</v>
      </c>
      <c r="B304">
        <v>446000</v>
      </c>
      <c r="C304" t="s">
        <v>1116</v>
      </c>
      <c r="D304" t="s">
        <v>1115</v>
      </c>
      <c r="E304">
        <v>71</v>
      </c>
      <c r="F304" t="s">
        <v>1114</v>
      </c>
      <c r="G304">
        <v>77</v>
      </c>
      <c r="H304">
        <v>0.878</v>
      </c>
      <c r="I304">
        <v>0.52500000000000002</v>
      </c>
      <c r="J304">
        <v>-6.8319999999999999</v>
      </c>
      <c r="K304">
        <v>1</v>
      </c>
      <c r="L304">
        <v>5</v>
      </c>
      <c r="M304">
        <v>5.7799999999999997E-2</v>
      </c>
      <c r="N304">
        <v>0.183</v>
      </c>
      <c r="O304">
        <v>0</v>
      </c>
      <c r="P304">
        <v>7.1400000000000005E-2</v>
      </c>
      <c r="Q304">
        <v>0.69399999999999995</v>
      </c>
      <c r="R304">
        <v>112.02200000000001</v>
      </c>
      <c r="S304">
        <v>4</v>
      </c>
      <c r="T304">
        <v>158571</v>
      </c>
      <c r="U304">
        <v>4</v>
      </c>
      <c r="V304">
        <v>158571</v>
      </c>
      <c r="W304">
        <v>4</v>
      </c>
      <c r="X304">
        <v>158571</v>
      </c>
      <c r="Y304" t="s">
        <v>17</v>
      </c>
      <c r="Z304" t="str">
        <f>LOOKUP(B304,{0,1083,124200,681950},{"1st","2nd","3rd","4th"})&amp;" Quartile"</f>
        <v>3rd Quartile</v>
      </c>
    </row>
    <row r="305" spans="1:26">
      <c r="A305">
        <v>2020</v>
      </c>
      <c r="B305">
        <v>445900</v>
      </c>
      <c r="C305" t="s">
        <v>1116</v>
      </c>
      <c r="D305" t="s">
        <v>1115</v>
      </c>
      <c r="E305">
        <v>71</v>
      </c>
      <c r="F305" t="s">
        <v>1114</v>
      </c>
      <c r="G305">
        <v>77</v>
      </c>
      <c r="H305">
        <v>0.878</v>
      </c>
      <c r="I305">
        <v>0.52500000000000002</v>
      </c>
      <c r="J305">
        <v>-6.8319999999999999</v>
      </c>
      <c r="K305">
        <v>1</v>
      </c>
      <c r="L305">
        <v>5</v>
      </c>
      <c r="M305">
        <v>5.7799999999999997E-2</v>
      </c>
      <c r="N305">
        <v>0.183</v>
      </c>
      <c r="O305">
        <v>0</v>
      </c>
      <c r="P305">
        <v>7.1400000000000005E-2</v>
      </c>
      <c r="Q305">
        <v>0.69399999999999995</v>
      </c>
      <c r="R305">
        <v>112.02200000000001</v>
      </c>
      <c r="S305">
        <v>4</v>
      </c>
      <c r="T305">
        <v>158571</v>
      </c>
      <c r="U305">
        <v>4</v>
      </c>
      <c r="V305">
        <v>158571</v>
      </c>
      <c r="W305">
        <v>4</v>
      </c>
      <c r="X305">
        <v>158571</v>
      </c>
      <c r="Y305" t="s">
        <v>17</v>
      </c>
      <c r="Z305" t="str">
        <f>LOOKUP(B305,{0,1083,124200,681950},{"1st","2nd","3rd","4th"})&amp;" Quartile"</f>
        <v>3rd Quartile</v>
      </c>
    </row>
    <row r="306" spans="1:26">
      <c r="A306">
        <v>2019</v>
      </c>
      <c r="B306">
        <v>440800</v>
      </c>
      <c r="C306" t="s">
        <v>82</v>
      </c>
      <c r="D306" t="s">
        <v>83</v>
      </c>
      <c r="E306">
        <v>59</v>
      </c>
      <c r="F306" t="s">
        <v>82</v>
      </c>
      <c r="G306">
        <v>70</v>
      </c>
      <c r="H306">
        <v>0.90700000000000003</v>
      </c>
      <c r="I306">
        <v>0.53900000000000003</v>
      </c>
      <c r="J306">
        <v>-7.782</v>
      </c>
      <c r="K306">
        <v>1</v>
      </c>
      <c r="L306">
        <v>4</v>
      </c>
      <c r="M306">
        <v>0.36</v>
      </c>
      <c r="N306">
        <v>4.0800000000000003E-2</v>
      </c>
      <c r="O306">
        <v>0</v>
      </c>
      <c r="P306">
        <v>0.253</v>
      </c>
      <c r="Q306">
        <v>0.66400000000000003</v>
      </c>
      <c r="R306">
        <v>124.91800000000001</v>
      </c>
      <c r="S306">
        <v>4</v>
      </c>
      <c r="T306">
        <v>150115</v>
      </c>
      <c r="U306">
        <v>4</v>
      </c>
      <c r="V306">
        <v>150115</v>
      </c>
      <c r="W306">
        <v>4</v>
      </c>
      <c r="X306">
        <v>150115</v>
      </c>
      <c r="Y306" t="s">
        <v>17</v>
      </c>
      <c r="Z306" t="str">
        <f>LOOKUP(B306,{0,1083,124200,681950},{"1st","2nd","3rd","4th"})&amp;" Quartile"</f>
        <v>3rd Quartile</v>
      </c>
    </row>
    <row r="307" spans="1:26">
      <c r="A307">
        <v>2020</v>
      </c>
      <c r="B307">
        <v>432400</v>
      </c>
      <c r="C307" t="s">
        <v>519</v>
      </c>
      <c r="D307" t="s">
        <v>518</v>
      </c>
      <c r="E307">
        <v>67</v>
      </c>
      <c r="F307" t="s">
        <v>517</v>
      </c>
      <c r="G307">
        <v>73</v>
      </c>
      <c r="H307">
        <v>0.56000000000000005</v>
      </c>
      <c r="I307">
        <v>0.67400000000000004</v>
      </c>
      <c r="J307">
        <v>-6.048</v>
      </c>
      <c r="K307">
        <v>1</v>
      </c>
      <c r="L307">
        <v>10</v>
      </c>
      <c r="M307">
        <v>4.4600000000000001E-2</v>
      </c>
      <c r="N307">
        <v>0.69799999999999995</v>
      </c>
      <c r="O307">
        <v>0</v>
      </c>
      <c r="P307">
        <v>0.123</v>
      </c>
      <c r="Q307">
        <v>0.42099999999999999</v>
      </c>
      <c r="R307">
        <v>119.94199999999999</v>
      </c>
      <c r="S307">
        <v>4</v>
      </c>
      <c r="T307">
        <v>197933</v>
      </c>
      <c r="U307">
        <v>4</v>
      </c>
      <c r="V307">
        <v>197933</v>
      </c>
      <c r="W307">
        <v>4</v>
      </c>
      <c r="X307">
        <v>197933</v>
      </c>
      <c r="Y307" t="s">
        <v>17</v>
      </c>
      <c r="Z307" t="str">
        <f>LOOKUP(B307,{0,1083,124200,681950},{"1st","2nd","3rd","4th"})&amp;" Quartile"</f>
        <v>3rd Quartile</v>
      </c>
    </row>
    <row r="308" spans="1:26">
      <c r="A308">
        <v>2019</v>
      </c>
      <c r="B308">
        <v>431800</v>
      </c>
      <c r="C308" t="s">
        <v>519</v>
      </c>
      <c r="D308" t="s">
        <v>518</v>
      </c>
      <c r="E308">
        <v>67</v>
      </c>
      <c r="F308" t="s">
        <v>517</v>
      </c>
      <c r="G308">
        <v>73</v>
      </c>
      <c r="H308">
        <v>0.56000000000000005</v>
      </c>
      <c r="I308">
        <v>0.67400000000000004</v>
      </c>
      <c r="J308">
        <v>-6.048</v>
      </c>
      <c r="K308">
        <v>1</v>
      </c>
      <c r="L308">
        <v>10</v>
      </c>
      <c r="M308">
        <v>4.4600000000000001E-2</v>
      </c>
      <c r="N308">
        <v>0.69799999999999995</v>
      </c>
      <c r="O308">
        <v>0</v>
      </c>
      <c r="P308">
        <v>0.123</v>
      </c>
      <c r="Q308">
        <v>0.42099999999999999</v>
      </c>
      <c r="R308">
        <v>119.94199999999999</v>
      </c>
      <c r="S308">
        <v>4</v>
      </c>
      <c r="T308">
        <v>197933</v>
      </c>
      <c r="U308">
        <v>4</v>
      </c>
      <c r="V308">
        <v>197933</v>
      </c>
      <c r="W308">
        <v>4</v>
      </c>
      <c r="X308">
        <v>197933</v>
      </c>
      <c r="Y308" t="s">
        <v>17</v>
      </c>
      <c r="Z308" t="str">
        <f>LOOKUP(B308,{0,1083,124200,681950},{"1st","2nd","3rd","4th"})&amp;" Quartile"</f>
        <v>3rd Quartile</v>
      </c>
    </row>
    <row r="309" spans="1:26">
      <c r="A309">
        <v>2020</v>
      </c>
      <c r="B309">
        <v>430200</v>
      </c>
      <c r="C309" t="s">
        <v>895</v>
      </c>
      <c r="D309" t="s">
        <v>246</v>
      </c>
      <c r="E309">
        <v>78</v>
      </c>
      <c r="F309" t="s">
        <v>867</v>
      </c>
      <c r="G309">
        <v>80</v>
      </c>
      <c r="H309">
        <v>0.629</v>
      </c>
      <c r="I309">
        <v>0.69199999999999995</v>
      </c>
      <c r="J309">
        <v>-8.0449999999999999</v>
      </c>
      <c r="K309">
        <v>1</v>
      </c>
      <c r="L309">
        <v>5</v>
      </c>
      <c r="M309">
        <v>3.7600000000000001E-2</v>
      </c>
      <c r="N309">
        <v>9.8099999999999993E-3</v>
      </c>
      <c r="O309">
        <v>0.33100000000000002</v>
      </c>
      <c r="P309">
        <v>0.60299999999999998</v>
      </c>
      <c r="Q309">
        <v>0.45300000000000001</v>
      </c>
      <c r="R309">
        <v>162.94800000000001</v>
      </c>
      <c r="S309">
        <v>4</v>
      </c>
      <c r="T309">
        <v>167916</v>
      </c>
      <c r="U309">
        <v>4</v>
      </c>
      <c r="V309">
        <v>167916</v>
      </c>
      <c r="W309">
        <v>4</v>
      </c>
      <c r="X309">
        <v>167916</v>
      </c>
      <c r="Y309" t="s">
        <v>17</v>
      </c>
      <c r="Z309" t="str">
        <f>LOOKUP(B309,{0,1083,124200,681950},{"1st","2nd","3rd","4th"})&amp;" Quartile"</f>
        <v>3rd Quartile</v>
      </c>
    </row>
    <row r="310" spans="1:26">
      <c r="A310">
        <v>2020</v>
      </c>
      <c r="B310">
        <v>426100</v>
      </c>
      <c r="C310" t="s">
        <v>1141</v>
      </c>
      <c r="D310" t="s">
        <v>1142</v>
      </c>
      <c r="E310">
        <v>68</v>
      </c>
      <c r="F310" t="s">
        <v>1141</v>
      </c>
      <c r="G310">
        <v>76</v>
      </c>
      <c r="H310">
        <v>0.57199999999999995</v>
      </c>
      <c r="I310">
        <v>0.40600000000000003</v>
      </c>
      <c r="J310">
        <v>-8.6240000000000006</v>
      </c>
      <c r="K310">
        <v>1</v>
      </c>
      <c r="L310">
        <v>10</v>
      </c>
      <c r="M310">
        <v>4.2700000000000002E-2</v>
      </c>
      <c r="N310">
        <v>0.58699999999999997</v>
      </c>
      <c r="O310">
        <v>4.4800000000000003E-6</v>
      </c>
      <c r="P310">
        <v>0.10199999999999999</v>
      </c>
      <c r="Q310">
        <v>0.26500000000000001</v>
      </c>
      <c r="R310">
        <v>119.812</v>
      </c>
      <c r="S310">
        <v>4</v>
      </c>
      <c r="T310">
        <v>201084</v>
      </c>
      <c r="U310">
        <v>4</v>
      </c>
      <c r="V310">
        <v>201084</v>
      </c>
      <c r="W310">
        <v>4</v>
      </c>
      <c r="X310">
        <v>201084</v>
      </c>
      <c r="Y310" t="s">
        <v>17</v>
      </c>
      <c r="Z310" t="str">
        <f>LOOKUP(B310,{0,1083,124200,681950},{"1st","2nd","3rd","4th"})&amp;" Quartile"</f>
        <v>3rd Quartile</v>
      </c>
    </row>
    <row r="311" spans="1:26">
      <c r="A311">
        <v>2020</v>
      </c>
      <c r="B311">
        <v>415600</v>
      </c>
      <c r="C311" t="s">
        <v>769</v>
      </c>
      <c r="D311" t="s">
        <v>770</v>
      </c>
      <c r="E311">
        <v>69</v>
      </c>
      <c r="F311" t="s">
        <v>769</v>
      </c>
      <c r="G311">
        <v>79</v>
      </c>
      <c r="H311">
        <v>0.64800000000000002</v>
      </c>
      <c r="I311">
        <v>0.82699999999999996</v>
      </c>
      <c r="J311">
        <v>-4.78</v>
      </c>
      <c r="K311">
        <v>0</v>
      </c>
      <c r="L311">
        <v>9</v>
      </c>
      <c r="M311">
        <v>4.2000000000000003E-2</v>
      </c>
      <c r="N311">
        <v>5.3299999999999997E-3</v>
      </c>
      <c r="O311">
        <v>0.33800000000000002</v>
      </c>
      <c r="P311">
        <v>0.217</v>
      </c>
      <c r="Q311">
        <v>0.59799999999999998</v>
      </c>
      <c r="R311">
        <v>176.005</v>
      </c>
      <c r="S311">
        <v>4</v>
      </c>
      <c r="T311">
        <v>230895</v>
      </c>
      <c r="U311">
        <v>4</v>
      </c>
      <c r="V311">
        <v>230895</v>
      </c>
      <c r="W311">
        <v>4</v>
      </c>
      <c r="X311">
        <v>230895</v>
      </c>
      <c r="Y311" t="s">
        <v>17</v>
      </c>
      <c r="Z311" t="str">
        <f>LOOKUP(B311,{0,1083,124200,681950},{"1st","2nd","3rd","4th"})&amp;" Quartile"</f>
        <v>3rd Quartile</v>
      </c>
    </row>
    <row r="312" spans="1:26">
      <c r="A312">
        <v>2019</v>
      </c>
      <c r="B312">
        <v>411300</v>
      </c>
      <c r="C312" t="s">
        <v>269</v>
      </c>
      <c r="D312" t="s">
        <v>268</v>
      </c>
      <c r="E312">
        <v>63</v>
      </c>
      <c r="F312" t="s">
        <v>267</v>
      </c>
      <c r="G312">
        <v>65</v>
      </c>
      <c r="H312">
        <v>0.41299999999999998</v>
      </c>
      <c r="I312">
        <v>0.52100000000000002</v>
      </c>
      <c r="J312">
        <v>-4.4690000000000003</v>
      </c>
      <c r="K312">
        <v>1</v>
      </c>
      <c r="L312">
        <v>9</v>
      </c>
      <c r="M312">
        <v>4.6600000000000003E-2</v>
      </c>
      <c r="N312">
        <v>0.16200000000000001</v>
      </c>
      <c r="O312">
        <v>0</v>
      </c>
      <c r="P312">
        <v>0.32300000000000001</v>
      </c>
      <c r="Q312">
        <v>0.53200000000000003</v>
      </c>
      <c r="R312">
        <v>103.39100000000001</v>
      </c>
      <c r="S312">
        <v>4</v>
      </c>
      <c r="T312">
        <v>218808</v>
      </c>
      <c r="U312">
        <v>4</v>
      </c>
      <c r="V312">
        <v>218808</v>
      </c>
      <c r="W312">
        <v>4</v>
      </c>
      <c r="X312">
        <v>218808</v>
      </c>
      <c r="Y312" t="s">
        <v>17</v>
      </c>
      <c r="Z312" t="str">
        <f>LOOKUP(B312,{0,1083,124200,681950},{"1st","2nd","3rd","4th"})&amp;" Quartile"</f>
        <v>3rd Quartile</v>
      </c>
    </row>
    <row r="313" spans="1:26">
      <c r="A313">
        <v>2019</v>
      </c>
      <c r="B313">
        <v>404000</v>
      </c>
      <c r="C313" t="s">
        <v>117</v>
      </c>
      <c r="D313" t="s">
        <v>116</v>
      </c>
      <c r="E313">
        <v>75</v>
      </c>
      <c r="F313" t="s">
        <v>115</v>
      </c>
      <c r="G313">
        <v>54</v>
      </c>
      <c r="H313">
        <v>0.97099999999999997</v>
      </c>
      <c r="I313">
        <v>0.46500000000000002</v>
      </c>
      <c r="J313">
        <v>-5.6550000000000002</v>
      </c>
      <c r="K313">
        <v>1</v>
      </c>
      <c r="L313">
        <v>1</v>
      </c>
      <c r="M313">
        <v>0.23</v>
      </c>
      <c r="N313">
        <v>2.9499999999999998E-2</v>
      </c>
      <c r="O313">
        <v>0</v>
      </c>
      <c r="P313">
        <v>9.7000000000000003E-2</v>
      </c>
      <c r="Q313">
        <v>0.13100000000000001</v>
      </c>
      <c r="R313">
        <v>119.994</v>
      </c>
      <c r="S313">
        <v>4</v>
      </c>
      <c r="T313">
        <v>160518</v>
      </c>
      <c r="U313">
        <v>4</v>
      </c>
      <c r="V313">
        <v>160518</v>
      </c>
      <c r="W313">
        <v>4</v>
      </c>
      <c r="X313">
        <v>160518</v>
      </c>
      <c r="Y313" t="s">
        <v>17</v>
      </c>
      <c r="Z313" t="str">
        <f>LOOKUP(B313,{0,1083,124200,681950},{"1st","2nd","3rd","4th"})&amp;" Quartile"</f>
        <v>3rd Quartile</v>
      </c>
    </row>
    <row r="314" spans="1:26">
      <c r="A314">
        <v>2022</v>
      </c>
      <c r="B314">
        <v>403900</v>
      </c>
      <c r="C314" t="s">
        <v>1638</v>
      </c>
      <c r="D314" t="s">
        <v>1639</v>
      </c>
      <c r="E314">
        <v>50</v>
      </c>
      <c r="F314" t="s">
        <v>1638</v>
      </c>
      <c r="G314">
        <v>67</v>
      </c>
      <c r="H314">
        <v>0.59199999999999997</v>
      </c>
      <c r="I314">
        <v>0.214</v>
      </c>
      <c r="J314">
        <v>-13.468</v>
      </c>
      <c r="K314">
        <v>1</v>
      </c>
      <c r="L314">
        <v>1</v>
      </c>
      <c r="M314">
        <v>0.115</v>
      </c>
      <c r="N314">
        <v>0.93600000000000005</v>
      </c>
      <c r="O314">
        <v>1.6200000000000001E-5</v>
      </c>
      <c r="P314">
        <v>0.253</v>
      </c>
      <c r="Q314">
        <v>0.42199999999999999</v>
      </c>
      <c r="R314">
        <v>81.671999999999997</v>
      </c>
      <c r="S314">
        <v>4</v>
      </c>
      <c r="T314">
        <v>117037</v>
      </c>
      <c r="U314">
        <v>4</v>
      </c>
      <c r="V314">
        <v>117037</v>
      </c>
      <c r="W314">
        <v>4</v>
      </c>
      <c r="X314">
        <v>117037</v>
      </c>
      <c r="Y314" t="s">
        <v>17</v>
      </c>
      <c r="Z314" t="str">
        <f>LOOKUP(B314,{0,1083,124200,681950},{"1st","2nd","3rd","4th"})&amp;" Quartile"</f>
        <v>3rd Quartile</v>
      </c>
    </row>
    <row r="315" spans="1:26">
      <c r="A315">
        <v>2019</v>
      </c>
      <c r="B315">
        <v>403800</v>
      </c>
      <c r="C315" t="s">
        <v>131</v>
      </c>
      <c r="D315" t="s">
        <v>130</v>
      </c>
      <c r="E315">
        <v>61</v>
      </c>
      <c r="F315" t="s">
        <v>129</v>
      </c>
      <c r="G315">
        <v>61</v>
      </c>
      <c r="H315">
        <v>0.89800000000000002</v>
      </c>
      <c r="I315">
        <v>0.40600000000000003</v>
      </c>
      <c r="J315">
        <v>-9.9049999999999994</v>
      </c>
      <c r="K315">
        <v>0</v>
      </c>
      <c r="L315">
        <v>4</v>
      </c>
      <c r="M315">
        <v>0.10199999999999999</v>
      </c>
      <c r="N315">
        <v>9.8600000000000007E-3</v>
      </c>
      <c r="O315">
        <v>0</v>
      </c>
      <c r="P315">
        <v>5.0900000000000001E-2</v>
      </c>
      <c r="Q315">
        <v>0.39</v>
      </c>
      <c r="R315">
        <v>102.985</v>
      </c>
      <c r="S315">
        <v>4</v>
      </c>
      <c r="T315">
        <v>253993</v>
      </c>
      <c r="U315">
        <v>4</v>
      </c>
      <c r="V315">
        <v>253993</v>
      </c>
      <c r="W315">
        <v>4</v>
      </c>
      <c r="X315">
        <v>253993</v>
      </c>
      <c r="Y315" t="s">
        <v>17</v>
      </c>
      <c r="Z315" t="str">
        <f>LOOKUP(B315,{0,1083,124200,681950},{"1st","2nd","3rd","4th"})&amp;" Quartile"</f>
        <v>3rd Quartile</v>
      </c>
    </row>
    <row r="316" spans="1:26">
      <c r="A316">
        <v>2020</v>
      </c>
      <c r="B316">
        <v>396800</v>
      </c>
      <c r="C316" t="s">
        <v>847</v>
      </c>
      <c r="D316" t="s">
        <v>846</v>
      </c>
      <c r="E316">
        <v>87</v>
      </c>
      <c r="F316" t="s">
        <v>845</v>
      </c>
      <c r="G316">
        <v>82</v>
      </c>
      <c r="H316">
        <v>0.44900000000000001</v>
      </c>
      <c r="I316">
        <v>0.58499999999999996</v>
      </c>
      <c r="J316">
        <v>-6.7610000000000001</v>
      </c>
      <c r="K316">
        <v>1</v>
      </c>
      <c r="L316">
        <v>5</v>
      </c>
      <c r="M316">
        <v>2.6800000000000001E-2</v>
      </c>
      <c r="N316">
        <v>5.0900000000000001E-2</v>
      </c>
      <c r="O316">
        <v>8.7499999999999999E-5</v>
      </c>
      <c r="P316">
        <v>8.3299999999999999E-2</v>
      </c>
      <c r="Q316">
        <v>0.21199999999999999</v>
      </c>
      <c r="R316">
        <v>139.631</v>
      </c>
      <c r="S316">
        <v>4</v>
      </c>
      <c r="T316">
        <v>278719</v>
      </c>
      <c r="U316">
        <v>4</v>
      </c>
      <c r="V316">
        <v>278719</v>
      </c>
      <c r="W316">
        <v>4</v>
      </c>
      <c r="X316">
        <v>278719</v>
      </c>
      <c r="Y316" t="s">
        <v>17</v>
      </c>
      <c r="Z316" t="str">
        <f>LOOKUP(B316,{0,1083,124200,681950},{"1st","2nd","3rd","4th"})&amp;" Quartile"</f>
        <v>3rd Quartile</v>
      </c>
    </row>
    <row r="317" spans="1:26">
      <c r="A317">
        <v>2020</v>
      </c>
      <c r="B317">
        <v>394600</v>
      </c>
      <c r="C317" t="s">
        <v>535</v>
      </c>
      <c r="D317" t="s">
        <v>536</v>
      </c>
      <c r="E317">
        <v>52</v>
      </c>
      <c r="F317" t="s">
        <v>535</v>
      </c>
      <c r="G317">
        <v>68</v>
      </c>
      <c r="H317">
        <v>0.86599999999999999</v>
      </c>
      <c r="I317">
        <v>0.438</v>
      </c>
      <c r="J317">
        <v>-8.9429999999999996</v>
      </c>
      <c r="K317">
        <v>1</v>
      </c>
      <c r="L317">
        <v>7</v>
      </c>
      <c r="M317">
        <v>7.1900000000000006E-2</v>
      </c>
      <c r="N317">
        <v>0.17699999999999999</v>
      </c>
      <c r="O317">
        <v>0</v>
      </c>
      <c r="P317">
        <v>7.4300000000000005E-2</v>
      </c>
      <c r="Q317">
        <v>0.69499999999999995</v>
      </c>
      <c r="R317">
        <v>129.03899999999999</v>
      </c>
      <c r="S317">
        <v>4</v>
      </c>
      <c r="T317">
        <v>223258</v>
      </c>
      <c r="U317">
        <v>4</v>
      </c>
      <c r="V317">
        <v>223258</v>
      </c>
      <c r="W317">
        <v>4</v>
      </c>
      <c r="X317">
        <v>223258</v>
      </c>
      <c r="Y317" t="s">
        <v>17</v>
      </c>
      <c r="Z317" t="str">
        <f>LOOKUP(B317,{0,1083,124200,681950},{"1st","2nd","3rd","4th"})&amp;" Quartile"</f>
        <v>3rd Quartile</v>
      </c>
    </row>
    <row r="318" spans="1:26">
      <c r="A318">
        <v>2019</v>
      </c>
      <c r="B318">
        <v>394200</v>
      </c>
      <c r="C318" t="s">
        <v>535</v>
      </c>
      <c r="D318" t="s">
        <v>536</v>
      </c>
      <c r="E318">
        <v>52</v>
      </c>
      <c r="F318" t="s">
        <v>535</v>
      </c>
      <c r="G318">
        <v>0</v>
      </c>
      <c r="H318">
        <v>0.86599999999999999</v>
      </c>
      <c r="I318">
        <v>0.39900000000000002</v>
      </c>
      <c r="J318">
        <v>-10.938000000000001</v>
      </c>
      <c r="K318">
        <v>1</v>
      </c>
      <c r="L318">
        <v>7</v>
      </c>
      <c r="M318">
        <v>7.4499999999999997E-2</v>
      </c>
      <c r="N318">
        <v>0.11700000000000001</v>
      </c>
      <c r="O318">
        <v>0</v>
      </c>
      <c r="P318">
        <v>6.8900000000000003E-2</v>
      </c>
      <c r="Q318">
        <v>0.71299999999999997</v>
      </c>
      <c r="R318">
        <v>129.047</v>
      </c>
      <c r="S318">
        <v>4</v>
      </c>
      <c r="T318">
        <v>223256</v>
      </c>
      <c r="U318">
        <v>4</v>
      </c>
      <c r="V318">
        <v>223256</v>
      </c>
      <c r="W318">
        <v>4</v>
      </c>
      <c r="X318">
        <v>223256</v>
      </c>
      <c r="Y318" t="s">
        <v>17</v>
      </c>
      <c r="Z318" t="str">
        <f>LOOKUP(B318,{0,1083,124200,681950},{"1st","2nd","3rd","4th"})&amp;" Quartile"</f>
        <v>3rd Quartile</v>
      </c>
    </row>
    <row r="319" spans="1:26">
      <c r="A319">
        <v>2019</v>
      </c>
      <c r="B319">
        <v>391800</v>
      </c>
      <c r="C319" t="s">
        <v>485</v>
      </c>
      <c r="D319" t="s">
        <v>484</v>
      </c>
      <c r="E319">
        <v>37</v>
      </c>
      <c r="F319" t="s">
        <v>483</v>
      </c>
      <c r="G319">
        <v>44</v>
      </c>
      <c r="H319">
        <v>0.89500000000000002</v>
      </c>
      <c r="I319">
        <v>0.39400000000000002</v>
      </c>
      <c r="J319">
        <v>-8.8000000000000007</v>
      </c>
      <c r="K319">
        <v>1</v>
      </c>
      <c r="L319">
        <v>1</v>
      </c>
      <c r="M319">
        <v>0.40699999999999997</v>
      </c>
      <c r="N319">
        <v>6.8599999999999998E-4</v>
      </c>
      <c r="O319">
        <v>0</v>
      </c>
      <c r="P319">
        <v>0.23899999999999999</v>
      </c>
      <c r="Q319">
        <v>0.49099999999999999</v>
      </c>
      <c r="R319">
        <v>141.00800000000001</v>
      </c>
      <c r="S319">
        <v>4</v>
      </c>
      <c r="T319">
        <v>206733</v>
      </c>
      <c r="U319">
        <v>4</v>
      </c>
      <c r="V319">
        <v>206733</v>
      </c>
      <c r="W319">
        <v>4</v>
      </c>
      <c r="X319">
        <v>206733</v>
      </c>
      <c r="Y319" t="s">
        <v>17</v>
      </c>
      <c r="Z319" t="str">
        <f>LOOKUP(B319,{0,1083,124200,681950},{"1st","2nd","3rd","4th"})&amp;" Quartile"</f>
        <v>3rd Quartile</v>
      </c>
    </row>
    <row r="320" spans="1:26">
      <c r="A320">
        <v>2020</v>
      </c>
      <c r="B320">
        <v>389200</v>
      </c>
      <c r="C320" t="s">
        <v>651</v>
      </c>
      <c r="D320" t="s">
        <v>652</v>
      </c>
      <c r="E320">
        <v>45</v>
      </c>
      <c r="F320" t="s">
        <v>651</v>
      </c>
      <c r="G320">
        <v>45</v>
      </c>
      <c r="H320">
        <v>0.74199999999999999</v>
      </c>
      <c r="I320">
        <v>0.72699999999999998</v>
      </c>
      <c r="J320">
        <v>-6.9139999999999997</v>
      </c>
      <c r="K320">
        <v>1</v>
      </c>
      <c r="L320">
        <v>1</v>
      </c>
      <c r="M320">
        <v>0.48699999999999999</v>
      </c>
      <c r="N320">
        <v>1.3599999999999999E-2</v>
      </c>
      <c r="O320">
        <v>0</v>
      </c>
      <c r="P320">
        <v>0.25900000000000001</v>
      </c>
      <c r="Q320">
        <v>0.77400000000000002</v>
      </c>
      <c r="R320">
        <v>178.40100000000001</v>
      </c>
      <c r="S320">
        <v>4</v>
      </c>
      <c r="T320">
        <v>110253</v>
      </c>
      <c r="U320">
        <v>4</v>
      </c>
      <c r="V320">
        <v>110253</v>
      </c>
      <c r="W320">
        <v>4</v>
      </c>
      <c r="X320">
        <v>110253</v>
      </c>
      <c r="Y320" t="s">
        <v>17</v>
      </c>
      <c r="Z320" t="str">
        <f>LOOKUP(B320,{0,1083,124200,681950},{"1st","2nd","3rd","4th"})&amp;" Quartile"</f>
        <v>3rd Quartile</v>
      </c>
    </row>
    <row r="321" spans="1:26">
      <c r="A321">
        <v>2019</v>
      </c>
      <c r="B321">
        <v>385600</v>
      </c>
      <c r="C321" t="s">
        <v>399</v>
      </c>
      <c r="D321" t="s">
        <v>398</v>
      </c>
      <c r="E321">
        <v>77</v>
      </c>
      <c r="F321" t="s">
        <v>397</v>
      </c>
      <c r="G321">
        <v>78</v>
      </c>
      <c r="H321">
        <v>0.745</v>
      </c>
      <c r="I321">
        <v>0.64200000000000002</v>
      </c>
      <c r="J321">
        <v>-6.2569999999999997</v>
      </c>
      <c r="K321">
        <v>0</v>
      </c>
      <c r="L321">
        <v>7</v>
      </c>
      <c r="M321">
        <v>0.28699999999999998</v>
      </c>
      <c r="N321">
        <v>2.0400000000000001E-2</v>
      </c>
      <c r="O321">
        <v>0</v>
      </c>
      <c r="P321">
        <v>6.5799999999999997E-2</v>
      </c>
      <c r="Q321">
        <v>0.22600000000000001</v>
      </c>
      <c r="R321">
        <v>179.97399999999999</v>
      </c>
      <c r="S321">
        <v>4</v>
      </c>
      <c r="T321">
        <v>131240</v>
      </c>
      <c r="U321">
        <v>4</v>
      </c>
      <c r="V321">
        <v>131240</v>
      </c>
      <c r="W321">
        <v>4</v>
      </c>
      <c r="X321">
        <v>131240</v>
      </c>
      <c r="Y321" t="s">
        <v>17</v>
      </c>
      <c r="Z321" t="str">
        <f>LOOKUP(B321,{0,1083,124200,681950},{"1st","2nd","3rd","4th"})&amp;" Quartile"</f>
        <v>3rd Quartile</v>
      </c>
    </row>
    <row r="322" spans="1:26">
      <c r="A322">
        <v>2019</v>
      </c>
      <c r="B322">
        <v>382100</v>
      </c>
      <c r="C322" t="s">
        <v>455</v>
      </c>
      <c r="D322" t="s">
        <v>47</v>
      </c>
      <c r="E322">
        <v>31</v>
      </c>
      <c r="F322" t="s">
        <v>455</v>
      </c>
      <c r="G322">
        <v>35</v>
      </c>
      <c r="H322">
        <v>0.92500000000000004</v>
      </c>
      <c r="I322">
        <v>0.33700000000000002</v>
      </c>
      <c r="J322">
        <v>-13.445</v>
      </c>
      <c r="K322">
        <v>1</v>
      </c>
      <c r="L322">
        <v>1</v>
      </c>
      <c r="M322">
        <v>0.41</v>
      </c>
      <c r="N322">
        <v>1.35E-2</v>
      </c>
      <c r="O322">
        <v>0</v>
      </c>
      <c r="P322">
        <v>6.5000000000000002E-2</v>
      </c>
      <c r="Q322">
        <v>0.52900000000000003</v>
      </c>
      <c r="R322">
        <v>91.477999999999994</v>
      </c>
      <c r="S322">
        <v>4</v>
      </c>
      <c r="T322">
        <v>124613</v>
      </c>
      <c r="U322">
        <v>4</v>
      </c>
      <c r="V322">
        <v>124613</v>
      </c>
      <c r="W322">
        <v>4</v>
      </c>
      <c r="X322">
        <v>124613</v>
      </c>
      <c r="Y322" t="s">
        <v>17</v>
      </c>
      <c r="Z322" t="str">
        <f>LOOKUP(B322,{0,1083,124200,681950},{"1st","2nd","3rd","4th"})&amp;" Quartile"</f>
        <v>3rd Quartile</v>
      </c>
    </row>
    <row r="323" spans="1:26">
      <c r="A323">
        <v>2020</v>
      </c>
      <c r="B323">
        <v>381500</v>
      </c>
      <c r="C323" t="s">
        <v>706</v>
      </c>
      <c r="D323" t="s">
        <v>558</v>
      </c>
      <c r="E323">
        <v>67</v>
      </c>
      <c r="F323" t="s">
        <v>705</v>
      </c>
      <c r="G323">
        <v>61</v>
      </c>
      <c r="H323">
        <v>0.89600000000000002</v>
      </c>
      <c r="I323">
        <v>0.78</v>
      </c>
      <c r="J323">
        <v>-3.5470000000000002</v>
      </c>
      <c r="K323">
        <v>1</v>
      </c>
      <c r="L323">
        <v>1</v>
      </c>
      <c r="M323">
        <v>0.20200000000000001</v>
      </c>
      <c r="N323">
        <v>8.2799999999999999E-2</v>
      </c>
      <c r="O323">
        <v>0</v>
      </c>
      <c r="P323">
        <v>8.5699999999999998E-2</v>
      </c>
      <c r="Q323">
        <v>0.85</v>
      </c>
      <c r="R323">
        <v>106.032</v>
      </c>
      <c r="S323">
        <v>4</v>
      </c>
      <c r="T323">
        <v>163019</v>
      </c>
      <c r="U323">
        <v>4</v>
      </c>
      <c r="V323">
        <v>163019</v>
      </c>
      <c r="W323">
        <v>4</v>
      </c>
      <c r="X323">
        <v>163019</v>
      </c>
      <c r="Y323" t="s">
        <v>17</v>
      </c>
      <c r="Z323" t="str">
        <f>LOOKUP(B323,{0,1083,124200,681950},{"1st","2nd","3rd","4th"})&amp;" Quartile"</f>
        <v>3rd Quartile</v>
      </c>
    </row>
    <row r="324" spans="1:26">
      <c r="A324">
        <v>2019</v>
      </c>
      <c r="B324">
        <v>379400</v>
      </c>
      <c r="C324" t="s">
        <v>143</v>
      </c>
      <c r="D324" t="s">
        <v>142</v>
      </c>
      <c r="E324">
        <v>50</v>
      </c>
      <c r="F324" t="s">
        <v>141</v>
      </c>
      <c r="G324">
        <v>0</v>
      </c>
      <c r="H324">
        <v>0.66500000000000004</v>
      </c>
      <c r="I324">
        <v>0.373</v>
      </c>
      <c r="J324">
        <v>-10.631</v>
      </c>
      <c r="K324">
        <v>1</v>
      </c>
      <c r="L324">
        <v>7</v>
      </c>
      <c r="M324">
        <v>0.158</v>
      </c>
      <c r="N324">
        <v>0.85199999999999998</v>
      </c>
      <c r="O324">
        <v>0.11799999999999999</v>
      </c>
      <c r="P324">
        <v>0.108</v>
      </c>
      <c r="Q324">
        <v>7.0000000000000007E-2</v>
      </c>
      <c r="R324">
        <v>119.905</v>
      </c>
      <c r="S324">
        <v>4</v>
      </c>
      <c r="T324">
        <v>164113</v>
      </c>
      <c r="U324">
        <v>4</v>
      </c>
      <c r="V324">
        <v>164113</v>
      </c>
      <c r="W324">
        <v>4</v>
      </c>
      <c r="X324">
        <v>164113</v>
      </c>
      <c r="Y324" t="s">
        <v>17</v>
      </c>
      <c r="Z324" t="str">
        <f>LOOKUP(B324,{0,1083,124200,681950},{"1st","2nd","3rd","4th"})&amp;" Quartile"</f>
        <v>3rd Quartile</v>
      </c>
    </row>
    <row r="325" spans="1:26">
      <c r="A325">
        <v>2021</v>
      </c>
      <c r="B325">
        <v>378900</v>
      </c>
      <c r="C325" t="s">
        <v>1251</v>
      </c>
      <c r="D325" t="s">
        <v>1250</v>
      </c>
      <c r="E325">
        <v>76</v>
      </c>
      <c r="F325" t="s">
        <v>1249</v>
      </c>
      <c r="G325">
        <v>5</v>
      </c>
      <c r="H325">
        <v>0.59399999999999997</v>
      </c>
      <c r="I325">
        <v>0.61199999999999999</v>
      </c>
      <c r="J325">
        <v>-6.6269999999999998</v>
      </c>
      <c r="K325">
        <v>0</v>
      </c>
      <c r="L325">
        <v>8</v>
      </c>
      <c r="M325">
        <v>0.36299999999999999</v>
      </c>
      <c r="N325">
        <v>0.83499999999999996</v>
      </c>
      <c r="O325">
        <v>0</v>
      </c>
      <c r="P325">
        <v>0.46100000000000002</v>
      </c>
      <c r="Q325">
        <v>0.68700000000000006</v>
      </c>
      <c r="R325">
        <v>179.62899999999999</v>
      </c>
      <c r="S325">
        <v>4</v>
      </c>
      <c r="T325">
        <v>168020</v>
      </c>
      <c r="U325">
        <v>4</v>
      </c>
      <c r="V325">
        <v>168020</v>
      </c>
      <c r="W325">
        <v>4</v>
      </c>
      <c r="X325">
        <v>168020</v>
      </c>
      <c r="Y325" t="s">
        <v>17</v>
      </c>
      <c r="Z325" t="str">
        <f>LOOKUP(B325,{0,1083,124200,681950},{"1st","2nd","3rd","4th"})&amp;" Quartile"</f>
        <v>3rd Quartile</v>
      </c>
    </row>
    <row r="326" spans="1:26">
      <c r="A326">
        <v>2020</v>
      </c>
      <c r="B326">
        <v>374000</v>
      </c>
      <c r="C326" t="s">
        <v>81</v>
      </c>
      <c r="D326" t="s">
        <v>80</v>
      </c>
      <c r="E326">
        <v>29</v>
      </c>
      <c r="F326" t="s">
        <v>81</v>
      </c>
      <c r="G326">
        <v>41</v>
      </c>
      <c r="H326">
        <v>0.89100000000000001</v>
      </c>
      <c r="I326">
        <v>0.53800000000000003</v>
      </c>
      <c r="J326">
        <v>-6.7240000000000002</v>
      </c>
      <c r="K326">
        <v>1</v>
      </c>
      <c r="L326">
        <v>2</v>
      </c>
      <c r="M326">
        <v>0.39400000000000002</v>
      </c>
      <c r="N326">
        <v>0.123</v>
      </c>
      <c r="O326">
        <v>0</v>
      </c>
      <c r="P326">
        <v>8.48E-2</v>
      </c>
      <c r="Q326">
        <v>0.64300000000000002</v>
      </c>
      <c r="R326">
        <v>80.031999999999996</v>
      </c>
      <c r="S326">
        <v>4</v>
      </c>
      <c r="T326">
        <v>107404</v>
      </c>
      <c r="U326">
        <v>4</v>
      </c>
      <c r="V326">
        <v>107404</v>
      </c>
      <c r="W326">
        <v>4</v>
      </c>
      <c r="X326">
        <v>107404</v>
      </c>
      <c r="Y326" t="s">
        <v>17</v>
      </c>
      <c r="Z326" t="str">
        <f>LOOKUP(B326,{0,1083,124200,681950},{"1st","2nd","3rd","4th"})&amp;" Quartile"</f>
        <v>3rd Quartile</v>
      </c>
    </row>
    <row r="327" spans="1:26">
      <c r="A327">
        <v>2019</v>
      </c>
      <c r="B327">
        <v>373500</v>
      </c>
      <c r="C327" t="s">
        <v>137</v>
      </c>
      <c r="D327" t="s">
        <v>138</v>
      </c>
      <c r="E327">
        <v>25</v>
      </c>
      <c r="F327" t="s">
        <v>137</v>
      </c>
      <c r="G327">
        <v>38</v>
      </c>
      <c r="H327">
        <v>0.82199999999999995</v>
      </c>
      <c r="I327">
        <v>0.40799999999999997</v>
      </c>
      <c r="J327">
        <v>-16.616</v>
      </c>
      <c r="K327">
        <v>1</v>
      </c>
      <c r="L327">
        <v>2</v>
      </c>
      <c r="M327">
        <v>0.20599999999999999</v>
      </c>
      <c r="N327">
        <v>0.373</v>
      </c>
      <c r="O327">
        <v>6.8500000000000005E-2</v>
      </c>
      <c r="P327">
        <v>0.11799999999999999</v>
      </c>
      <c r="Q327">
        <v>0.84799999999999998</v>
      </c>
      <c r="R327">
        <v>160.07400000000001</v>
      </c>
      <c r="S327">
        <v>4</v>
      </c>
      <c r="T327">
        <v>87000</v>
      </c>
      <c r="U327">
        <v>4</v>
      </c>
      <c r="V327">
        <v>87000</v>
      </c>
      <c r="W327">
        <v>4</v>
      </c>
      <c r="X327">
        <v>87000</v>
      </c>
      <c r="Y327" t="s">
        <v>17</v>
      </c>
      <c r="Z327" t="str">
        <f>LOOKUP(B327,{0,1083,124200,681950},{"1st","2nd","3rd","4th"})&amp;" Quartile"</f>
        <v>3rd Quartile</v>
      </c>
    </row>
    <row r="328" spans="1:26">
      <c r="A328">
        <v>2019</v>
      </c>
      <c r="B328">
        <v>373400</v>
      </c>
      <c r="C328" t="s">
        <v>81</v>
      </c>
      <c r="D328" t="s">
        <v>80</v>
      </c>
      <c r="E328">
        <v>29</v>
      </c>
      <c r="F328" t="s">
        <v>79</v>
      </c>
      <c r="G328">
        <v>42</v>
      </c>
      <c r="H328">
        <v>0.89100000000000001</v>
      </c>
      <c r="I328">
        <v>0.53800000000000003</v>
      </c>
      <c r="J328">
        <v>-6.7240000000000002</v>
      </c>
      <c r="K328">
        <v>1</v>
      </c>
      <c r="L328">
        <v>2</v>
      </c>
      <c r="M328">
        <v>0.39400000000000002</v>
      </c>
      <c r="N328">
        <v>0.123</v>
      </c>
      <c r="O328">
        <v>0</v>
      </c>
      <c r="P328">
        <v>8.48E-2</v>
      </c>
      <c r="Q328">
        <v>0.64300000000000002</v>
      </c>
      <c r="R328">
        <v>80.031999999999996</v>
      </c>
      <c r="S328">
        <v>4</v>
      </c>
      <c r="T328">
        <v>107404</v>
      </c>
      <c r="U328">
        <v>4</v>
      </c>
      <c r="V328">
        <v>107404</v>
      </c>
      <c r="W328">
        <v>4</v>
      </c>
      <c r="X328">
        <v>107404</v>
      </c>
      <c r="Y328" t="s">
        <v>17</v>
      </c>
      <c r="Z328" t="str">
        <f>LOOKUP(B328,{0,1083,124200,681950},{"1st","2nd","3rd","4th"})&amp;" Quartile"</f>
        <v>3rd Quartile</v>
      </c>
    </row>
    <row r="329" spans="1:26">
      <c r="A329">
        <v>2019</v>
      </c>
      <c r="B329">
        <v>373000</v>
      </c>
      <c r="C329" t="s">
        <v>422</v>
      </c>
      <c r="D329" t="s">
        <v>421</v>
      </c>
      <c r="E329">
        <v>82</v>
      </c>
      <c r="F329" t="s">
        <v>420</v>
      </c>
      <c r="G329">
        <v>67</v>
      </c>
      <c r="H329">
        <v>0.92100000000000004</v>
      </c>
      <c r="I329">
        <v>0.63500000000000001</v>
      </c>
      <c r="J329">
        <v>-4.9039999999999999</v>
      </c>
      <c r="K329">
        <v>1</v>
      </c>
      <c r="L329">
        <v>1</v>
      </c>
      <c r="M329">
        <v>0.41599999999999998</v>
      </c>
      <c r="N329">
        <v>2.18E-2</v>
      </c>
      <c r="O329">
        <v>0</v>
      </c>
      <c r="P329">
        <v>9.4600000000000004E-2</v>
      </c>
      <c r="Q329">
        <v>0.54900000000000004</v>
      </c>
      <c r="R329">
        <v>130.02799999999999</v>
      </c>
      <c r="S329">
        <v>4</v>
      </c>
      <c r="T329">
        <v>192540</v>
      </c>
      <c r="U329">
        <v>4</v>
      </c>
      <c r="V329">
        <v>192540</v>
      </c>
      <c r="W329">
        <v>4</v>
      </c>
      <c r="X329">
        <v>192540</v>
      </c>
      <c r="Y329" t="s">
        <v>17</v>
      </c>
      <c r="Z329" t="str">
        <f>LOOKUP(B329,{0,1083,124200,681950},{"1st","2nd","3rd","4th"})&amp;" Quartile"</f>
        <v>3rd Quartile</v>
      </c>
    </row>
    <row r="330" spans="1:26">
      <c r="A330">
        <v>2020</v>
      </c>
      <c r="B330">
        <v>364100</v>
      </c>
      <c r="C330" t="s">
        <v>460</v>
      </c>
      <c r="D330" t="s">
        <v>459</v>
      </c>
      <c r="E330">
        <v>56</v>
      </c>
      <c r="F330" t="s">
        <v>458</v>
      </c>
      <c r="G330">
        <v>68</v>
      </c>
      <c r="H330">
        <v>0.68799999999999994</v>
      </c>
      <c r="I330">
        <v>0.58199999999999996</v>
      </c>
      <c r="J330">
        <v>-10.667999999999999</v>
      </c>
      <c r="K330">
        <v>0</v>
      </c>
      <c r="L330">
        <v>6</v>
      </c>
      <c r="M330">
        <v>5.4199999999999998E-2</v>
      </c>
      <c r="N330">
        <v>0.23</v>
      </c>
      <c r="O330">
        <v>1.5699999999999999E-4</v>
      </c>
      <c r="P330">
        <v>6.6299999999999998E-2</v>
      </c>
      <c r="Q330">
        <v>0.872</v>
      </c>
      <c r="R330">
        <v>85.486000000000004</v>
      </c>
      <c r="S330">
        <v>4</v>
      </c>
      <c r="T330">
        <v>224661</v>
      </c>
      <c r="U330">
        <v>4</v>
      </c>
      <c r="V330">
        <v>224661</v>
      </c>
      <c r="W330">
        <v>4</v>
      </c>
      <c r="X330">
        <v>224661</v>
      </c>
      <c r="Y330" t="s">
        <v>17</v>
      </c>
      <c r="Z330" t="str">
        <f>LOOKUP(B330,{0,1083,124200,681950},{"1st","2nd","3rd","4th"})&amp;" Quartile"</f>
        <v>3rd Quartile</v>
      </c>
    </row>
    <row r="331" spans="1:26">
      <c r="A331">
        <v>2019</v>
      </c>
      <c r="B331">
        <v>364000</v>
      </c>
      <c r="C331" t="s">
        <v>460</v>
      </c>
      <c r="D331" t="s">
        <v>459</v>
      </c>
      <c r="E331">
        <v>56</v>
      </c>
      <c r="F331" t="s">
        <v>458</v>
      </c>
      <c r="G331">
        <v>68</v>
      </c>
      <c r="H331">
        <v>0.68799999999999994</v>
      </c>
      <c r="I331">
        <v>0.58199999999999996</v>
      </c>
      <c r="J331">
        <v>-10.667999999999999</v>
      </c>
      <c r="K331">
        <v>0</v>
      </c>
      <c r="L331">
        <v>6</v>
      </c>
      <c r="M331">
        <v>5.4199999999999998E-2</v>
      </c>
      <c r="N331">
        <v>0.23</v>
      </c>
      <c r="O331">
        <v>1.5699999999999999E-4</v>
      </c>
      <c r="P331">
        <v>6.6299999999999998E-2</v>
      </c>
      <c r="Q331">
        <v>0.872</v>
      </c>
      <c r="R331">
        <v>85.486000000000004</v>
      </c>
      <c r="S331">
        <v>4</v>
      </c>
      <c r="T331">
        <v>224661</v>
      </c>
      <c r="U331">
        <v>4</v>
      </c>
      <c r="V331">
        <v>224661</v>
      </c>
      <c r="W331">
        <v>4</v>
      </c>
      <c r="X331">
        <v>224661</v>
      </c>
      <c r="Y331" t="s">
        <v>17</v>
      </c>
      <c r="Z331" t="str">
        <f>LOOKUP(B331,{0,1083,124200,681950},{"1st","2nd","3rd","4th"})&amp;" Quartile"</f>
        <v>3rd Quartile</v>
      </c>
    </row>
    <row r="332" spans="1:26">
      <c r="A332">
        <v>2022</v>
      </c>
      <c r="B332">
        <v>361200</v>
      </c>
      <c r="C332" t="s">
        <v>1160</v>
      </c>
      <c r="D332" t="s">
        <v>1161</v>
      </c>
      <c r="E332">
        <v>75</v>
      </c>
      <c r="F332" t="s">
        <v>1160</v>
      </c>
      <c r="G332">
        <v>91</v>
      </c>
      <c r="H332">
        <v>0.41</v>
      </c>
      <c r="I332">
        <v>0.61099999999999999</v>
      </c>
      <c r="J332">
        <v>-8.2710000000000008</v>
      </c>
      <c r="K332">
        <v>0</v>
      </c>
      <c r="L332">
        <v>4</v>
      </c>
      <c r="M332">
        <v>4.6699999999999998E-2</v>
      </c>
      <c r="N332">
        <v>2.2800000000000001E-2</v>
      </c>
      <c r="O332">
        <v>0</v>
      </c>
      <c r="P332">
        <v>0.11600000000000001</v>
      </c>
      <c r="Q332">
        <v>8.9899999999999994E-2</v>
      </c>
      <c r="R332">
        <v>185.727</v>
      </c>
      <c r="S332">
        <v>3</v>
      </c>
      <c r="T332">
        <v>184448</v>
      </c>
      <c r="U332">
        <v>3</v>
      </c>
      <c r="V332">
        <v>184448</v>
      </c>
      <c r="W332">
        <v>3</v>
      </c>
      <c r="X332">
        <v>184448</v>
      </c>
      <c r="Y332" t="s">
        <v>17</v>
      </c>
      <c r="Z332" t="str">
        <f>LOOKUP(B332,{0,1083,124200,681950},{"1st","2nd","3rd","4th"})&amp;" Quartile"</f>
        <v>3rd Quartile</v>
      </c>
    </row>
    <row r="333" spans="1:26">
      <c r="A333">
        <v>2021</v>
      </c>
      <c r="B333">
        <v>361200</v>
      </c>
      <c r="C333" t="s">
        <v>1160</v>
      </c>
      <c r="D333" t="s">
        <v>1161</v>
      </c>
      <c r="E333">
        <v>75</v>
      </c>
      <c r="F333" t="s">
        <v>1160</v>
      </c>
      <c r="G333">
        <v>91</v>
      </c>
      <c r="H333">
        <v>0.41</v>
      </c>
      <c r="I333">
        <v>0.61099999999999999</v>
      </c>
      <c r="J333">
        <v>-8.2710000000000008</v>
      </c>
      <c r="K333">
        <v>0</v>
      </c>
      <c r="L333">
        <v>4</v>
      </c>
      <c r="M333">
        <v>4.6699999999999998E-2</v>
      </c>
      <c r="N333">
        <v>2.2800000000000001E-2</v>
      </c>
      <c r="O333">
        <v>0</v>
      </c>
      <c r="P333">
        <v>0.11600000000000001</v>
      </c>
      <c r="Q333">
        <v>8.9899999999999994E-2</v>
      </c>
      <c r="R333">
        <v>185.727</v>
      </c>
      <c r="S333">
        <v>3</v>
      </c>
      <c r="T333">
        <v>184448</v>
      </c>
      <c r="U333">
        <v>3</v>
      </c>
      <c r="V333">
        <v>184448</v>
      </c>
      <c r="W333">
        <v>3</v>
      </c>
      <c r="X333">
        <v>184448</v>
      </c>
      <c r="Y333" t="s">
        <v>17</v>
      </c>
      <c r="Z333" t="str">
        <f>LOOKUP(B333,{0,1083,124200,681950},{"1st","2nd","3rd","4th"})&amp;" Quartile"</f>
        <v>3rd Quartile</v>
      </c>
    </row>
    <row r="334" spans="1:26">
      <c r="A334">
        <v>2022</v>
      </c>
      <c r="B334">
        <v>360400</v>
      </c>
      <c r="C334" t="s">
        <v>1307</v>
      </c>
      <c r="D334" t="s">
        <v>286</v>
      </c>
      <c r="E334">
        <v>79</v>
      </c>
      <c r="F334" t="s">
        <v>1307</v>
      </c>
      <c r="G334">
        <v>15</v>
      </c>
      <c r="H334">
        <v>0.90700000000000003</v>
      </c>
      <c r="I334">
        <v>0.39300000000000002</v>
      </c>
      <c r="J334">
        <v>-7.6360000000000001</v>
      </c>
      <c r="K334">
        <v>0</v>
      </c>
      <c r="L334">
        <v>4</v>
      </c>
      <c r="M334">
        <v>5.3900000000000003E-2</v>
      </c>
      <c r="N334">
        <v>0.45100000000000001</v>
      </c>
      <c r="O334">
        <v>1.35E-6</v>
      </c>
      <c r="P334">
        <v>0.13500000000000001</v>
      </c>
      <c r="Q334">
        <v>0.20200000000000001</v>
      </c>
      <c r="R334">
        <v>104.949</v>
      </c>
      <c r="S334">
        <v>4</v>
      </c>
      <c r="T334">
        <v>205458</v>
      </c>
      <c r="U334">
        <v>4</v>
      </c>
      <c r="V334">
        <v>205458</v>
      </c>
      <c r="W334">
        <v>4</v>
      </c>
      <c r="X334">
        <v>205458</v>
      </c>
      <c r="Y334" t="s">
        <v>17</v>
      </c>
      <c r="Z334" t="str">
        <f>LOOKUP(B334,{0,1083,124200,681950},{"1st","2nd","3rd","4th"})&amp;" Quartile"</f>
        <v>3rd Quartile</v>
      </c>
    </row>
    <row r="335" spans="1:26">
      <c r="A335">
        <v>2021</v>
      </c>
      <c r="B335">
        <v>360400</v>
      </c>
      <c r="C335" t="s">
        <v>1307</v>
      </c>
      <c r="D335" t="s">
        <v>286</v>
      </c>
      <c r="E335">
        <v>79</v>
      </c>
      <c r="F335" t="s">
        <v>1306</v>
      </c>
      <c r="G335">
        <v>80</v>
      </c>
      <c r="H335">
        <v>0.90700000000000003</v>
      </c>
      <c r="I335">
        <v>0.39300000000000002</v>
      </c>
      <c r="J335">
        <v>-7.6360000000000001</v>
      </c>
      <c r="K335">
        <v>0</v>
      </c>
      <c r="L335">
        <v>4</v>
      </c>
      <c r="M335">
        <v>5.3900000000000003E-2</v>
      </c>
      <c r="N335">
        <v>0.45100000000000001</v>
      </c>
      <c r="O335">
        <v>1.35E-6</v>
      </c>
      <c r="P335">
        <v>0.13500000000000001</v>
      </c>
      <c r="Q335">
        <v>0.20200000000000001</v>
      </c>
      <c r="R335">
        <v>104.949</v>
      </c>
      <c r="S335">
        <v>4</v>
      </c>
      <c r="T335">
        <v>205458</v>
      </c>
      <c r="U335">
        <v>4</v>
      </c>
      <c r="V335">
        <v>205458</v>
      </c>
      <c r="W335">
        <v>4</v>
      </c>
      <c r="X335">
        <v>205458</v>
      </c>
      <c r="Y335" t="s">
        <v>17</v>
      </c>
      <c r="Z335" t="str">
        <f>LOOKUP(B335,{0,1083,124200,681950},{"1st","2nd","3rd","4th"})&amp;" Quartile"</f>
        <v>3rd Quartile</v>
      </c>
    </row>
    <row r="336" spans="1:26">
      <c r="A336">
        <v>2019</v>
      </c>
      <c r="B336">
        <v>357100</v>
      </c>
      <c r="C336" t="s">
        <v>369</v>
      </c>
      <c r="D336" t="s">
        <v>370</v>
      </c>
      <c r="E336">
        <v>90</v>
      </c>
      <c r="F336" t="s">
        <v>369</v>
      </c>
      <c r="G336">
        <v>78</v>
      </c>
      <c r="H336">
        <v>0.79800000000000004</v>
      </c>
      <c r="I336">
        <v>0.67500000000000004</v>
      </c>
      <c r="J336">
        <v>-5.0410000000000004</v>
      </c>
      <c r="K336">
        <v>1</v>
      </c>
      <c r="L336">
        <v>6</v>
      </c>
      <c r="M336">
        <v>4.4200000000000003E-2</v>
      </c>
      <c r="N336">
        <v>9.1200000000000003E-2</v>
      </c>
      <c r="O336">
        <v>0</v>
      </c>
      <c r="P336">
        <v>8.9399999999999993E-2</v>
      </c>
      <c r="Q336">
        <v>0.84199999999999997</v>
      </c>
      <c r="R336">
        <v>101.956</v>
      </c>
      <c r="S336">
        <v>4</v>
      </c>
      <c r="T336">
        <v>219947</v>
      </c>
      <c r="U336">
        <v>4</v>
      </c>
      <c r="V336">
        <v>219947</v>
      </c>
      <c r="W336">
        <v>4</v>
      </c>
      <c r="X336">
        <v>219947</v>
      </c>
      <c r="Y336" t="s">
        <v>17</v>
      </c>
      <c r="Z336" t="str">
        <f>LOOKUP(B336,{0,1083,124200,681950},{"1st","2nd","3rd","4th"})&amp;" Quartile"</f>
        <v>3rd Quartile</v>
      </c>
    </row>
    <row r="337" spans="1:26">
      <c r="A337">
        <v>2021</v>
      </c>
      <c r="B337">
        <v>356900</v>
      </c>
      <c r="C337" t="s">
        <v>1513</v>
      </c>
      <c r="D337" t="s">
        <v>981</v>
      </c>
      <c r="E337">
        <v>80</v>
      </c>
      <c r="F337" t="s">
        <v>1513</v>
      </c>
      <c r="G337">
        <v>79</v>
      </c>
      <c r="H337">
        <v>0.78900000000000003</v>
      </c>
      <c r="I337">
        <v>0.71099999999999997</v>
      </c>
      <c r="J337">
        <v>-4.2480000000000002</v>
      </c>
      <c r="K337">
        <v>1</v>
      </c>
      <c r="L337">
        <v>2</v>
      </c>
      <c r="M337">
        <v>4.1000000000000002E-2</v>
      </c>
      <c r="N337">
        <v>3.32E-2</v>
      </c>
      <c r="O337">
        <v>0</v>
      </c>
      <c r="P337">
        <v>8.7599999999999997E-2</v>
      </c>
      <c r="Q337">
        <v>0.753</v>
      </c>
      <c r="R337">
        <v>112.985</v>
      </c>
      <c r="S337">
        <v>4</v>
      </c>
      <c r="T337">
        <v>190306</v>
      </c>
      <c r="U337">
        <v>4</v>
      </c>
      <c r="V337">
        <v>190306</v>
      </c>
      <c r="W337">
        <v>4</v>
      </c>
      <c r="X337">
        <v>190306</v>
      </c>
      <c r="Y337" t="s">
        <v>17</v>
      </c>
      <c r="Z337" t="str">
        <f>LOOKUP(B337,{0,1083,124200,681950},{"1st","2nd","3rd","4th"})&amp;" Quartile"</f>
        <v>3rd Quartile</v>
      </c>
    </row>
    <row r="338" spans="1:26">
      <c r="A338">
        <v>2022</v>
      </c>
      <c r="B338">
        <v>355500</v>
      </c>
      <c r="C338" t="s">
        <v>1547</v>
      </c>
      <c r="D338" t="s">
        <v>815</v>
      </c>
      <c r="E338">
        <v>93</v>
      </c>
      <c r="F338" t="s">
        <v>814</v>
      </c>
      <c r="G338">
        <v>79</v>
      </c>
      <c r="H338">
        <v>0.66700000000000004</v>
      </c>
      <c r="I338">
        <v>0.71899999999999997</v>
      </c>
      <c r="J338">
        <v>-5.3710000000000004</v>
      </c>
      <c r="K338">
        <v>0</v>
      </c>
      <c r="L338">
        <v>7</v>
      </c>
      <c r="M338">
        <v>3.4599999999999999E-2</v>
      </c>
      <c r="N338">
        <v>2.8500000000000001E-3</v>
      </c>
      <c r="O338">
        <v>8.1000000000000004E-5</v>
      </c>
      <c r="P338">
        <v>7.3599999999999999E-2</v>
      </c>
      <c r="Q338">
        <v>0.71699999999999997</v>
      </c>
      <c r="R338">
        <v>100.021</v>
      </c>
      <c r="S338">
        <v>4</v>
      </c>
      <c r="T338">
        <v>237520</v>
      </c>
      <c r="U338">
        <v>4</v>
      </c>
      <c r="V338">
        <v>237520</v>
      </c>
      <c r="W338">
        <v>4</v>
      </c>
      <c r="X338">
        <v>237520</v>
      </c>
      <c r="Y338" t="s">
        <v>17</v>
      </c>
      <c r="Z338" t="str">
        <f>LOOKUP(B338,{0,1083,124200,681950},{"1st","2nd","3rd","4th"})&amp;" Quartile"</f>
        <v>3rd Quartile</v>
      </c>
    </row>
    <row r="339" spans="1:26">
      <c r="A339">
        <v>2021</v>
      </c>
      <c r="B339">
        <v>355300</v>
      </c>
      <c r="C339" t="s">
        <v>1270</v>
      </c>
      <c r="D339" t="s">
        <v>1238</v>
      </c>
      <c r="E339">
        <v>79</v>
      </c>
      <c r="F339" t="s">
        <v>1237</v>
      </c>
      <c r="G339">
        <v>80</v>
      </c>
      <c r="H339">
        <v>0.72</v>
      </c>
      <c r="I339">
        <v>0.70599999999999996</v>
      </c>
      <c r="J339">
        <v>-4.7190000000000003</v>
      </c>
      <c r="K339">
        <v>1</v>
      </c>
      <c r="L339">
        <v>1</v>
      </c>
      <c r="M339">
        <v>4.7300000000000002E-2</v>
      </c>
      <c r="N339">
        <v>6.8400000000000002E-2</v>
      </c>
      <c r="O339">
        <v>0</v>
      </c>
      <c r="P339">
        <v>0.16600000000000001</v>
      </c>
      <c r="Q339">
        <v>0.62</v>
      </c>
      <c r="R339">
        <v>133.00200000000001</v>
      </c>
      <c r="S339">
        <v>4</v>
      </c>
      <c r="T339">
        <v>187436</v>
      </c>
      <c r="U339">
        <v>4</v>
      </c>
      <c r="V339">
        <v>187436</v>
      </c>
      <c r="W339">
        <v>4</v>
      </c>
      <c r="X339">
        <v>187436</v>
      </c>
      <c r="Y339" t="s">
        <v>17</v>
      </c>
      <c r="Z339" t="str">
        <f>LOOKUP(B339,{0,1083,124200,681950},{"1st","2nd","3rd","4th"})&amp;" Quartile"</f>
        <v>3rd Quartile</v>
      </c>
    </row>
    <row r="340" spans="1:26">
      <c r="A340">
        <v>2020</v>
      </c>
      <c r="B340">
        <v>353900</v>
      </c>
      <c r="C340" t="s">
        <v>976</v>
      </c>
      <c r="D340" t="s">
        <v>779</v>
      </c>
      <c r="E340">
        <v>85</v>
      </c>
      <c r="F340" t="s">
        <v>975</v>
      </c>
      <c r="G340">
        <v>73</v>
      </c>
      <c r="H340">
        <v>0.77100000000000002</v>
      </c>
      <c r="I340">
        <v>0.65400000000000003</v>
      </c>
      <c r="J340">
        <v>-6.976</v>
      </c>
      <c r="K340">
        <v>0</v>
      </c>
      <c r="L340">
        <v>8</v>
      </c>
      <c r="M340">
        <v>0.29799999999999999</v>
      </c>
      <c r="N340">
        <v>5.5E-2</v>
      </c>
      <c r="O340">
        <v>0</v>
      </c>
      <c r="P340">
        <v>0.214</v>
      </c>
      <c r="Q340">
        <v>0.57299999999999995</v>
      </c>
      <c r="R340">
        <v>155.047</v>
      </c>
      <c r="S340">
        <v>4</v>
      </c>
      <c r="T340">
        <v>224955</v>
      </c>
      <c r="U340">
        <v>4</v>
      </c>
      <c r="V340">
        <v>224955</v>
      </c>
      <c r="W340">
        <v>4</v>
      </c>
      <c r="X340">
        <v>224955</v>
      </c>
      <c r="Y340" t="s">
        <v>17</v>
      </c>
      <c r="Z340" t="str">
        <f>LOOKUP(B340,{0,1083,124200,681950},{"1st","2nd","3rd","4th"})&amp;" Quartile"</f>
        <v>3rd Quartile</v>
      </c>
    </row>
    <row r="341" spans="1:26">
      <c r="A341">
        <v>2022</v>
      </c>
      <c r="B341">
        <v>352300</v>
      </c>
      <c r="C341" t="s">
        <v>1467</v>
      </c>
      <c r="D341" t="s">
        <v>1468</v>
      </c>
      <c r="E341">
        <v>65</v>
      </c>
      <c r="F341" t="s">
        <v>1467</v>
      </c>
      <c r="G341">
        <v>76</v>
      </c>
      <c r="H341">
        <v>0.85499999999999998</v>
      </c>
      <c r="I341">
        <v>0.46300000000000002</v>
      </c>
      <c r="J341">
        <v>-7.4539999999999997</v>
      </c>
      <c r="K341">
        <v>1</v>
      </c>
      <c r="L341">
        <v>3</v>
      </c>
      <c r="M341">
        <v>3.6700000000000003E-2</v>
      </c>
      <c r="N341">
        <v>0.217</v>
      </c>
      <c r="O341">
        <v>1.77E-5</v>
      </c>
      <c r="P341">
        <v>0.34699999999999998</v>
      </c>
      <c r="Q341">
        <v>0.86599999999999999</v>
      </c>
      <c r="R341">
        <v>102.931</v>
      </c>
      <c r="S341">
        <v>4</v>
      </c>
      <c r="T341">
        <v>122773</v>
      </c>
      <c r="U341">
        <v>4</v>
      </c>
      <c r="V341">
        <v>122773</v>
      </c>
      <c r="W341">
        <v>4</v>
      </c>
      <c r="X341">
        <v>122773</v>
      </c>
      <c r="Y341" t="s">
        <v>17</v>
      </c>
      <c r="Z341" t="str">
        <f>LOOKUP(B341,{0,1083,124200,681950},{"1st","2nd","3rd","4th"})&amp;" Quartile"</f>
        <v>3rd Quartile</v>
      </c>
    </row>
    <row r="342" spans="1:26">
      <c r="A342">
        <v>2021</v>
      </c>
      <c r="B342">
        <v>352300</v>
      </c>
      <c r="C342" t="s">
        <v>1467</v>
      </c>
      <c r="D342" t="s">
        <v>1468</v>
      </c>
      <c r="E342">
        <v>65</v>
      </c>
      <c r="F342" t="s">
        <v>1467</v>
      </c>
      <c r="G342">
        <v>76</v>
      </c>
      <c r="H342">
        <v>0.85499999999999998</v>
      </c>
      <c r="I342">
        <v>0.46300000000000002</v>
      </c>
      <c r="J342">
        <v>-7.4539999999999997</v>
      </c>
      <c r="K342">
        <v>1</v>
      </c>
      <c r="L342">
        <v>3</v>
      </c>
      <c r="M342">
        <v>3.6700000000000003E-2</v>
      </c>
      <c r="N342">
        <v>0.217</v>
      </c>
      <c r="O342">
        <v>1.77E-5</v>
      </c>
      <c r="P342">
        <v>0.34699999999999998</v>
      </c>
      <c r="Q342">
        <v>0.86599999999999999</v>
      </c>
      <c r="R342">
        <v>102.931</v>
      </c>
      <c r="S342">
        <v>4</v>
      </c>
      <c r="T342">
        <v>122773</v>
      </c>
      <c r="U342">
        <v>4</v>
      </c>
      <c r="V342">
        <v>122773</v>
      </c>
      <c r="W342">
        <v>4</v>
      </c>
      <c r="X342">
        <v>122773</v>
      </c>
      <c r="Y342" t="s">
        <v>17</v>
      </c>
      <c r="Z342" t="str">
        <f>LOOKUP(B342,{0,1083,124200,681950},{"1st","2nd","3rd","4th"})&amp;" Quartile"</f>
        <v>3rd Quartile</v>
      </c>
    </row>
    <row r="343" spans="1:26">
      <c r="A343">
        <v>2022</v>
      </c>
      <c r="B343">
        <v>347000</v>
      </c>
      <c r="C343" t="s">
        <v>1626</v>
      </c>
      <c r="D343" t="s">
        <v>1627</v>
      </c>
      <c r="E343">
        <v>80</v>
      </c>
      <c r="F343" t="s">
        <v>1626</v>
      </c>
      <c r="G343">
        <v>72</v>
      </c>
      <c r="H343">
        <v>0.53900000000000003</v>
      </c>
      <c r="I343">
        <v>0.61499999999999999</v>
      </c>
      <c r="J343">
        <v>-8.7460000000000004</v>
      </c>
      <c r="K343">
        <v>0</v>
      </c>
      <c r="L343">
        <v>1</v>
      </c>
      <c r="M343">
        <v>0.252</v>
      </c>
      <c r="N343">
        <v>0.17299999999999999</v>
      </c>
      <c r="O343">
        <v>5.5999999999999999E-3</v>
      </c>
      <c r="P343">
        <v>0.14399999999999999</v>
      </c>
      <c r="Q343">
        <v>0.49299999999999999</v>
      </c>
      <c r="R343">
        <v>163.92400000000001</v>
      </c>
      <c r="S343">
        <v>4</v>
      </c>
      <c r="T343">
        <v>214693</v>
      </c>
      <c r="U343">
        <v>4</v>
      </c>
      <c r="V343">
        <v>214693</v>
      </c>
      <c r="W343">
        <v>4</v>
      </c>
      <c r="X343">
        <v>214693</v>
      </c>
      <c r="Y343" t="s">
        <v>17</v>
      </c>
      <c r="Z343" t="str">
        <f>LOOKUP(B343,{0,1083,124200,681950},{"1st","2nd","3rd","4th"})&amp;" Quartile"</f>
        <v>3rd Quartile</v>
      </c>
    </row>
    <row r="344" spans="1:26">
      <c r="A344">
        <v>2020</v>
      </c>
      <c r="B344">
        <v>344600</v>
      </c>
      <c r="C344" t="s">
        <v>724</v>
      </c>
      <c r="D344" t="s">
        <v>251</v>
      </c>
      <c r="E344">
        <v>82</v>
      </c>
      <c r="F344" t="s">
        <v>723</v>
      </c>
      <c r="G344">
        <v>84</v>
      </c>
      <c r="H344">
        <v>0.91300000000000003</v>
      </c>
      <c r="I344">
        <v>0.60299999999999998</v>
      </c>
      <c r="J344">
        <v>-4.8920000000000003</v>
      </c>
      <c r="K344">
        <v>1</v>
      </c>
      <c r="L344">
        <v>8</v>
      </c>
      <c r="M344">
        <v>0.22600000000000001</v>
      </c>
      <c r="N344">
        <v>2.7199999999999998E-2</v>
      </c>
      <c r="O344">
        <v>5.0299999999999997E-4</v>
      </c>
      <c r="P344">
        <v>0.16700000000000001</v>
      </c>
      <c r="Q344">
        <v>0.497</v>
      </c>
      <c r="R344">
        <v>123.06100000000001</v>
      </c>
      <c r="S344">
        <v>4</v>
      </c>
      <c r="T344">
        <v>234093</v>
      </c>
      <c r="U344">
        <v>4</v>
      </c>
      <c r="V344">
        <v>234093</v>
      </c>
      <c r="W344">
        <v>4</v>
      </c>
      <c r="X344">
        <v>234093</v>
      </c>
      <c r="Y344" t="s">
        <v>17</v>
      </c>
      <c r="Z344" t="str">
        <f>LOOKUP(B344,{0,1083,124200,681950},{"1st","2nd","3rd","4th"})&amp;" Quartile"</f>
        <v>3rd Quartile</v>
      </c>
    </row>
    <row r="345" spans="1:26">
      <c r="A345">
        <v>2022</v>
      </c>
      <c r="B345">
        <v>344500</v>
      </c>
      <c r="C345" t="s">
        <v>724</v>
      </c>
      <c r="D345" t="s">
        <v>251</v>
      </c>
      <c r="E345">
        <v>82</v>
      </c>
      <c r="F345" t="s">
        <v>723</v>
      </c>
      <c r="G345">
        <v>0</v>
      </c>
      <c r="H345">
        <v>0.91200000000000003</v>
      </c>
      <c r="I345">
        <v>0.59399999999999997</v>
      </c>
      <c r="J345">
        <v>-4.8940000000000001</v>
      </c>
      <c r="K345">
        <v>0</v>
      </c>
      <c r="L345">
        <v>10</v>
      </c>
      <c r="M345">
        <v>0.22600000000000001</v>
      </c>
      <c r="N345">
        <v>3.1899999999999998E-2</v>
      </c>
      <c r="O345">
        <v>1.2199999999999999E-3</v>
      </c>
      <c r="P345">
        <v>0.123</v>
      </c>
      <c r="Q345">
        <v>0.51400000000000001</v>
      </c>
      <c r="R345">
        <v>123.07</v>
      </c>
      <c r="S345">
        <v>4</v>
      </c>
      <c r="T345">
        <v>234093</v>
      </c>
      <c r="U345">
        <v>4</v>
      </c>
      <c r="V345">
        <v>234093</v>
      </c>
      <c r="W345">
        <v>4</v>
      </c>
      <c r="X345">
        <v>234093</v>
      </c>
      <c r="Y345" t="s">
        <v>17</v>
      </c>
      <c r="Z345" t="str">
        <f>LOOKUP(B345,{0,1083,124200,681950},{"1st","2nd","3rd","4th"})&amp;" Quartile"</f>
        <v>3rd Quartile</v>
      </c>
    </row>
    <row r="346" spans="1:26">
      <c r="A346">
        <v>2022</v>
      </c>
      <c r="B346">
        <v>335000</v>
      </c>
      <c r="C346" t="s">
        <v>1565</v>
      </c>
      <c r="D346" t="s">
        <v>1566</v>
      </c>
      <c r="E346">
        <v>63</v>
      </c>
      <c r="F346" t="s">
        <v>1565</v>
      </c>
      <c r="G346">
        <v>60</v>
      </c>
      <c r="H346">
        <v>0.65300000000000002</v>
      </c>
      <c r="I346">
        <v>0.94499999999999995</v>
      </c>
      <c r="J346">
        <v>-2.6339999999999999</v>
      </c>
      <c r="K346">
        <v>1</v>
      </c>
      <c r="L346">
        <v>5</v>
      </c>
      <c r="M346">
        <v>9.6000000000000002E-2</v>
      </c>
      <c r="N346">
        <v>5.6100000000000004E-3</v>
      </c>
      <c r="O346">
        <v>0.91500000000000004</v>
      </c>
      <c r="P346">
        <v>0.439</v>
      </c>
      <c r="Q346">
        <v>0.32500000000000001</v>
      </c>
      <c r="R346">
        <v>126.093</v>
      </c>
      <c r="S346">
        <v>4</v>
      </c>
      <c r="T346">
        <v>198095</v>
      </c>
      <c r="U346">
        <v>4</v>
      </c>
      <c r="V346">
        <v>198095</v>
      </c>
      <c r="W346">
        <v>4</v>
      </c>
      <c r="X346">
        <v>198095</v>
      </c>
      <c r="Y346" t="s">
        <v>17</v>
      </c>
      <c r="Z346" t="str">
        <f>LOOKUP(B346,{0,1083,124200,681950},{"1st","2nd","3rd","4th"})&amp;" Quartile"</f>
        <v>3rd Quartile</v>
      </c>
    </row>
    <row r="347" spans="1:26">
      <c r="A347">
        <v>2020</v>
      </c>
      <c r="B347">
        <v>334600</v>
      </c>
      <c r="C347" t="s">
        <v>732</v>
      </c>
      <c r="D347" t="s">
        <v>731</v>
      </c>
      <c r="E347">
        <v>43</v>
      </c>
      <c r="F347" t="s">
        <v>730</v>
      </c>
      <c r="G347">
        <v>60</v>
      </c>
      <c r="H347">
        <v>0.68899999999999995</v>
      </c>
      <c r="I347">
        <v>0.70099999999999996</v>
      </c>
      <c r="J347">
        <v>-9.4770000000000003</v>
      </c>
      <c r="K347">
        <v>0</v>
      </c>
      <c r="L347">
        <v>6</v>
      </c>
      <c r="M347">
        <v>0.23699999999999999</v>
      </c>
      <c r="N347">
        <v>0.314</v>
      </c>
      <c r="O347">
        <v>0</v>
      </c>
      <c r="P347">
        <v>0.123</v>
      </c>
      <c r="Q347">
        <v>0.37</v>
      </c>
      <c r="R347">
        <v>94.981999999999999</v>
      </c>
      <c r="S347">
        <v>4</v>
      </c>
      <c r="T347">
        <v>151579</v>
      </c>
      <c r="U347">
        <v>4</v>
      </c>
      <c r="V347">
        <v>151579</v>
      </c>
      <c r="W347">
        <v>4</v>
      </c>
      <c r="X347">
        <v>151579</v>
      </c>
      <c r="Y347" t="s">
        <v>17</v>
      </c>
      <c r="Z347" t="str">
        <f>LOOKUP(B347,{0,1083,124200,681950},{"1st","2nd","3rd","4th"})&amp;" Quartile"</f>
        <v>3rd Quartile</v>
      </c>
    </row>
    <row r="348" spans="1:26">
      <c r="A348">
        <v>2020</v>
      </c>
      <c r="B348">
        <v>329800</v>
      </c>
      <c r="C348" t="s">
        <v>687</v>
      </c>
      <c r="D348" t="s">
        <v>688</v>
      </c>
      <c r="E348">
        <v>61</v>
      </c>
      <c r="F348" t="s">
        <v>687</v>
      </c>
      <c r="G348">
        <v>61</v>
      </c>
      <c r="H348">
        <v>0.60399999999999998</v>
      </c>
      <c r="I348">
        <v>4.58E-2</v>
      </c>
      <c r="J348">
        <v>-19.030999999999999</v>
      </c>
      <c r="K348">
        <v>1</v>
      </c>
      <c r="L348">
        <v>4</v>
      </c>
      <c r="M348">
        <v>7.6200000000000004E-2</v>
      </c>
      <c r="N348">
        <v>0.97299999999999998</v>
      </c>
      <c r="O348">
        <v>0</v>
      </c>
      <c r="P348">
        <v>9.6299999999999997E-2</v>
      </c>
      <c r="Q348">
        <v>0.61699999999999999</v>
      </c>
      <c r="R348">
        <v>76.234999999999999</v>
      </c>
      <c r="S348">
        <v>3</v>
      </c>
      <c r="T348">
        <v>187709</v>
      </c>
      <c r="U348">
        <v>3</v>
      </c>
      <c r="V348">
        <v>187709</v>
      </c>
      <c r="W348">
        <v>3</v>
      </c>
      <c r="X348">
        <v>187709</v>
      </c>
      <c r="Y348" t="s">
        <v>17</v>
      </c>
      <c r="Z348" t="str">
        <f>LOOKUP(B348,{0,1083,124200,681950},{"1st","2nd","3rd","4th"})&amp;" Quartile"</f>
        <v>3rd Quartile</v>
      </c>
    </row>
    <row r="349" spans="1:26">
      <c r="A349">
        <v>2020</v>
      </c>
      <c r="B349">
        <v>329100</v>
      </c>
      <c r="C349" t="s">
        <v>1034</v>
      </c>
      <c r="D349" t="s">
        <v>670</v>
      </c>
      <c r="E349">
        <v>85</v>
      </c>
      <c r="F349" t="s">
        <v>1033</v>
      </c>
      <c r="G349">
        <v>65</v>
      </c>
      <c r="H349">
        <v>0.48399999999999999</v>
      </c>
      <c r="I349">
        <v>0.63200000000000001</v>
      </c>
      <c r="J349">
        <v>-6.9169999999999998</v>
      </c>
      <c r="K349">
        <v>1</v>
      </c>
      <c r="L349">
        <v>5</v>
      </c>
      <c r="M349">
        <v>9.7600000000000006E-2</v>
      </c>
      <c r="N349">
        <v>0.69499999999999995</v>
      </c>
      <c r="O349">
        <v>2.4299999999999999E-2</v>
      </c>
      <c r="P349">
        <v>0.20899999999999999</v>
      </c>
      <c r="Q349">
        <v>7.3599999999999999E-2</v>
      </c>
      <c r="R349">
        <v>126.384</v>
      </c>
      <c r="S349">
        <v>3</v>
      </c>
      <c r="T349">
        <v>214558</v>
      </c>
      <c r="U349">
        <v>3</v>
      </c>
      <c r="V349">
        <v>214558</v>
      </c>
      <c r="W349">
        <v>3</v>
      </c>
      <c r="X349">
        <v>214558</v>
      </c>
      <c r="Y349" t="s">
        <v>17</v>
      </c>
      <c r="Z349" t="str">
        <f>LOOKUP(B349,{0,1083,124200,681950},{"1st","2nd","3rd","4th"})&amp;" Quartile"</f>
        <v>3rd Quartile</v>
      </c>
    </row>
    <row r="350" spans="1:26">
      <c r="A350">
        <v>2022</v>
      </c>
      <c r="B350">
        <v>323100</v>
      </c>
      <c r="C350" t="s">
        <v>1771</v>
      </c>
      <c r="D350" t="s">
        <v>1466</v>
      </c>
      <c r="E350">
        <v>83</v>
      </c>
      <c r="F350" t="s">
        <v>1770</v>
      </c>
      <c r="G350">
        <v>79</v>
      </c>
      <c r="H350">
        <v>0.69</v>
      </c>
      <c r="I350">
        <v>0.626</v>
      </c>
      <c r="J350">
        <v>-5.6929999999999996</v>
      </c>
      <c r="K350">
        <v>1</v>
      </c>
      <c r="L350">
        <v>6</v>
      </c>
      <c r="M350">
        <v>0.30599999999999999</v>
      </c>
      <c r="N350">
        <v>0.105</v>
      </c>
      <c r="O350">
        <v>3.3500000000000001E-4</v>
      </c>
      <c r="P350">
        <v>8.8099999999999998E-2</v>
      </c>
      <c r="Q350">
        <v>0.91200000000000003</v>
      </c>
      <c r="R350">
        <v>184.00899999999999</v>
      </c>
      <c r="S350">
        <v>4</v>
      </c>
      <c r="T350">
        <v>185681</v>
      </c>
      <c r="U350">
        <v>4</v>
      </c>
      <c r="V350">
        <v>185681</v>
      </c>
      <c r="W350">
        <v>4</v>
      </c>
      <c r="X350">
        <v>185681</v>
      </c>
      <c r="Y350" t="s">
        <v>17</v>
      </c>
      <c r="Z350" t="str">
        <f>LOOKUP(B350,{0,1083,124200,681950},{"1st","2nd","3rd","4th"})&amp;" Quartile"</f>
        <v>3rd Quartile</v>
      </c>
    </row>
    <row r="351" spans="1:26">
      <c r="A351">
        <v>2019</v>
      </c>
      <c r="B351">
        <v>321800</v>
      </c>
      <c r="C351" t="s">
        <v>425</v>
      </c>
      <c r="D351" t="s">
        <v>424</v>
      </c>
      <c r="E351">
        <v>75</v>
      </c>
      <c r="F351" t="s">
        <v>423</v>
      </c>
      <c r="G351">
        <v>82</v>
      </c>
      <c r="H351">
        <v>0.56599999999999995</v>
      </c>
      <c r="I351">
        <v>0.36599999999999999</v>
      </c>
      <c r="J351">
        <v>-12.808</v>
      </c>
      <c r="K351">
        <v>1</v>
      </c>
      <c r="L351">
        <v>7</v>
      </c>
      <c r="M351">
        <v>2.8000000000000001E-2</v>
      </c>
      <c r="N351">
        <v>0.113</v>
      </c>
      <c r="O351">
        <v>0.18099999999999999</v>
      </c>
      <c r="P351">
        <v>0.155</v>
      </c>
      <c r="Q351">
        <v>0.23699999999999999</v>
      </c>
      <c r="R351">
        <v>129.959</v>
      </c>
      <c r="S351">
        <v>4</v>
      </c>
      <c r="T351">
        <v>184154</v>
      </c>
      <c r="U351">
        <v>4</v>
      </c>
      <c r="V351">
        <v>184154</v>
      </c>
      <c r="W351">
        <v>4</v>
      </c>
      <c r="X351">
        <v>184154</v>
      </c>
      <c r="Y351" t="s">
        <v>17</v>
      </c>
      <c r="Z351" t="str">
        <f>LOOKUP(B351,{0,1083,124200,681950},{"1st","2nd","3rd","4th"})&amp;" Quartile"</f>
        <v>3rd Quartile</v>
      </c>
    </row>
    <row r="352" spans="1:26">
      <c r="A352">
        <v>2020</v>
      </c>
      <c r="B352">
        <v>319700</v>
      </c>
      <c r="C352" t="s">
        <v>766</v>
      </c>
      <c r="D352" t="s">
        <v>767</v>
      </c>
      <c r="E352">
        <v>47</v>
      </c>
      <c r="F352" t="s">
        <v>766</v>
      </c>
      <c r="G352">
        <v>0</v>
      </c>
      <c r="H352">
        <v>0.70199999999999996</v>
      </c>
      <c r="I352">
        <v>0.59699999999999998</v>
      </c>
      <c r="J352">
        <v>-7.0670000000000002</v>
      </c>
      <c r="K352">
        <v>1</v>
      </c>
      <c r="L352">
        <v>2</v>
      </c>
      <c r="M352">
        <v>0.20699999999999999</v>
      </c>
      <c r="N352">
        <v>0.58699999999999997</v>
      </c>
      <c r="O352">
        <v>3.6200000000000001E-6</v>
      </c>
      <c r="P352">
        <v>0.112</v>
      </c>
      <c r="Q352">
        <v>0.38300000000000001</v>
      </c>
      <c r="R352">
        <v>85.016000000000005</v>
      </c>
      <c r="S352">
        <v>4</v>
      </c>
      <c r="T352">
        <v>181852</v>
      </c>
      <c r="U352">
        <v>4</v>
      </c>
      <c r="V352">
        <v>181852</v>
      </c>
      <c r="W352">
        <v>4</v>
      </c>
      <c r="X352">
        <v>181852</v>
      </c>
      <c r="Y352" t="s">
        <v>17</v>
      </c>
      <c r="Z352" t="str">
        <f>LOOKUP(B352,{0,1083,124200,681950},{"1st","2nd","3rd","4th"})&amp;" Quartile"</f>
        <v>3rd Quartile</v>
      </c>
    </row>
    <row r="353" spans="1:26">
      <c r="A353">
        <v>2020</v>
      </c>
      <c r="B353">
        <v>312400</v>
      </c>
      <c r="C353" t="s">
        <v>742</v>
      </c>
      <c r="D353" t="s">
        <v>743</v>
      </c>
      <c r="E353">
        <v>49</v>
      </c>
      <c r="F353" t="s">
        <v>742</v>
      </c>
      <c r="G353">
        <v>63</v>
      </c>
      <c r="H353">
        <v>0.79200000000000004</v>
      </c>
      <c r="I353">
        <v>0.58299999999999996</v>
      </c>
      <c r="J353">
        <v>-8.3049999999999997</v>
      </c>
      <c r="K353">
        <v>0</v>
      </c>
      <c r="L353">
        <v>8</v>
      </c>
      <c r="M353">
        <v>2.7E-2</v>
      </c>
      <c r="N353">
        <v>2.3E-2</v>
      </c>
      <c r="O353">
        <v>0.58199999999999996</v>
      </c>
      <c r="P353">
        <v>8.09E-2</v>
      </c>
      <c r="Q353">
        <v>0.54</v>
      </c>
      <c r="R353">
        <v>102.979</v>
      </c>
      <c r="S353">
        <v>4</v>
      </c>
      <c r="T353">
        <v>209709</v>
      </c>
      <c r="U353">
        <v>4</v>
      </c>
      <c r="V353">
        <v>209709</v>
      </c>
      <c r="W353">
        <v>4</v>
      </c>
      <c r="X353">
        <v>209709</v>
      </c>
      <c r="Y353" t="s">
        <v>17</v>
      </c>
      <c r="Z353" t="str">
        <f>LOOKUP(B353,{0,1083,124200,681950},{"1st","2nd","3rd","4th"})&amp;" Quartile"</f>
        <v>3rd Quartile</v>
      </c>
    </row>
    <row r="354" spans="1:26">
      <c r="A354">
        <v>2020</v>
      </c>
      <c r="B354">
        <v>310500</v>
      </c>
      <c r="C354" t="s">
        <v>448</v>
      </c>
      <c r="D354" t="s">
        <v>447</v>
      </c>
      <c r="E354">
        <v>56</v>
      </c>
      <c r="F354" t="s">
        <v>446</v>
      </c>
      <c r="G354">
        <v>65</v>
      </c>
      <c r="H354">
        <v>0.91</v>
      </c>
      <c r="I354">
        <v>0.40200000000000002</v>
      </c>
      <c r="J354">
        <v>-9.5500000000000007</v>
      </c>
      <c r="K354">
        <v>1</v>
      </c>
      <c r="L354">
        <v>1</v>
      </c>
      <c r="M354">
        <v>8.5699999999999998E-2</v>
      </c>
      <c r="N354">
        <v>2.9700000000000001E-2</v>
      </c>
      <c r="O354">
        <v>1.8000000000000001E-4</v>
      </c>
      <c r="P354">
        <v>8.0100000000000005E-2</v>
      </c>
      <c r="Q354">
        <v>0.82499999999999996</v>
      </c>
      <c r="R354">
        <v>135.99299999999999</v>
      </c>
      <c r="S354">
        <v>4</v>
      </c>
      <c r="T354">
        <v>216267</v>
      </c>
      <c r="U354">
        <v>4</v>
      </c>
      <c r="V354">
        <v>216267</v>
      </c>
      <c r="W354">
        <v>4</v>
      </c>
      <c r="X354">
        <v>216267</v>
      </c>
      <c r="Y354" t="s">
        <v>17</v>
      </c>
      <c r="Z354" t="str">
        <f>LOOKUP(B354,{0,1083,124200,681950},{"1st","2nd","3rd","4th"})&amp;" Quartile"</f>
        <v>3rd Quartile</v>
      </c>
    </row>
    <row r="355" spans="1:26">
      <c r="A355">
        <v>2019</v>
      </c>
      <c r="B355">
        <v>310200</v>
      </c>
      <c r="C355" t="s">
        <v>448</v>
      </c>
      <c r="D355" t="s">
        <v>447</v>
      </c>
      <c r="E355">
        <v>56</v>
      </c>
      <c r="F355" t="s">
        <v>446</v>
      </c>
      <c r="G355">
        <v>0</v>
      </c>
      <c r="H355">
        <v>0.91200000000000003</v>
      </c>
      <c r="I355">
        <v>0.40100000000000002</v>
      </c>
      <c r="J355">
        <v>-9.5359999999999996</v>
      </c>
      <c r="K355">
        <v>1</v>
      </c>
      <c r="L355">
        <v>1</v>
      </c>
      <c r="M355">
        <v>8.5599999999999996E-2</v>
      </c>
      <c r="N355">
        <v>0.03</v>
      </c>
      <c r="O355">
        <v>1.4100000000000001E-4</v>
      </c>
      <c r="P355">
        <v>0.08</v>
      </c>
      <c r="Q355">
        <v>0.82</v>
      </c>
      <c r="R355">
        <v>135.995</v>
      </c>
      <c r="S355">
        <v>4</v>
      </c>
      <c r="T355">
        <v>215832</v>
      </c>
      <c r="U355">
        <v>4</v>
      </c>
      <c r="V355">
        <v>215832</v>
      </c>
      <c r="W355">
        <v>4</v>
      </c>
      <c r="X355">
        <v>215832</v>
      </c>
      <c r="Y355" t="s">
        <v>17</v>
      </c>
      <c r="Z355" t="str">
        <f>LOOKUP(B355,{0,1083,124200,681950},{"1st","2nd","3rd","4th"})&amp;" Quartile"</f>
        <v>3rd Quartile</v>
      </c>
    </row>
    <row r="356" spans="1:26">
      <c r="A356">
        <v>2021</v>
      </c>
      <c r="B356">
        <v>305900</v>
      </c>
      <c r="C356" t="s">
        <v>1412</v>
      </c>
      <c r="D356" t="s">
        <v>1411</v>
      </c>
      <c r="E356">
        <v>80</v>
      </c>
      <c r="F356" t="s">
        <v>1410</v>
      </c>
      <c r="G356">
        <v>83</v>
      </c>
      <c r="H356">
        <v>0.44900000000000001</v>
      </c>
      <c r="I356">
        <v>0.46500000000000002</v>
      </c>
      <c r="J356">
        <v>-8.9640000000000004</v>
      </c>
      <c r="K356">
        <v>1</v>
      </c>
      <c r="L356">
        <v>0</v>
      </c>
      <c r="M356">
        <v>7.9100000000000004E-2</v>
      </c>
      <c r="N356">
        <v>0.52400000000000002</v>
      </c>
      <c r="O356">
        <v>1.02E-6</v>
      </c>
      <c r="P356">
        <v>0.30299999999999999</v>
      </c>
      <c r="Q356">
        <v>0.54300000000000004</v>
      </c>
      <c r="R356">
        <v>89.087000000000003</v>
      </c>
      <c r="S356">
        <v>3</v>
      </c>
      <c r="T356">
        <v>198371</v>
      </c>
      <c r="U356">
        <v>3</v>
      </c>
      <c r="V356">
        <v>198371</v>
      </c>
      <c r="W356">
        <v>3</v>
      </c>
      <c r="X356">
        <v>198371</v>
      </c>
      <c r="Y356" t="s">
        <v>17</v>
      </c>
      <c r="Z356" t="str">
        <f>LOOKUP(B356,{0,1083,124200,681950},{"1st","2nd","3rd","4th"})&amp;" Quartile"</f>
        <v>3rd Quartile</v>
      </c>
    </row>
    <row r="357" spans="1:26">
      <c r="A357">
        <v>2019</v>
      </c>
      <c r="B357">
        <v>305800</v>
      </c>
      <c r="C357" t="s">
        <v>149</v>
      </c>
      <c r="D357" t="s">
        <v>150</v>
      </c>
      <c r="E357">
        <v>56</v>
      </c>
      <c r="F357" t="s">
        <v>149</v>
      </c>
      <c r="G357">
        <v>58</v>
      </c>
      <c r="H357">
        <v>0.73199999999999998</v>
      </c>
      <c r="I357">
        <v>0.41299999999999998</v>
      </c>
      <c r="J357">
        <v>-6.3529999999999998</v>
      </c>
      <c r="K357">
        <v>1</v>
      </c>
      <c r="L357">
        <v>9</v>
      </c>
      <c r="M357">
        <v>7.0199999999999999E-2</v>
      </c>
      <c r="N357">
        <v>0.28699999999999998</v>
      </c>
      <c r="O357">
        <v>0</v>
      </c>
      <c r="P357">
        <v>5.6500000000000002E-2</v>
      </c>
      <c r="Q357">
        <v>0.76100000000000001</v>
      </c>
      <c r="R357">
        <v>92.066000000000003</v>
      </c>
      <c r="S357">
        <v>4</v>
      </c>
      <c r="T357">
        <v>154456</v>
      </c>
      <c r="U357">
        <v>4</v>
      </c>
      <c r="V357">
        <v>154456</v>
      </c>
      <c r="W357">
        <v>4</v>
      </c>
      <c r="X357">
        <v>154456</v>
      </c>
      <c r="Y357" t="s">
        <v>17</v>
      </c>
      <c r="Z357" t="str">
        <f>LOOKUP(B357,{0,1083,124200,681950},{"1st","2nd","3rd","4th"})&amp;" Quartile"</f>
        <v>3rd Quartile</v>
      </c>
    </row>
    <row r="358" spans="1:26">
      <c r="A358">
        <v>2020</v>
      </c>
      <c r="B358">
        <v>305700</v>
      </c>
      <c r="C358" t="s">
        <v>149</v>
      </c>
      <c r="D358" t="s">
        <v>150</v>
      </c>
      <c r="E358">
        <v>56</v>
      </c>
      <c r="F358" t="s">
        <v>149</v>
      </c>
      <c r="G358">
        <v>58</v>
      </c>
      <c r="H358">
        <v>0.73199999999999998</v>
      </c>
      <c r="I358">
        <v>0.41299999999999998</v>
      </c>
      <c r="J358">
        <v>-6.3529999999999998</v>
      </c>
      <c r="K358">
        <v>1</v>
      </c>
      <c r="L358">
        <v>9</v>
      </c>
      <c r="M358">
        <v>7.0199999999999999E-2</v>
      </c>
      <c r="N358">
        <v>0.28699999999999998</v>
      </c>
      <c r="O358">
        <v>0</v>
      </c>
      <c r="P358">
        <v>5.6500000000000002E-2</v>
      </c>
      <c r="Q358">
        <v>0.76100000000000001</v>
      </c>
      <c r="R358">
        <v>92.066000000000003</v>
      </c>
      <c r="S358">
        <v>4</v>
      </c>
      <c r="T358">
        <v>154456</v>
      </c>
      <c r="U358">
        <v>4</v>
      </c>
      <c r="V358">
        <v>154456</v>
      </c>
      <c r="W358">
        <v>4</v>
      </c>
      <c r="X358">
        <v>154456</v>
      </c>
      <c r="Y358" t="s">
        <v>17</v>
      </c>
      <c r="Z358" t="str">
        <f>LOOKUP(B358,{0,1083,124200,681950},{"1st","2nd","3rd","4th"})&amp;" Quartile"</f>
        <v>3rd Quartile</v>
      </c>
    </row>
    <row r="359" spans="1:26">
      <c r="A359">
        <v>2020</v>
      </c>
      <c r="B359">
        <v>303400</v>
      </c>
      <c r="C359" t="s">
        <v>1041</v>
      </c>
      <c r="D359" t="s">
        <v>1040</v>
      </c>
      <c r="E359">
        <v>81</v>
      </c>
      <c r="F359" t="s">
        <v>1039</v>
      </c>
      <c r="G359">
        <v>86</v>
      </c>
      <c r="H359">
        <v>0.35699999999999998</v>
      </c>
      <c r="I359">
        <v>0.42499999999999999</v>
      </c>
      <c r="J359">
        <v>-7.3010000000000002</v>
      </c>
      <c r="K359">
        <v>1</v>
      </c>
      <c r="L359">
        <v>5</v>
      </c>
      <c r="M359">
        <v>3.3300000000000003E-2</v>
      </c>
      <c r="N359">
        <v>0.58399999999999996</v>
      </c>
      <c r="O359">
        <v>0</v>
      </c>
      <c r="P359">
        <v>0.32200000000000001</v>
      </c>
      <c r="Q359">
        <v>0.27</v>
      </c>
      <c r="R359">
        <v>102.078</v>
      </c>
      <c r="S359">
        <v>3</v>
      </c>
      <c r="T359">
        <v>198040</v>
      </c>
      <c r="U359">
        <v>3</v>
      </c>
      <c r="V359">
        <v>198040</v>
      </c>
      <c r="W359">
        <v>3</v>
      </c>
      <c r="X359">
        <v>198040</v>
      </c>
      <c r="Y359" t="s">
        <v>17</v>
      </c>
      <c r="Z359" t="str">
        <f>LOOKUP(B359,{0,1083,124200,681950},{"1st","2nd","3rd","4th"})&amp;" Quartile"</f>
        <v>3rd Quartile</v>
      </c>
    </row>
    <row r="360" spans="1:26">
      <c r="A360">
        <v>2020</v>
      </c>
      <c r="B360">
        <v>297300</v>
      </c>
      <c r="C360" t="s">
        <v>756</v>
      </c>
      <c r="D360" t="s">
        <v>757</v>
      </c>
      <c r="E360">
        <v>77</v>
      </c>
      <c r="F360" t="s">
        <v>756</v>
      </c>
      <c r="G360">
        <v>64</v>
      </c>
      <c r="H360">
        <v>0.876</v>
      </c>
      <c r="I360">
        <v>0.47899999999999998</v>
      </c>
      <c r="J360">
        <v>-6.6870000000000003</v>
      </c>
      <c r="K360">
        <v>0</v>
      </c>
      <c r="L360">
        <v>4</v>
      </c>
      <c r="M360">
        <v>0.44</v>
      </c>
      <c r="N360">
        <v>0.70299999999999996</v>
      </c>
      <c r="O360">
        <v>0</v>
      </c>
      <c r="P360">
        <v>0.10199999999999999</v>
      </c>
      <c r="Q360">
        <v>0.77600000000000002</v>
      </c>
      <c r="R360">
        <v>133.858</v>
      </c>
      <c r="S360">
        <v>4</v>
      </c>
      <c r="T360">
        <v>115200</v>
      </c>
      <c r="U360">
        <v>4</v>
      </c>
      <c r="V360">
        <v>115200</v>
      </c>
      <c r="W360">
        <v>4</v>
      </c>
      <c r="X360">
        <v>115200</v>
      </c>
      <c r="Y360" t="s">
        <v>17</v>
      </c>
      <c r="Z360" t="str">
        <f>LOOKUP(B360,{0,1083,124200,681950},{"1st","2nd","3rd","4th"})&amp;" Quartile"</f>
        <v>3rd Quartile</v>
      </c>
    </row>
    <row r="361" spans="1:26">
      <c r="A361">
        <v>2022</v>
      </c>
      <c r="B361">
        <v>293000</v>
      </c>
      <c r="C361" t="s">
        <v>1553</v>
      </c>
      <c r="D361" t="s">
        <v>1554</v>
      </c>
      <c r="E361">
        <v>50</v>
      </c>
      <c r="F361" t="s">
        <v>1553</v>
      </c>
      <c r="G361">
        <v>49</v>
      </c>
      <c r="H361">
        <v>0.76900000000000002</v>
      </c>
      <c r="I361">
        <v>0.51800000000000002</v>
      </c>
      <c r="J361">
        <v>-6.5629999999999997</v>
      </c>
      <c r="K361">
        <v>1</v>
      </c>
      <c r="L361">
        <v>8</v>
      </c>
      <c r="M361">
        <v>0.10199999999999999</v>
      </c>
      <c r="N361">
        <v>5.7300000000000005E-4</v>
      </c>
      <c r="O361">
        <v>0.108</v>
      </c>
      <c r="P361">
        <v>0.34200000000000003</v>
      </c>
      <c r="Q361">
        <v>0.504</v>
      </c>
      <c r="R361">
        <v>121.116</v>
      </c>
      <c r="S361">
        <v>4</v>
      </c>
      <c r="T361">
        <v>247976</v>
      </c>
      <c r="U361">
        <v>4</v>
      </c>
      <c r="V361">
        <v>247976</v>
      </c>
      <c r="W361">
        <v>4</v>
      </c>
      <c r="X361">
        <v>247976</v>
      </c>
      <c r="Y361" t="s">
        <v>17</v>
      </c>
      <c r="Z361" t="str">
        <f>LOOKUP(B361,{0,1083,124200,681950},{"1st","2nd","3rd","4th"})&amp;" Quartile"</f>
        <v>3rd Quartile</v>
      </c>
    </row>
    <row r="362" spans="1:26">
      <c r="A362">
        <v>2020</v>
      </c>
      <c r="B362">
        <v>291500</v>
      </c>
      <c r="C362" t="s">
        <v>900</v>
      </c>
      <c r="D362" t="s">
        <v>899</v>
      </c>
      <c r="E362">
        <v>85</v>
      </c>
      <c r="F362" t="s">
        <v>898</v>
      </c>
      <c r="G362">
        <v>75</v>
      </c>
      <c r="H362">
        <v>0.376</v>
      </c>
      <c r="I362">
        <v>0.43</v>
      </c>
      <c r="J362">
        <v>-6.585</v>
      </c>
      <c r="K362">
        <v>0</v>
      </c>
      <c r="L362">
        <v>0</v>
      </c>
      <c r="M362">
        <v>3.2800000000000003E-2</v>
      </c>
      <c r="N362">
        <v>9.0200000000000002E-2</v>
      </c>
      <c r="O362">
        <v>0</v>
      </c>
      <c r="P362">
        <v>9.1200000000000003E-2</v>
      </c>
      <c r="Q362">
        <v>0.129</v>
      </c>
      <c r="R362">
        <v>77.599000000000004</v>
      </c>
      <c r="S362">
        <v>3</v>
      </c>
      <c r="T362">
        <v>177323</v>
      </c>
      <c r="U362">
        <v>3</v>
      </c>
      <c r="V362">
        <v>177323</v>
      </c>
      <c r="W362">
        <v>3</v>
      </c>
      <c r="X362">
        <v>177323</v>
      </c>
      <c r="Y362" t="s">
        <v>17</v>
      </c>
      <c r="Z362" t="str">
        <f>LOOKUP(B362,{0,1083,124200,681950},{"1st","2nd","3rd","4th"})&amp;" Quartile"</f>
        <v>3rd Quartile</v>
      </c>
    </row>
    <row r="363" spans="1:26">
      <c r="A363">
        <v>2022</v>
      </c>
      <c r="B363">
        <v>289000</v>
      </c>
      <c r="C363" t="s">
        <v>1589</v>
      </c>
      <c r="D363" t="s">
        <v>1590</v>
      </c>
      <c r="E363">
        <v>60</v>
      </c>
      <c r="F363" t="s">
        <v>1589</v>
      </c>
      <c r="G363">
        <v>63</v>
      </c>
      <c r="H363">
        <v>0.96099999999999997</v>
      </c>
      <c r="I363">
        <v>0.46100000000000002</v>
      </c>
      <c r="J363">
        <v>-8.6839999999999993</v>
      </c>
      <c r="K363">
        <v>1</v>
      </c>
      <c r="L363">
        <v>9</v>
      </c>
      <c r="M363">
        <v>0.27</v>
      </c>
      <c r="N363">
        <v>0.20200000000000001</v>
      </c>
      <c r="O363">
        <v>4.0200000000000001E-3</v>
      </c>
      <c r="P363">
        <v>0.16200000000000001</v>
      </c>
      <c r="Q363">
        <v>0.32400000000000001</v>
      </c>
      <c r="R363">
        <v>108.02800000000001</v>
      </c>
      <c r="S363">
        <v>4</v>
      </c>
      <c r="T363">
        <v>207640</v>
      </c>
      <c r="U363">
        <v>4</v>
      </c>
      <c r="V363">
        <v>207640</v>
      </c>
      <c r="W363">
        <v>4</v>
      </c>
      <c r="X363">
        <v>207640</v>
      </c>
      <c r="Y363" t="s">
        <v>17</v>
      </c>
      <c r="Z363" t="str">
        <f>LOOKUP(B363,{0,1083,124200,681950},{"1st","2nd","3rd","4th"})&amp;" Quartile"</f>
        <v>3rd Quartile</v>
      </c>
    </row>
    <row r="364" spans="1:26">
      <c r="A364">
        <v>2019</v>
      </c>
      <c r="B364">
        <v>286400</v>
      </c>
      <c r="C364" t="s">
        <v>371</v>
      </c>
      <c r="D364" t="s">
        <v>124</v>
      </c>
      <c r="E364">
        <v>87</v>
      </c>
      <c r="F364" t="s">
        <v>371</v>
      </c>
      <c r="G364">
        <v>1</v>
      </c>
      <c r="H364">
        <v>0.72499999999999998</v>
      </c>
      <c r="I364">
        <v>0.32100000000000001</v>
      </c>
      <c r="J364">
        <v>-10.744</v>
      </c>
      <c r="K364">
        <v>0</v>
      </c>
      <c r="L364">
        <v>1</v>
      </c>
      <c r="M364">
        <v>0.32300000000000001</v>
      </c>
      <c r="N364">
        <v>0.57799999999999996</v>
      </c>
      <c r="O364">
        <v>0</v>
      </c>
      <c r="P364">
        <v>8.8400000000000006E-2</v>
      </c>
      <c r="Q364">
        <v>0.31900000000000001</v>
      </c>
      <c r="R364">
        <v>70.141999999999996</v>
      </c>
      <c r="S364">
        <v>4</v>
      </c>
      <c r="T364">
        <v>178640</v>
      </c>
      <c r="U364">
        <v>4</v>
      </c>
      <c r="V364">
        <v>178640</v>
      </c>
      <c r="W364">
        <v>4</v>
      </c>
      <c r="X364">
        <v>178640</v>
      </c>
      <c r="Y364" t="s">
        <v>17</v>
      </c>
      <c r="Z364" t="str">
        <f>LOOKUP(B364,{0,1083,124200,681950},{"1st","2nd","3rd","4th"})&amp;" Quartile"</f>
        <v>3rd Quartile</v>
      </c>
    </row>
    <row r="365" spans="1:26">
      <c r="A365">
        <v>2020</v>
      </c>
      <c r="B365">
        <v>276000</v>
      </c>
      <c r="C365" t="s">
        <v>1108</v>
      </c>
      <c r="D365" t="s">
        <v>1109</v>
      </c>
      <c r="E365">
        <v>51</v>
      </c>
      <c r="F365" t="s">
        <v>1108</v>
      </c>
      <c r="G365">
        <v>54</v>
      </c>
      <c r="H365">
        <v>0.747</v>
      </c>
      <c r="I365">
        <v>0.55400000000000005</v>
      </c>
      <c r="J365">
        <v>-6.1539999999999999</v>
      </c>
      <c r="K365">
        <v>0</v>
      </c>
      <c r="L365">
        <v>8</v>
      </c>
      <c r="M365">
        <v>0.28899999999999998</v>
      </c>
      <c r="N365">
        <v>0.49299999999999999</v>
      </c>
      <c r="O365">
        <v>4.2499999999999998E-4</v>
      </c>
      <c r="P365">
        <v>0.33200000000000002</v>
      </c>
      <c r="Q365">
        <v>0.58499999999999996</v>
      </c>
      <c r="R365">
        <v>96.988</v>
      </c>
      <c r="S365">
        <v>4</v>
      </c>
      <c r="T365">
        <v>164318</v>
      </c>
      <c r="U365">
        <v>4</v>
      </c>
      <c r="V365">
        <v>164318</v>
      </c>
      <c r="W365">
        <v>4</v>
      </c>
      <c r="X365">
        <v>164318</v>
      </c>
      <c r="Y365" t="s">
        <v>17</v>
      </c>
      <c r="Z365" t="str">
        <f>LOOKUP(B365,{0,1083,124200,681950},{"1st","2nd","3rd","4th"})&amp;" Quartile"</f>
        <v>3rd Quartile</v>
      </c>
    </row>
    <row r="366" spans="1:26">
      <c r="A366">
        <v>2020</v>
      </c>
      <c r="B366">
        <v>271700</v>
      </c>
      <c r="C366" t="s">
        <v>1127</v>
      </c>
      <c r="D366" t="s">
        <v>124</v>
      </c>
      <c r="E366">
        <v>87</v>
      </c>
      <c r="F366" t="s">
        <v>1126</v>
      </c>
      <c r="G366">
        <v>82</v>
      </c>
      <c r="H366">
        <v>0.59699999999999998</v>
      </c>
      <c r="I366">
        <v>0.45</v>
      </c>
      <c r="J366">
        <v>-6.6580000000000004</v>
      </c>
      <c r="K366">
        <v>1</v>
      </c>
      <c r="L366">
        <v>8</v>
      </c>
      <c r="M366">
        <v>4.1799999999999997E-2</v>
      </c>
      <c r="N366">
        <v>0.223</v>
      </c>
      <c r="O366">
        <v>0</v>
      </c>
      <c r="P366">
        <v>0.38200000000000001</v>
      </c>
      <c r="Q366">
        <v>0.53700000000000003</v>
      </c>
      <c r="R366">
        <v>178.76499999999999</v>
      </c>
      <c r="S366">
        <v>3</v>
      </c>
      <c r="T366">
        <v>228482</v>
      </c>
      <c r="U366">
        <v>3</v>
      </c>
      <c r="V366">
        <v>228482</v>
      </c>
      <c r="W366">
        <v>3</v>
      </c>
      <c r="X366">
        <v>228482</v>
      </c>
      <c r="Y366" t="s">
        <v>17</v>
      </c>
      <c r="Z366" t="str">
        <f>LOOKUP(B366,{0,1083,124200,681950},{"1st","2nd","3rd","4th"})&amp;" Quartile"</f>
        <v>3rd Quartile</v>
      </c>
    </row>
    <row r="367" spans="1:26">
      <c r="A367">
        <v>2019</v>
      </c>
      <c r="B367">
        <v>269000</v>
      </c>
      <c r="C367" t="s">
        <v>467</v>
      </c>
      <c r="D367" t="s">
        <v>466</v>
      </c>
      <c r="E367">
        <v>61</v>
      </c>
      <c r="F367" t="s">
        <v>465</v>
      </c>
      <c r="G367">
        <v>59</v>
      </c>
      <c r="H367">
        <v>0.73399999999999999</v>
      </c>
      <c r="I367">
        <v>0.76500000000000001</v>
      </c>
      <c r="J367">
        <v>-6.0469999999999997</v>
      </c>
      <c r="K367">
        <v>1</v>
      </c>
      <c r="L367">
        <v>5</v>
      </c>
      <c r="M367">
        <v>5.7099999999999998E-2</v>
      </c>
      <c r="N367">
        <v>0.24299999999999999</v>
      </c>
      <c r="O367">
        <v>0</v>
      </c>
      <c r="P367">
        <v>0.10100000000000001</v>
      </c>
      <c r="Q367">
        <v>0.51200000000000001</v>
      </c>
      <c r="R367">
        <v>156.04</v>
      </c>
      <c r="S367">
        <v>4</v>
      </c>
      <c r="T367">
        <v>215385</v>
      </c>
      <c r="U367">
        <v>4</v>
      </c>
      <c r="V367">
        <v>215385</v>
      </c>
      <c r="W367">
        <v>4</v>
      </c>
      <c r="X367">
        <v>215385</v>
      </c>
      <c r="Y367" t="s">
        <v>17</v>
      </c>
      <c r="Z367" t="str">
        <f>LOOKUP(B367,{0,1083,124200,681950},{"1st","2nd","3rd","4th"})&amp;" Quartile"</f>
        <v>3rd Quartile</v>
      </c>
    </row>
    <row r="368" spans="1:26">
      <c r="A368">
        <v>2020</v>
      </c>
      <c r="B368">
        <v>267300</v>
      </c>
      <c r="C368" t="s">
        <v>816</v>
      </c>
      <c r="D368" t="s">
        <v>815</v>
      </c>
      <c r="E368">
        <v>93</v>
      </c>
      <c r="F368" t="s">
        <v>814</v>
      </c>
      <c r="G368">
        <v>88</v>
      </c>
      <c r="H368">
        <v>0.68</v>
      </c>
      <c r="I368">
        <v>0.82599999999999996</v>
      </c>
      <c r="J368">
        <v>-5.4870000000000001</v>
      </c>
      <c r="K368">
        <v>1</v>
      </c>
      <c r="L368">
        <v>0</v>
      </c>
      <c r="M368">
        <v>3.09E-2</v>
      </c>
      <c r="N368">
        <v>2.12E-2</v>
      </c>
      <c r="O368">
        <v>1.24E-5</v>
      </c>
      <c r="P368">
        <v>0.54300000000000004</v>
      </c>
      <c r="Q368">
        <v>0.64400000000000002</v>
      </c>
      <c r="R368">
        <v>118.051</v>
      </c>
      <c r="S368">
        <v>4</v>
      </c>
      <c r="T368">
        <v>215627</v>
      </c>
      <c r="U368">
        <v>4</v>
      </c>
      <c r="V368">
        <v>215627</v>
      </c>
      <c r="W368">
        <v>4</v>
      </c>
      <c r="X368">
        <v>215627</v>
      </c>
      <c r="Y368" t="s">
        <v>17</v>
      </c>
      <c r="Z368" t="str">
        <f>LOOKUP(B368,{0,1083,124200,681950},{"1st","2nd","3rd","4th"})&amp;" Quartile"</f>
        <v>3rd Quartile</v>
      </c>
    </row>
    <row r="369" spans="1:26">
      <c r="A369">
        <v>2021</v>
      </c>
      <c r="B369">
        <v>267200</v>
      </c>
      <c r="C369" t="s">
        <v>816</v>
      </c>
      <c r="D369" t="s">
        <v>815</v>
      </c>
      <c r="E369">
        <v>93</v>
      </c>
      <c r="F369" t="s">
        <v>814</v>
      </c>
      <c r="G369">
        <v>88</v>
      </c>
      <c r="H369">
        <v>0.68</v>
      </c>
      <c r="I369">
        <v>0.82599999999999996</v>
      </c>
      <c r="J369">
        <v>-5.4870000000000001</v>
      </c>
      <c r="K369">
        <v>1</v>
      </c>
      <c r="L369">
        <v>0</v>
      </c>
      <c r="M369">
        <v>3.09E-2</v>
      </c>
      <c r="N369">
        <v>2.12E-2</v>
      </c>
      <c r="O369">
        <v>1.24E-5</v>
      </c>
      <c r="P369">
        <v>0.54300000000000004</v>
      </c>
      <c r="Q369">
        <v>0.64400000000000002</v>
      </c>
      <c r="R369">
        <v>118.051</v>
      </c>
      <c r="S369">
        <v>4</v>
      </c>
      <c r="T369">
        <v>215627</v>
      </c>
      <c r="U369">
        <v>4</v>
      </c>
      <c r="V369">
        <v>215627</v>
      </c>
      <c r="W369">
        <v>4</v>
      </c>
      <c r="X369">
        <v>215627</v>
      </c>
      <c r="Y369" t="s">
        <v>17</v>
      </c>
      <c r="Z369" t="str">
        <f>LOOKUP(B369,{0,1083,124200,681950},{"1st","2nd","3rd","4th"})&amp;" Quartile"</f>
        <v>3rd Quartile</v>
      </c>
    </row>
    <row r="370" spans="1:26">
      <c r="A370">
        <v>2021</v>
      </c>
      <c r="B370">
        <v>266100</v>
      </c>
      <c r="C370" t="s">
        <v>1294</v>
      </c>
      <c r="D370" t="s">
        <v>1293</v>
      </c>
      <c r="E370">
        <v>57</v>
      </c>
      <c r="F370" t="s">
        <v>1292</v>
      </c>
      <c r="G370">
        <v>61</v>
      </c>
      <c r="H370">
        <v>0.79300000000000004</v>
      </c>
      <c r="I370">
        <v>0.70599999999999996</v>
      </c>
      <c r="J370">
        <v>-4.5359999999999996</v>
      </c>
      <c r="K370">
        <v>1</v>
      </c>
      <c r="L370">
        <v>5</v>
      </c>
      <c r="M370">
        <v>6.9500000000000006E-2</v>
      </c>
      <c r="N370">
        <v>0.33200000000000002</v>
      </c>
      <c r="O370">
        <v>0</v>
      </c>
      <c r="P370">
        <v>7.5200000000000003E-2</v>
      </c>
      <c r="Q370">
        <v>0.83899999999999997</v>
      </c>
      <c r="R370">
        <v>95.992000000000004</v>
      </c>
      <c r="S370">
        <v>4</v>
      </c>
      <c r="T370">
        <v>176532</v>
      </c>
      <c r="U370">
        <v>4</v>
      </c>
      <c r="V370">
        <v>176532</v>
      </c>
      <c r="W370">
        <v>4</v>
      </c>
      <c r="X370">
        <v>176532</v>
      </c>
      <c r="Y370" t="s">
        <v>17</v>
      </c>
      <c r="Z370" t="str">
        <f>LOOKUP(B370,{0,1083,124200,681950},{"1st","2nd","3rd","4th"})&amp;" Quartile"</f>
        <v>3rd Quartile</v>
      </c>
    </row>
    <row r="371" spans="1:26">
      <c r="A371">
        <v>2021</v>
      </c>
      <c r="B371">
        <v>265400</v>
      </c>
      <c r="C371" t="s">
        <v>1484</v>
      </c>
      <c r="D371" t="s">
        <v>1485</v>
      </c>
      <c r="E371">
        <v>58</v>
      </c>
      <c r="F371" t="s">
        <v>1484</v>
      </c>
      <c r="G371">
        <v>75</v>
      </c>
      <c r="H371">
        <v>0.69099999999999995</v>
      </c>
      <c r="I371">
        <v>0.81399999999999995</v>
      </c>
      <c r="J371">
        <v>-3.7879999999999998</v>
      </c>
      <c r="K371">
        <v>0</v>
      </c>
      <c r="L371">
        <v>1</v>
      </c>
      <c r="M371">
        <v>0.11700000000000001</v>
      </c>
      <c r="N371">
        <v>1.6400000000000001E-2</v>
      </c>
      <c r="O371">
        <v>0</v>
      </c>
      <c r="P371">
        <v>0.36599999999999999</v>
      </c>
      <c r="Q371">
        <v>0.50900000000000001</v>
      </c>
      <c r="R371">
        <v>132.012</v>
      </c>
      <c r="S371">
        <v>4</v>
      </c>
      <c r="T371">
        <v>145611</v>
      </c>
      <c r="U371">
        <v>4</v>
      </c>
      <c r="V371">
        <v>145611</v>
      </c>
      <c r="W371">
        <v>4</v>
      </c>
      <c r="X371">
        <v>145611</v>
      </c>
      <c r="Y371" t="s">
        <v>17</v>
      </c>
      <c r="Z371" t="str">
        <f>LOOKUP(B371,{0,1083,124200,681950},{"1st","2nd","3rd","4th"})&amp;" Quartile"</f>
        <v>3rd Quartile</v>
      </c>
    </row>
    <row r="372" spans="1:26">
      <c r="A372">
        <v>2022</v>
      </c>
      <c r="B372">
        <v>263600</v>
      </c>
      <c r="C372" t="s">
        <v>132</v>
      </c>
      <c r="D372" t="s">
        <v>133</v>
      </c>
      <c r="E372">
        <v>80</v>
      </c>
      <c r="F372" t="s">
        <v>132</v>
      </c>
      <c r="G372">
        <v>5</v>
      </c>
      <c r="H372">
        <v>0.77800000000000002</v>
      </c>
      <c r="I372">
        <v>0.55900000000000005</v>
      </c>
      <c r="J372">
        <v>-7.109</v>
      </c>
      <c r="K372">
        <v>0</v>
      </c>
      <c r="L372">
        <v>6</v>
      </c>
      <c r="M372">
        <v>7.7600000000000002E-2</v>
      </c>
      <c r="N372">
        <v>0.128</v>
      </c>
      <c r="O372">
        <v>0</v>
      </c>
      <c r="P372">
        <v>0.39900000000000002</v>
      </c>
      <c r="Q372">
        <v>0.67800000000000005</v>
      </c>
      <c r="R372">
        <v>129.989</v>
      </c>
      <c r="S372">
        <v>1</v>
      </c>
      <c r="T372">
        <v>185093</v>
      </c>
      <c r="U372">
        <v>1</v>
      </c>
      <c r="V372">
        <v>185093</v>
      </c>
      <c r="W372">
        <v>1</v>
      </c>
      <c r="X372">
        <v>185093</v>
      </c>
      <c r="Y372" t="s">
        <v>17</v>
      </c>
      <c r="Z372" t="str">
        <f>LOOKUP(B372,{0,1083,124200,681950},{"1st","2nd","3rd","4th"})&amp;" Quartile"</f>
        <v>3rd Quartile</v>
      </c>
    </row>
    <row r="373" spans="1:26">
      <c r="A373">
        <v>2021</v>
      </c>
      <c r="B373">
        <v>263600</v>
      </c>
      <c r="C373" t="s">
        <v>132</v>
      </c>
      <c r="D373" t="s">
        <v>133</v>
      </c>
      <c r="E373">
        <v>80</v>
      </c>
      <c r="F373" t="s">
        <v>132</v>
      </c>
      <c r="G373">
        <v>5</v>
      </c>
      <c r="H373">
        <v>0.77800000000000002</v>
      </c>
      <c r="I373">
        <v>0.55900000000000005</v>
      </c>
      <c r="J373">
        <v>-7.109</v>
      </c>
      <c r="K373">
        <v>0</v>
      </c>
      <c r="L373">
        <v>6</v>
      </c>
      <c r="M373">
        <v>7.7600000000000002E-2</v>
      </c>
      <c r="N373">
        <v>0.128</v>
      </c>
      <c r="O373">
        <v>0</v>
      </c>
      <c r="P373">
        <v>0.39900000000000002</v>
      </c>
      <c r="Q373">
        <v>0.67800000000000005</v>
      </c>
      <c r="R373">
        <v>129.989</v>
      </c>
      <c r="S373">
        <v>1</v>
      </c>
      <c r="T373">
        <v>185093</v>
      </c>
      <c r="U373">
        <v>1</v>
      </c>
      <c r="V373">
        <v>185093</v>
      </c>
      <c r="W373">
        <v>1</v>
      </c>
      <c r="X373">
        <v>185093</v>
      </c>
      <c r="Y373" t="s">
        <v>17</v>
      </c>
      <c r="Z373" t="str">
        <f>LOOKUP(B373,{0,1083,124200,681950},{"1st","2nd","3rd","4th"})&amp;" Quartile"</f>
        <v>3rd Quartile</v>
      </c>
    </row>
    <row r="374" spans="1:26">
      <c r="A374">
        <v>2019</v>
      </c>
      <c r="B374">
        <v>263300</v>
      </c>
      <c r="C374" t="s">
        <v>132</v>
      </c>
      <c r="D374" t="s">
        <v>133</v>
      </c>
      <c r="E374">
        <v>79</v>
      </c>
      <c r="F374" t="s">
        <v>132</v>
      </c>
      <c r="G374">
        <v>5</v>
      </c>
      <c r="H374">
        <v>0.77800000000000002</v>
      </c>
      <c r="I374">
        <v>0.55900000000000005</v>
      </c>
      <c r="J374">
        <v>-7.109</v>
      </c>
      <c r="K374">
        <v>0</v>
      </c>
      <c r="L374">
        <v>6</v>
      </c>
      <c r="M374">
        <v>7.7600000000000002E-2</v>
      </c>
      <c r="N374">
        <v>0.128</v>
      </c>
      <c r="O374">
        <v>0</v>
      </c>
      <c r="P374">
        <v>0.39900000000000002</v>
      </c>
      <c r="Q374">
        <v>0.67800000000000005</v>
      </c>
      <c r="R374">
        <v>129.989</v>
      </c>
      <c r="S374">
        <v>1</v>
      </c>
      <c r="T374">
        <v>185093</v>
      </c>
      <c r="U374">
        <v>1</v>
      </c>
      <c r="V374">
        <v>185093</v>
      </c>
      <c r="W374">
        <v>1</v>
      </c>
      <c r="X374">
        <v>185093</v>
      </c>
      <c r="Y374" t="s">
        <v>17</v>
      </c>
      <c r="Z374" t="str">
        <f>LOOKUP(B374,{0,1083,124200,681950},{"1st","2nd","3rd","4th"})&amp;" Quartile"</f>
        <v>3rd Quartile</v>
      </c>
    </row>
    <row r="375" spans="1:26">
      <c r="A375">
        <v>2022</v>
      </c>
      <c r="B375">
        <v>261800</v>
      </c>
      <c r="C375" t="s">
        <v>1633</v>
      </c>
      <c r="D375" t="s">
        <v>1489</v>
      </c>
      <c r="E375">
        <v>68</v>
      </c>
      <c r="F375" t="s">
        <v>1632</v>
      </c>
      <c r="G375">
        <v>77</v>
      </c>
      <c r="H375">
        <v>0.72</v>
      </c>
      <c r="I375">
        <v>0.74399999999999999</v>
      </c>
      <c r="J375">
        <v>-6.9379999999999997</v>
      </c>
      <c r="K375">
        <v>0</v>
      </c>
      <c r="L375">
        <v>1</v>
      </c>
      <c r="M375">
        <v>0.12</v>
      </c>
      <c r="N375">
        <v>0.23699999999999999</v>
      </c>
      <c r="O375">
        <v>0</v>
      </c>
      <c r="P375">
        <v>0.255</v>
      </c>
      <c r="Q375">
        <v>0.61899999999999999</v>
      </c>
      <c r="R375">
        <v>78.953000000000003</v>
      </c>
      <c r="S375">
        <v>4</v>
      </c>
      <c r="T375">
        <v>243773</v>
      </c>
      <c r="U375">
        <v>4</v>
      </c>
      <c r="V375">
        <v>243773</v>
      </c>
      <c r="W375">
        <v>4</v>
      </c>
      <c r="X375">
        <v>243773</v>
      </c>
      <c r="Y375" t="s">
        <v>17</v>
      </c>
      <c r="Z375" t="str">
        <f>LOOKUP(B375,{0,1083,124200,681950},{"1st","2nd","3rd","4th"})&amp;" Quartile"</f>
        <v>3rd Quartile</v>
      </c>
    </row>
    <row r="376" spans="1:26">
      <c r="A376">
        <v>2022</v>
      </c>
      <c r="B376">
        <v>256600</v>
      </c>
      <c r="C376" t="s">
        <v>1668</v>
      </c>
      <c r="D376" t="s">
        <v>1667</v>
      </c>
      <c r="E376">
        <v>55</v>
      </c>
      <c r="F376" t="s">
        <v>1666</v>
      </c>
      <c r="G376">
        <v>1</v>
      </c>
      <c r="H376">
        <v>0.82599999999999996</v>
      </c>
      <c r="I376">
        <v>0.73799999999999999</v>
      </c>
      <c r="J376">
        <v>-4.6580000000000004</v>
      </c>
      <c r="K376">
        <v>0</v>
      </c>
      <c r="L376">
        <v>10</v>
      </c>
      <c r="M376">
        <v>4.4400000000000002E-2</v>
      </c>
      <c r="N376">
        <v>3.5500000000000002E-3</v>
      </c>
      <c r="O376">
        <v>0.93899999999999995</v>
      </c>
      <c r="P376">
        <v>6.3299999999999995E-2</v>
      </c>
      <c r="Q376">
        <v>0.78100000000000003</v>
      </c>
      <c r="R376">
        <v>93.004999999999995</v>
      </c>
      <c r="S376">
        <v>4</v>
      </c>
      <c r="T376">
        <v>188421</v>
      </c>
      <c r="U376">
        <v>4</v>
      </c>
      <c r="V376">
        <v>188421</v>
      </c>
      <c r="W376">
        <v>4</v>
      </c>
      <c r="X376">
        <v>188421</v>
      </c>
      <c r="Y376" t="s">
        <v>17</v>
      </c>
      <c r="Z376" t="str">
        <f>LOOKUP(B376,{0,1083,124200,681950},{"1st","2nd","3rd","4th"})&amp;" Quartile"</f>
        <v>3rd Quartile</v>
      </c>
    </row>
    <row r="377" spans="1:26">
      <c r="A377">
        <v>2020</v>
      </c>
      <c r="B377">
        <v>254900</v>
      </c>
      <c r="C377" t="s">
        <v>374</v>
      </c>
      <c r="D377" t="s">
        <v>373</v>
      </c>
      <c r="E377">
        <v>39</v>
      </c>
      <c r="F377" t="s">
        <v>372</v>
      </c>
      <c r="G377">
        <v>46</v>
      </c>
      <c r="H377">
        <v>0.93400000000000005</v>
      </c>
      <c r="I377">
        <v>0.439</v>
      </c>
      <c r="J377">
        <v>-9.5640000000000001</v>
      </c>
      <c r="K377">
        <v>0</v>
      </c>
      <c r="L377">
        <v>4</v>
      </c>
      <c r="M377">
        <v>0.33800000000000002</v>
      </c>
      <c r="N377">
        <v>5.0600000000000003E-3</v>
      </c>
      <c r="O377">
        <v>0</v>
      </c>
      <c r="P377">
        <v>9.1999999999999998E-2</v>
      </c>
      <c r="Q377">
        <v>0.28899999999999998</v>
      </c>
      <c r="R377">
        <v>140.02199999999999</v>
      </c>
      <c r="S377">
        <v>4</v>
      </c>
      <c r="T377">
        <v>118776</v>
      </c>
      <c r="U377">
        <v>4</v>
      </c>
      <c r="V377">
        <v>118776</v>
      </c>
      <c r="W377">
        <v>4</v>
      </c>
      <c r="X377">
        <v>118776</v>
      </c>
      <c r="Y377" t="s">
        <v>17</v>
      </c>
      <c r="Z377" t="str">
        <f>LOOKUP(B377,{0,1083,124200,681950},{"1st","2nd","3rd","4th"})&amp;" Quartile"</f>
        <v>3rd Quartile</v>
      </c>
    </row>
    <row r="378" spans="1:26">
      <c r="A378">
        <v>2019</v>
      </c>
      <c r="B378">
        <v>254900</v>
      </c>
      <c r="C378" t="s">
        <v>374</v>
      </c>
      <c r="D378" t="s">
        <v>373</v>
      </c>
      <c r="E378">
        <v>39</v>
      </c>
      <c r="F378" t="s">
        <v>372</v>
      </c>
      <c r="G378">
        <v>46</v>
      </c>
      <c r="H378">
        <v>0.93400000000000005</v>
      </c>
      <c r="I378">
        <v>0.439</v>
      </c>
      <c r="J378">
        <v>-9.5640000000000001</v>
      </c>
      <c r="K378">
        <v>0</v>
      </c>
      <c r="L378">
        <v>4</v>
      </c>
      <c r="M378">
        <v>0.33800000000000002</v>
      </c>
      <c r="N378">
        <v>5.0600000000000003E-3</v>
      </c>
      <c r="O378">
        <v>0</v>
      </c>
      <c r="P378">
        <v>9.1999999999999998E-2</v>
      </c>
      <c r="Q378">
        <v>0.28899999999999998</v>
      </c>
      <c r="R378">
        <v>140.02199999999999</v>
      </c>
      <c r="S378">
        <v>4</v>
      </c>
      <c r="T378">
        <v>118776</v>
      </c>
      <c r="U378">
        <v>4</v>
      </c>
      <c r="V378">
        <v>118776</v>
      </c>
      <c r="W378">
        <v>4</v>
      </c>
      <c r="X378">
        <v>118776</v>
      </c>
      <c r="Y378" t="s">
        <v>17</v>
      </c>
      <c r="Z378" t="str">
        <f>LOOKUP(B378,{0,1083,124200,681950},{"1st","2nd","3rd","4th"})&amp;" Quartile"</f>
        <v>3rd Quartile</v>
      </c>
    </row>
    <row r="379" spans="1:26">
      <c r="A379">
        <v>2020</v>
      </c>
      <c r="B379">
        <v>252500</v>
      </c>
      <c r="C379" t="s">
        <v>940</v>
      </c>
      <c r="D379" t="s">
        <v>606</v>
      </c>
      <c r="E379">
        <v>82</v>
      </c>
      <c r="F379" t="s">
        <v>939</v>
      </c>
      <c r="G379">
        <v>71</v>
      </c>
      <c r="H379">
        <v>0.76800000000000002</v>
      </c>
      <c r="I379">
        <v>0.65200000000000002</v>
      </c>
      <c r="J379">
        <v>-2.7080000000000002</v>
      </c>
      <c r="K379">
        <v>0</v>
      </c>
      <c r="L379">
        <v>1</v>
      </c>
      <c r="M379">
        <v>0.307</v>
      </c>
      <c r="N379">
        <v>0.113</v>
      </c>
      <c r="O379">
        <v>0</v>
      </c>
      <c r="P379">
        <v>0.107</v>
      </c>
      <c r="Q379">
        <v>0.77700000000000002</v>
      </c>
      <c r="R379">
        <v>154.18700000000001</v>
      </c>
      <c r="S379">
        <v>4</v>
      </c>
      <c r="T379">
        <v>144935</v>
      </c>
      <c r="U379">
        <v>4</v>
      </c>
      <c r="V379">
        <v>144935</v>
      </c>
      <c r="W379">
        <v>4</v>
      </c>
      <c r="X379">
        <v>144935</v>
      </c>
      <c r="Y379" t="s">
        <v>17</v>
      </c>
      <c r="Z379" t="str">
        <f>LOOKUP(B379,{0,1083,124200,681950},{"1st","2nd","3rd","4th"})&amp;" Quartile"</f>
        <v>3rd Quartile</v>
      </c>
    </row>
    <row r="380" spans="1:26">
      <c r="A380">
        <v>2021</v>
      </c>
      <c r="B380">
        <v>252000</v>
      </c>
      <c r="C380" t="s">
        <v>1393</v>
      </c>
      <c r="D380" t="s">
        <v>1392</v>
      </c>
      <c r="E380">
        <v>65</v>
      </c>
      <c r="F380" t="s">
        <v>1391</v>
      </c>
      <c r="G380">
        <v>70</v>
      </c>
      <c r="H380">
        <v>0.55100000000000005</v>
      </c>
      <c r="I380">
        <v>0.83599999999999997</v>
      </c>
      <c r="J380">
        <v>-3.8380000000000001</v>
      </c>
      <c r="K380">
        <v>0</v>
      </c>
      <c r="L380">
        <v>10</v>
      </c>
      <c r="M380">
        <v>5.2400000000000002E-2</v>
      </c>
      <c r="N380">
        <v>5.0200000000000002E-3</v>
      </c>
      <c r="O380">
        <v>2.0999999999999999E-5</v>
      </c>
      <c r="P380">
        <v>4.2500000000000003E-2</v>
      </c>
      <c r="Q380">
        <v>0.75800000000000001</v>
      </c>
      <c r="R380">
        <v>185.06299999999999</v>
      </c>
      <c r="S380">
        <v>4</v>
      </c>
      <c r="T380">
        <v>220573</v>
      </c>
      <c r="U380">
        <v>4</v>
      </c>
      <c r="V380">
        <v>220573</v>
      </c>
      <c r="W380">
        <v>4</v>
      </c>
      <c r="X380">
        <v>220573</v>
      </c>
      <c r="Y380" t="s">
        <v>17</v>
      </c>
      <c r="Z380" t="str">
        <f>LOOKUP(B380,{0,1083,124200,681950},{"1st","2nd","3rd","4th"})&amp;" Quartile"</f>
        <v>3rd Quartile</v>
      </c>
    </row>
    <row r="381" spans="1:26">
      <c r="A381">
        <v>2020</v>
      </c>
      <c r="B381">
        <v>247000</v>
      </c>
      <c r="C381" t="s">
        <v>964</v>
      </c>
      <c r="D381" t="s">
        <v>963</v>
      </c>
      <c r="E381">
        <v>59</v>
      </c>
      <c r="F381" t="s">
        <v>962</v>
      </c>
      <c r="G381">
        <v>64</v>
      </c>
      <c r="H381">
        <v>0.68899999999999995</v>
      </c>
      <c r="I381">
        <v>0.41199999999999998</v>
      </c>
      <c r="J381">
        <v>-7.5229999999999997</v>
      </c>
      <c r="K381">
        <v>0</v>
      </c>
      <c r="L381">
        <v>7</v>
      </c>
      <c r="M381">
        <v>3.0099999999999998E-2</v>
      </c>
      <c r="N381">
        <v>0.48799999999999999</v>
      </c>
      <c r="O381">
        <v>1.6000000000000001E-4</v>
      </c>
      <c r="P381">
        <v>6.59E-2</v>
      </c>
      <c r="Q381">
        <v>0.53700000000000003</v>
      </c>
      <c r="R381">
        <v>126.754</v>
      </c>
      <c r="S381">
        <v>4</v>
      </c>
      <c r="T381">
        <v>184060</v>
      </c>
      <c r="U381">
        <v>4</v>
      </c>
      <c r="V381">
        <v>184060</v>
      </c>
      <c r="W381">
        <v>4</v>
      </c>
      <c r="X381">
        <v>184060</v>
      </c>
      <c r="Y381" t="s">
        <v>17</v>
      </c>
      <c r="Z381" t="str">
        <f>LOOKUP(B381,{0,1083,124200,681950},{"1st","2nd","3rd","4th"})&amp;" Quartile"</f>
        <v>3rd Quartile</v>
      </c>
    </row>
    <row r="382" spans="1:26">
      <c r="A382">
        <v>2019</v>
      </c>
      <c r="B382">
        <v>246000</v>
      </c>
      <c r="C382" t="s">
        <v>375</v>
      </c>
      <c r="D382" t="s">
        <v>376</v>
      </c>
      <c r="E382">
        <v>61</v>
      </c>
      <c r="F382" t="s">
        <v>375</v>
      </c>
      <c r="G382">
        <v>59</v>
      </c>
      <c r="H382">
        <v>0.91100000000000003</v>
      </c>
      <c r="I382">
        <v>0.84199999999999997</v>
      </c>
      <c r="J382">
        <v>-4.8449999999999998</v>
      </c>
      <c r="K382">
        <v>1</v>
      </c>
      <c r="L382">
        <v>10</v>
      </c>
      <c r="M382">
        <v>9.2200000000000004E-2</v>
      </c>
      <c r="N382">
        <v>0.20499999999999999</v>
      </c>
      <c r="O382">
        <v>1.4800000000000001E-5</v>
      </c>
      <c r="P382">
        <v>0.115</v>
      </c>
      <c r="Q382">
        <v>0.57799999999999996</v>
      </c>
      <c r="R382">
        <v>112.01600000000001</v>
      </c>
      <c r="S382">
        <v>4</v>
      </c>
      <c r="T382">
        <v>187046</v>
      </c>
      <c r="U382">
        <v>4</v>
      </c>
      <c r="V382">
        <v>187046</v>
      </c>
      <c r="W382">
        <v>4</v>
      </c>
      <c r="X382">
        <v>187046</v>
      </c>
      <c r="Y382" t="s">
        <v>17</v>
      </c>
      <c r="Z382" t="str">
        <f>LOOKUP(B382,{0,1083,124200,681950},{"1st","2nd","3rd","4th"})&amp;" Quartile"</f>
        <v>3rd Quartile</v>
      </c>
    </row>
    <row r="383" spans="1:26">
      <c r="A383">
        <v>2021</v>
      </c>
      <c r="B383">
        <v>243300</v>
      </c>
      <c r="C383" t="s">
        <v>1469</v>
      </c>
      <c r="D383" t="s">
        <v>1470</v>
      </c>
      <c r="E383">
        <v>51</v>
      </c>
      <c r="F383" t="s">
        <v>1469</v>
      </c>
      <c r="G383">
        <v>59</v>
      </c>
      <c r="H383">
        <v>0.92100000000000004</v>
      </c>
      <c r="I383">
        <v>0.52400000000000002</v>
      </c>
      <c r="J383">
        <v>-7.0739999999999998</v>
      </c>
      <c r="K383">
        <v>0</v>
      </c>
      <c r="L383">
        <v>8</v>
      </c>
      <c r="M383">
        <v>5.6899999999999999E-2</v>
      </c>
      <c r="N383">
        <v>0.17199999999999999</v>
      </c>
      <c r="O383">
        <v>0</v>
      </c>
      <c r="P383">
        <v>0.13800000000000001</v>
      </c>
      <c r="Q383">
        <v>0.89500000000000002</v>
      </c>
      <c r="R383">
        <v>129.995</v>
      </c>
      <c r="S383">
        <v>4</v>
      </c>
      <c r="T383">
        <v>137077</v>
      </c>
      <c r="U383">
        <v>4</v>
      </c>
      <c r="V383">
        <v>137077</v>
      </c>
      <c r="W383">
        <v>4</v>
      </c>
      <c r="X383">
        <v>137077</v>
      </c>
      <c r="Y383" t="s">
        <v>17</v>
      </c>
      <c r="Z383" t="str">
        <f>LOOKUP(B383,{0,1083,124200,681950},{"1st","2nd","3rd","4th"})&amp;" Quartile"</f>
        <v>3rd Quartile</v>
      </c>
    </row>
    <row r="384" spans="1:26">
      <c r="A384">
        <v>2020</v>
      </c>
      <c r="B384">
        <v>240900</v>
      </c>
      <c r="C384" t="s">
        <v>961</v>
      </c>
      <c r="D384" t="s">
        <v>960</v>
      </c>
      <c r="E384">
        <v>67</v>
      </c>
      <c r="F384" t="s">
        <v>959</v>
      </c>
      <c r="G384">
        <v>77</v>
      </c>
      <c r="H384">
        <v>0.44700000000000001</v>
      </c>
      <c r="I384">
        <v>0.84799999999999998</v>
      </c>
      <c r="J384">
        <v>-6.1749999999999998</v>
      </c>
      <c r="K384">
        <v>1</v>
      </c>
      <c r="L384">
        <v>2</v>
      </c>
      <c r="M384">
        <v>0.222</v>
      </c>
      <c r="N384">
        <v>3.3000000000000002E-2</v>
      </c>
      <c r="O384">
        <v>7.4599999999999997E-5</v>
      </c>
      <c r="P384">
        <v>0.65</v>
      </c>
      <c r="Q384">
        <v>0.48499999999999999</v>
      </c>
      <c r="R384">
        <v>172.25299999999999</v>
      </c>
      <c r="S384">
        <v>4</v>
      </c>
      <c r="T384">
        <v>205200</v>
      </c>
      <c r="U384">
        <v>4</v>
      </c>
      <c r="V384">
        <v>205200</v>
      </c>
      <c r="W384">
        <v>4</v>
      </c>
      <c r="X384">
        <v>205200</v>
      </c>
      <c r="Y384" t="s">
        <v>17</v>
      </c>
      <c r="Z384" t="str">
        <f>LOOKUP(B384,{0,1083,124200,681950},{"1st","2nd","3rd","4th"})&amp;" Quartile"</f>
        <v>3rd Quartile</v>
      </c>
    </row>
    <row r="385" spans="1:26">
      <c r="A385">
        <v>2020</v>
      </c>
      <c r="B385">
        <v>240600</v>
      </c>
      <c r="C385" t="s">
        <v>1016</v>
      </c>
      <c r="D385" t="s">
        <v>679</v>
      </c>
      <c r="E385">
        <v>78</v>
      </c>
      <c r="F385" t="s">
        <v>1015</v>
      </c>
      <c r="G385">
        <v>78</v>
      </c>
      <c r="H385">
        <v>0.621</v>
      </c>
      <c r="I385">
        <v>0.873</v>
      </c>
      <c r="J385">
        <v>-3.0670000000000002</v>
      </c>
      <c r="K385">
        <v>0</v>
      </c>
      <c r="L385">
        <v>5</v>
      </c>
      <c r="M385">
        <v>3.6900000000000002E-2</v>
      </c>
      <c r="N385">
        <v>4.0599999999999997E-2</v>
      </c>
      <c r="O385">
        <v>9.0999999999999993E-6</v>
      </c>
      <c r="P385">
        <v>8.2400000000000001E-2</v>
      </c>
      <c r="Q385">
        <v>0.873</v>
      </c>
      <c r="R385">
        <v>97.96</v>
      </c>
      <c r="S385">
        <v>4</v>
      </c>
      <c r="T385">
        <v>237800</v>
      </c>
      <c r="U385">
        <v>4</v>
      </c>
      <c r="V385">
        <v>237800</v>
      </c>
      <c r="W385">
        <v>4</v>
      </c>
      <c r="X385">
        <v>237800</v>
      </c>
      <c r="Y385" t="s">
        <v>17</v>
      </c>
      <c r="Z385" t="str">
        <f>LOOKUP(B385,{0,1083,124200,681950},{"1st","2nd","3rd","4th"})&amp;" Quartile"</f>
        <v>3rd Quartile</v>
      </c>
    </row>
    <row r="386" spans="1:26">
      <c r="A386">
        <v>2019</v>
      </c>
      <c r="B386">
        <v>235700</v>
      </c>
      <c r="C386" t="s">
        <v>433</v>
      </c>
      <c r="D386" t="s">
        <v>432</v>
      </c>
      <c r="E386">
        <v>81</v>
      </c>
      <c r="F386" t="s">
        <v>431</v>
      </c>
      <c r="G386">
        <v>63</v>
      </c>
      <c r="H386">
        <v>0.71499999999999997</v>
      </c>
      <c r="I386">
        <v>0.624</v>
      </c>
      <c r="J386">
        <v>-3.0459999999999998</v>
      </c>
      <c r="K386">
        <v>0</v>
      </c>
      <c r="L386">
        <v>4</v>
      </c>
      <c r="M386">
        <v>0.114</v>
      </c>
      <c r="N386">
        <v>0.11</v>
      </c>
      <c r="O386">
        <v>0</v>
      </c>
      <c r="P386">
        <v>0.123</v>
      </c>
      <c r="Q386">
        <v>0.41199999999999998</v>
      </c>
      <c r="R386">
        <v>158.08699999999999</v>
      </c>
      <c r="S386">
        <v>4</v>
      </c>
      <c r="T386">
        <v>173325</v>
      </c>
      <c r="U386">
        <v>4</v>
      </c>
      <c r="V386">
        <v>173325</v>
      </c>
      <c r="W386">
        <v>4</v>
      </c>
      <c r="X386">
        <v>173325</v>
      </c>
      <c r="Y386" t="s">
        <v>17</v>
      </c>
      <c r="Z386" t="str">
        <f>LOOKUP(B386,{0,1083,124200,681950},{"1st","2nd","3rd","4th"})&amp;" Quartile"</f>
        <v>3rd Quartile</v>
      </c>
    </row>
    <row r="387" spans="1:26">
      <c r="A387">
        <v>2019</v>
      </c>
      <c r="B387">
        <v>234200</v>
      </c>
      <c r="C387" t="s">
        <v>478</v>
      </c>
      <c r="D387" t="s">
        <v>477</v>
      </c>
      <c r="E387">
        <v>70</v>
      </c>
      <c r="F387" t="s">
        <v>476</v>
      </c>
      <c r="G387">
        <v>1</v>
      </c>
      <c r="H387">
        <v>0.69599999999999995</v>
      </c>
      <c r="I387">
        <v>0.30099999999999999</v>
      </c>
      <c r="J387">
        <v>-12.647</v>
      </c>
      <c r="K387">
        <v>1</v>
      </c>
      <c r="L387">
        <v>8</v>
      </c>
      <c r="M387">
        <v>3.2000000000000001E-2</v>
      </c>
      <c r="N387">
        <v>0.98399999999999999</v>
      </c>
      <c r="O387">
        <v>0.624</v>
      </c>
      <c r="P387">
        <v>0.17</v>
      </c>
      <c r="Q387">
        <v>0.84799999999999998</v>
      </c>
      <c r="R387">
        <v>154.929</v>
      </c>
      <c r="S387">
        <v>4</v>
      </c>
      <c r="T387">
        <v>50274</v>
      </c>
      <c r="U387">
        <v>4</v>
      </c>
      <c r="V387">
        <v>50274</v>
      </c>
      <c r="W387">
        <v>4</v>
      </c>
      <c r="X387">
        <v>50274</v>
      </c>
      <c r="Y387" t="s">
        <v>17</v>
      </c>
      <c r="Z387" t="str">
        <f>LOOKUP(B387,{0,1083,124200,681950},{"1st","2nd","3rd","4th"})&amp;" Quartile"</f>
        <v>3rd Quartile</v>
      </c>
    </row>
    <row r="388" spans="1:26">
      <c r="A388">
        <v>2021</v>
      </c>
      <c r="B388">
        <v>231600</v>
      </c>
      <c r="C388" t="s">
        <v>1479</v>
      </c>
      <c r="D388" t="s">
        <v>1480</v>
      </c>
      <c r="E388">
        <v>63</v>
      </c>
      <c r="F388" t="s">
        <v>1479</v>
      </c>
      <c r="G388">
        <v>76</v>
      </c>
      <c r="H388">
        <v>0.76</v>
      </c>
      <c r="I388">
        <v>0.371</v>
      </c>
      <c r="J388">
        <v>-8.9640000000000004</v>
      </c>
      <c r="K388">
        <v>1</v>
      </c>
      <c r="L388">
        <v>6</v>
      </c>
      <c r="M388">
        <v>5.3100000000000001E-2</v>
      </c>
      <c r="N388">
        <v>7.7200000000000003E-3</v>
      </c>
      <c r="O388">
        <v>0</v>
      </c>
      <c r="P388">
        <v>7.85E-2</v>
      </c>
      <c r="Q388">
        <v>0.65300000000000002</v>
      </c>
      <c r="R388">
        <v>138.023</v>
      </c>
      <c r="S388">
        <v>4</v>
      </c>
      <c r="T388">
        <v>115402</v>
      </c>
      <c r="U388">
        <v>4</v>
      </c>
      <c r="V388">
        <v>115402</v>
      </c>
      <c r="W388">
        <v>4</v>
      </c>
      <c r="X388">
        <v>115402</v>
      </c>
      <c r="Y388" t="s">
        <v>17</v>
      </c>
      <c r="Z388" t="str">
        <f>LOOKUP(B388,{0,1083,124200,681950},{"1st","2nd","3rd","4th"})&amp;" Quartile"</f>
        <v>3rd Quartile</v>
      </c>
    </row>
    <row r="389" spans="1:26">
      <c r="A389">
        <v>2019</v>
      </c>
      <c r="B389">
        <v>231200</v>
      </c>
      <c r="C389" t="s">
        <v>363</v>
      </c>
      <c r="D389" t="s">
        <v>362</v>
      </c>
      <c r="E389">
        <v>57</v>
      </c>
      <c r="F389" t="s">
        <v>361</v>
      </c>
      <c r="G389">
        <v>75</v>
      </c>
      <c r="H389">
        <v>0.438</v>
      </c>
      <c r="I389">
        <v>0.48899999999999999</v>
      </c>
      <c r="J389">
        <v>-11.568</v>
      </c>
      <c r="K389">
        <v>1</v>
      </c>
      <c r="L389">
        <v>0</v>
      </c>
      <c r="M389">
        <v>4.65E-2</v>
      </c>
      <c r="N389">
        <v>1.03E-2</v>
      </c>
      <c r="O389">
        <v>1.22E-5</v>
      </c>
      <c r="P389">
        <v>0.442</v>
      </c>
      <c r="Q389">
        <v>0.182</v>
      </c>
      <c r="R389">
        <v>136.077</v>
      </c>
      <c r="S389">
        <v>3</v>
      </c>
      <c r="T389">
        <v>125480</v>
      </c>
      <c r="U389">
        <v>3</v>
      </c>
      <c r="V389">
        <v>125480</v>
      </c>
      <c r="W389">
        <v>3</v>
      </c>
      <c r="X389">
        <v>125480</v>
      </c>
      <c r="Y389" t="s">
        <v>17</v>
      </c>
      <c r="Z389" t="str">
        <f>LOOKUP(B389,{0,1083,124200,681950},{"1st","2nd","3rd","4th"})&amp;" Quartile"</f>
        <v>3rd Quartile</v>
      </c>
    </row>
    <row r="390" spans="1:26">
      <c r="A390">
        <v>2020</v>
      </c>
      <c r="B390">
        <v>229100</v>
      </c>
      <c r="C390" t="s">
        <v>1132</v>
      </c>
      <c r="D390" t="s">
        <v>1131</v>
      </c>
      <c r="E390">
        <v>67</v>
      </c>
      <c r="F390" t="s">
        <v>1130</v>
      </c>
      <c r="G390">
        <v>66</v>
      </c>
      <c r="H390">
        <v>0.80100000000000005</v>
      </c>
      <c r="I390">
        <v>0.58899999999999997</v>
      </c>
      <c r="J390">
        <v>-5.157</v>
      </c>
      <c r="K390">
        <v>1</v>
      </c>
      <c r="L390">
        <v>7</v>
      </c>
      <c r="M390">
        <v>4.8500000000000001E-2</v>
      </c>
      <c r="N390">
        <v>8.6300000000000002E-2</v>
      </c>
      <c r="O390">
        <v>0</v>
      </c>
      <c r="P390">
        <v>0.16200000000000001</v>
      </c>
      <c r="Q390">
        <v>0.57999999999999996</v>
      </c>
      <c r="R390">
        <v>116.934</v>
      </c>
      <c r="S390">
        <v>4</v>
      </c>
      <c r="T390">
        <v>180147</v>
      </c>
      <c r="U390">
        <v>4</v>
      </c>
      <c r="V390">
        <v>180147</v>
      </c>
      <c r="W390">
        <v>4</v>
      </c>
      <c r="X390">
        <v>180147</v>
      </c>
      <c r="Y390" t="s">
        <v>17</v>
      </c>
      <c r="Z390" t="str">
        <f>LOOKUP(B390,{0,1083,124200,681950},{"1st","2nd","3rd","4th"})&amp;" Quartile"</f>
        <v>3rd Quartile</v>
      </c>
    </row>
    <row r="391" spans="1:26">
      <c r="A391">
        <v>2020</v>
      </c>
      <c r="B391">
        <v>225900</v>
      </c>
      <c r="C391" t="s">
        <v>794</v>
      </c>
      <c r="D391" t="s">
        <v>793</v>
      </c>
      <c r="E391">
        <v>56</v>
      </c>
      <c r="F391" t="s">
        <v>792</v>
      </c>
      <c r="G391">
        <v>65</v>
      </c>
      <c r="H391">
        <v>0.51200000000000001</v>
      </c>
      <c r="I391">
        <v>0.77100000000000002</v>
      </c>
      <c r="J391">
        <v>-7.0060000000000002</v>
      </c>
      <c r="K391">
        <v>1</v>
      </c>
      <c r="L391">
        <v>4</v>
      </c>
      <c r="M391">
        <v>4.02E-2</v>
      </c>
      <c r="N391">
        <v>0.16800000000000001</v>
      </c>
      <c r="O391">
        <v>0</v>
      </c>
      <c r="P391">
        <v>8.9499999999999996E-2</v>
      </c>
      <c r="Q391">
        <v>0.80300000000000005</v>
      </c>
      <c r="R391">
        <v>129.63900000000001</v>
      </c>
      <c r="S391">
        <v>4</v>
      </c>
      <c r="T391">
        <v>160907</v>
      </c>
      <c r="U391">
        <v>4</v>
      </c>
      <c r="V391">
        <v>160907</v>
      </c>
      <c r="W391">
        <v>4</v>
      </c>
      <c r="X391">
        <v>160907</v>
      </c>
      <c r="Y391" t="s">
        <v>17</v>
      </c>
      <c r="Z391" t="str">
        <f>LOOKUP(B391,{0,1083,124200,681950},{"1st","2nd","3rd","4th"})&amp;" Quartile"</f>
        <v>3rd Quartile</v>
      </c>
    </row>
    <row r="392" spans="1:26">
      <c r="A392">
        <v>2022</v>
      </c>
      <c r="B392">
        <v>223900</v>
      </c>
      <c r="C392" t="s">
        <v>1826</v>
      </c>
      <c r="D392" t="s">
        <v>1827</v>
      </c>
      <c r="E392">
        <v>68</v>
      </c>
      <c r="F392" t="s">
        <v>1826</v>
      </c>
      <c r="G392">
        <v>86</v>
      </c>
      <c r="H392">
        <v>0.57799999999999996</v>
      </c>
      <c r="I392">
        <v>0.91200000000000003</v>
      </c>
      <c r="J392">
        <v>-3.9289999999999998</v>
      </c>
      <c r="K392">
        <v>1</v>
      </c>
      <c r="L392">
        <v>1</v>
      </c>
      <c r="M392">
        <v>0.114</v>
      </c>
      <c r="N392">
        <v>1.66E-2</v>
      </c>
      <c r="O392">
        <v>3.62E-3</v>
      </c>
      <c r="P392">
        <v>0.27300000000000002</v>
      </c>
      <c r="Q392">
        <v>0.68</v>
      </c>
      <c r="R392">
        <v>127.87</v>
      </c>
      <c r="S392">
        <v>4</v>
      </c>
      <c r="T392">
        <v>177525</v>
      </c>
      <c r="U392">
        <v>4</v>
      </c>
      <c r="V392">
        <v>177525</v>
      </c>
      <c r="W392">
        <v>4</v>
      </c>
      <c r="X392">
        <v>177525</v>
      </c>
      <c r="Y392" t="s">
        <v>17</v>
      </c>
      <c r="Z392" t="str">
        <f>LOOKUP(B392,{0,1083,124200,681950},{"1st","2nd","3rd","4th"})&amp;" Quartile"</f>
        <v>3rd Quartile</v>
      </c>
    </row>
    <row r="393" spans="1:26">
      <c r="A393">
        <v>2020</v>
      </c>
      <c r="B393">
        <v>222300</v>
      </c>
      <c r="C393" t="s">
        <v>946</v>
      </c>
      <c r="D393" t="s">
        <v>293</v>
      </c>
      <c r="E393">
        <v>74</v>
      </c>
      <c r="F393" t="s">
        <v>292</v>
      </c>
      <c r="G393">
        <v>72</v>
      </c>
      <c r="H393">
        <v>0.68600000000000005</v>
      </c>
      <c r="I393">
        <v>0.54100000000000004</v>
      </c>
      <c r="J393">
        <v>-4.9930000000000003</v>
      </c>
      <c r="K393">
        <v>0</v>
      </c>
      <c r="L393">
        <v>0</v>
      </c>
      <c r="M393">
        <v>4.9299999999999997E-2</v>
      </c>
      <c r="N393">
        <v>4.2000000000000003E-2</v>
      </c>
      <c r="O393">
        <v>0</v>
      </c>
      <c r="P393">
        <v>6.7500000000000004E-2</v>
      </c>
      <c r="Q393">
        <v>0.72399999999999998</v>
      </c>
      <c r="R393">
        <v>120.08199999999999</v>
      </c>
      <c r="S393">
        <v>4</v>
      </c>
      <c r="T393">
        <v>112493</v>
      </c>
      <c r="U393">
        <v>4</v>
      </c>
      <c r="V393">
        <v>112493</v>
      </c>
      <c r="W393">
        <v>4</v>
      </c>
      <c r="X393">
        <v>112493</v>
      </c>
      <c r="Y393" t="s">
        <v>17</v>
      </c>
      <c r="Z393" t="str">
        <f>LOOKUP(B393,{0,1083,124200,681950},{"1st","2nd","3rd","4th"})&amp;" Quartile"</f>
        <v>3rd Quartile</v>
      </c>
    </row>
    <row r="394" spans="1:26">
      <c r="A394">
        <v>2021</v>
      </c>
      <c r="B394">
        <v>221300</v>
      </c>
      <c r="C394" t="s">
        <v>1247</v>
      </c>
      <c r="D394" t="s">
        <v>1248</v>
      </c>
      <c r="E394">
        <v>46</v>
      </c>
      <c r="F394" t="s">
        <v>1247</v>
      </c>
      <c r="G394">
        <v>64</v>
      </c>
      <c r="H394">
        <v>0.81100000000000005</v>
      </c>
      <c r="I394">
        <v>0.71199999999999997</v>
      </c>
      <c r="J394">
        <v>-6.5670000000000002</v>
      </c>
      <c r="K394">
        <v>1</v>
      </c>
      <c r="L394">
        <v>11</v>
      </c>
      <c r="M394">
        <v>0.30399999999999999</v>
      </c>
      <c r="N394">
        <v>0.14199999999999999</v>
      </c>
      <c r="O394">
        <v>9.3399999999999993E-5</v>
      </c>
      <c r="P394">
        <v>0.14799999999999999</v>
      </c>
      <c r="Q394">
        <v>0.497</v>
      </c>
      <c r="R394">
        <v>203.91800000000001</v>
      </c>
      <c r="S394">
        <v>4</v>
      </c>
      <c r="T394">
        <v>141218</v>
      </c>
      <c r="U394">
        <v>4</v>
      </c>
      <c r="V394">
        <v>141218</v>
      </c>
      <c r="W394">
        <v>4</v>
      </c>
      <c r="X394">
        <v>141218</v>
      </c>
      <c r="Y394" t="s">
        <v>17</v>
      </c>
      <c r="Z394" t="str">
        <f>LOOKUP(B394,{0,1083,124200,681950},{"1st","2nd","3rd","4th"})&amp;" Quartile"</f>
        <v>3rd Quartile</v>
      </c>
    </row>
    <row r="395" spans="1:26">
      <c r="A395">
        <v>2019</v>
      </c>
      <c r="B395">
        <v>220600</v>
      </c>
      <c r="C395" t="s">
        <v>395</v>
      </c>
      <c r="D395" t="s">
        <v>396</v>
      </c>
      <c r="E395">
        <v>81</v>
      </c>
      <c r="F395" t="s">
        <v>395</v>
      </c>
      <c r="G395">
        <v>70</v>
      </c>
      <c r="H395">
        <v>0.70299999999999996</v>
      </c>
      <c r="I395">
        <v>0.59399999999999997</v>
      </c>
      <c r="J395">
        <v>-6.1459999999999999</v>
      </c>
      <c r="K395">
        <v>0</v>
      </c>
      <c r="L395">
        <v>5</v>
      </c>
      <c r="M395">
        <v>7.5200000000000003E-2</v>
      </c>
      <c r="N395">
        <v>0.34200000000000003</v>
      </c>
      <c r="O395">
        <v>0</v>
      </c>
      <c r="P395">
        <v>0.123</v>
      </c>
      <c r="Q395">
        <v>0.47499999999999998</v>
      </c>
      <c r="R395">
        <v>153.84800000000001</v>
      </c>
      <c r="S395">
        <v>4</v>
      </c>
      <c r="T395">
        <v>114893</v>
      </c>
      <c r="U395">
        <v>4</v>
      </c>
      <c r="V395">
        <v>114893</v>
      </c>
      <c r="W395">
        <v>4</v>
      </c>
      <c r="X395">
        <v>114893</v>
      </c>
      <c r="Y395" t="s">
        <v>17</v>
      </c>
      <c r="Z395" t="str">
        <f>LOOKUP(B395,{0,1083,124200,681950},{"1st","2nd","3rd","4th"})&amp;" Quartile"</f>
        <v>3rd Quartile</v>
      </c>
    </row>
    <row r="396" spans="1:26">
      <c r="A396">
        <v>2022</v>
      </c>
      <c r="B396">
        <v>219500</v>
      </c>
      <c r="C396" t="s">
        <v>640</v>
      </c>
      <c r="D396" t="s">
        <v>639</v>
      </c>
      <c r="E396">
        <v>84</v>
      </c>
      <c r="F396" t="s">
        <v>640</v>
      </c>
      <c r="G396">
        <v>4</v>
      </c>
      <c r="H396">
        <v>0.92300000000000004</v>
      </c>
      <c r="I396">
        <v>0.60399999999999998</v>
      </c>
      <c r="J396">
        <v>-6.6710000000000003</v>
      </c>
      <c r="K396">
        <v>0</v>
      </c>
      <c r="L396">
        <v>11</v>
      </c>
      <c r="M396">
        <v>0.245</v>
      </c>
      <c r="N396">
        <v>1.7000000000000001E-2</v>
      </c>
      <c r="O396">
        <v>0</v>
      </c>
      <c r="P396">
        <v>0.27200000000000002</v>
      </c>
      <c r="Q396">
        <v>0.82599999999999996</v>
      </c>
      <c r="R396">
        <v>145.06200000000001</v>
      </c>
      <c r="S396">
        <v>4</v>
      </c>
      <c r="T396">
        <v>139741</v>
      </c>
      <c r="U396">
        <v>4</v>
      </c>
      <c r="V396">
        <v>139741</v>
      </c>
      <c r="W396">
        <v>4</v>
      </c>
      <c r="X396">
        <v>139741</v>
      </c>
      <c r="Y396" t="s">
        <v>17</v>
      </c>
      <c r="Z396" t="str">
        <f>LOOKUP(B396,{0,1083,124200,681950},{"1st","2nd","3rd","4th"})&amp;" Quartile"</f>
        <v>3rd Quartile</v>
      </c>
    </row>
    <row r="397" spans="1:26">
      <c r="A397">
        <v>2020</v>
      </c>
      <c r="B397">
        <v>219300</v>
      </c>
      <c r="C397" t="s">
        <v>640</v>
      </c>
      <c r="D397" t="s">
        <v>639</v>
      </c>
      <c r="E397">
        <v>84</v>
      </c>
      <c r="F397" t="s">
        <v>638</v>
      </c>
      <c r="G397">
        <v>77</v>
      </c>
      <c r="H397">
        <v>0.92300000000000004</v>
      </c>
      <c r="I397">
        <v>0.60399999999999998</v>
      </c>
      <c r="J397">
        <v>-6.6710000000000003</v>
      </c>
      <c r="K397">
        <v>0</v>
      </c>
      <c r="L397">
        <v>11</v>
      </c>
      <c r="M397">
        <v>0.245</v>
      </c>
      <c r="N397">
        <v>1.7000000000000001E-2</v>
      </c>
      <c r="O397">
        <v>0</v>
      </c>
      <c r="P397">
        <v>0.27200000000000002</v>
      </c>
      <c r="Q397">
        <v>0.82599999999999996</v>
      </c>
      <c r="R397">
        <v>145.06200000000001</v>
      </c>
      <c r="S397">
        <v>4</v>
      </c>
      <c r="T397">
        <v>139741</v>
      </c>
      <c r="U397">
        <v>4</v>
      </c>
      <c r="V397">
        <v>139741</v>
      </c>
      <c r="W397">
        <v>4</v>
      </c>
      <c r="X397">
        <v>139741</v>
      </c>
      <c r="Y397" t="s">
        <v>17</v>
      </c>
      <c r="Z397" t="str">
        <f>LOOKUP(B397,{0,1083,124200,681950},{"1st","2nd","3rd","4th"})&amp;" Quartile"</f>
        <v>3rd Quartile</v>
      </c>
    </row>
    <row r="398" spans="1:26">
      <c r="A398">
        <v>2019</v>
      </c>
      <c r="B398">
        <v>219100</v>
      </c>
      <c r="C398" t="s">
        <v>262</v>
      </c>
      <c r="D398" t="s">
        <v>263</v>
      </c>
      <c r="E398">
        <v>57</v>
      </c>
      <c r="F398" t="s">
        <v>262</v>
      </c>
      <c r="G398">
        <v>68</v>
      </c>
      <c r="H398">
        <v>0.7</v>
      </c>
      <c r="I398">
        <v>0.35399999999999998</v>
      </c>
      <c r="J398">
        <v>-14.042999999999999</v>
      </c>
      <c r="K398">
        <v>0</v>
      </c>
      <c r="L398">
        <v>6</v>
      </c>
      <c r="M398">
        <v>3.4500000000000003E-2</v>
      </c>
      <c r="N398">
        <v>0.76500000000000001</v>
      </c>
      <c r="O398">
        <v>1.58E-3</v>
      </c>
      <c r="P398">
        <v>0.128</v>
      </c>
      <c r="Q398">
        <v>0.245</v>
      </c>
      <c r="R398">
        <v>119.965</v>
      </c>
      <c r="S398">
        <v>4</v>
      </c>
      <c r="T398">
        <v>227027</v>
      </c>
      <c r="U398">
        <v>4</v>
      </c>
      <c r="V398">
        <v>227027</v>
      </c>
      <c r="W398">
        <v>4</v>
      </c>
      <c r="X398">
        <v>227027</v>
      </c>
      <c r="Y398" t="s">
        <v>17</v>
      </c>
      <c r="Z398" t="str">
        <f>LOOKUP(B398,{0,1083,124200,681950},{"1st","2nd","3rd","4th"})&amp;" Quartile"</f>
        <v>3rd Quartile</v>
      </c>
    </row>
    <row r="399" spans="1:26">
      <c r="A399">
        <v>2021</v>
      </c>
      <c r="B399">
        <v>217600</v>
      </c>
      <c r="C399" t="s">
        <v>1303</v>
      </c>
      <c r="D399" t="s">
        <v>1040</v>
      </c>
      <c r="E399">
        <v>81</v>
      </c>
      <c r="F399" t="s">
        <v>1039</v>
      </c>
      <c r="G399">
        <v>81</v>
      </c>
      <c r="H399">
        <v>0.628</v>
      </c>
      <c r="I399">
        <v>0.63900000000000001</v>
      </c>
      <c r="J399">
        <v>-5.46</v>
      </c>
      <c r="K399">
        <v>1</v>
      </c>
      <c r="L399">
        <v>8</v>
      </c>
      <c r="M399">
        <v>4.3499999999999997E-2</v>
      </c>
      <c r="N399">
        <v>1.6199999999999999E-3</v>
      </c>
      <c r="O399">
        <v>0</v>
      </c>
      <c r="P399">
        <v>0.35399999999999998</v>
      </c>
      <c r="Q399">
        <v>0.49299999999999999</v>
      </c>
      <c r="R399">
        <v>108.045</v>
      </c>
      <c r="S399">
        <v>4</v>
      </c>
      <c r="T399">
        <v>185773</v>
      </c>
      <c r="U399">
        <v>4</v>
      </c>
      <c r="V399">
        <v>185773</v>
      </c>
      <c r="W399">
        <v>4</v>
      </c>
      <c r="X399">
        <v>185773</v>
      </c>
      <c r="Y399" t="s">
        <v>17</v>
      </c>
      <c r="Z399" t="str">
        <f>LOOKUP(B399,{0,1083,124200,681950},{"1st","2nd","3rd","4th"})&amp;" Quartile"</f>
        <v>3rd Quartile</v>
      </c>
    </row>
    <row r="400" spans="1:26">
      <c r="A400">
        <v>2022</v>
      </c>
      <c r="B400">
        <v>217400</v>
      </c>
      <c r="C400" t="s">
        <v>1240</v>
      </c>
      <c r="D400" t="s">
        <v>1241</v>
      </c>
      <c r="E400">
        <v>80</v>
      </c>
      <c r="F400" t="s">
        <v>1837</v>
      </c>
      <c r="G400">
        <v>89</v>
      </c>
      <c r="H400">
        <v>0.76100000000000001</v>
      </c>
      <c r="I400">
        <v>0.52500000000000002</v>
      </c>
      <c r="J400">
        <v>-6.9</v>
      </c>
      <c r="K400">
        <v>1</v>
      </c>
      <c r="L400">
        <v>11</v>
      </c>
      <c r="M400">
        <v>9.4399999999999998E-2</v>
      </c>
      <c r="N400">
        <v>0.44</v>
      </c>
      <c r="O400">
        <v>6.7000000000000002E-6</v>
      </c>
      <c r="P400">
        <v>9.2100000000000001E-2</v>
      </c>
      <c r="Q400">
        <v>0.53100000000000003</v>
      </c>
      <c r="R400">
        <v>80.87</v>
      </c>
      <c r="S400">
        <v>4</v>
      </c>
      <c r="T400">
        <v>238805</v>
      </c>
      <c r="U400">
        <v>4</v>
      </c>
      <c r="V400">
        <v>238805</v>
      </c>
      <c r="W400">
        <v>4</v>
      </c>
      <c r="X400">
        <v>238805</v>
      </c>
      <c r="Y400" t="s">
        <v>17</v>
      </c>
      <c r="Z400" t="str">
        <f>LOOKUP(B400,{0,1083,124200,681950},{"1st","2nd","3rd","4th"})&amp;" Quartile"</f>
        <v>3rd Quartile</v>
      </c>
    </row>
    <row r="401" spans="1:26">
      <c r="A401">
        <v>2019</v>
      </c>
      <c r="B401">
        <v>217400</v>
      </c>
      <c r="C401" t="s">
        <v>434</v>
      </c>
      <c r="D401" t="s">
        <v>435</v>
      </c>
      <c r="E401">
        <v>38</v>
      </c>
      <c r="F401" t="s">
        <v>434</v>
      </c>
      <c r="G401">
        <v>50</v>
      </c>
      <c r="H401">
        <v>0.88300000000000001</v>
      </c>
      <c r="I401">
        <v>0.49199999999999999</v>
      </c>
      <c r="J401">
        <v>-12.118</v>
      </c>
      <c r="K401">
        <v>1</v>
      </c>
      <c r="L401">
        <v>7</v>
      </c>
      <c r="M401">
        <v>0.35399999999999998</v>
      </c>
      <c r="N401">
        <v>0.33900000000000002</v>
      </c>
      <c r="O401">
        <v>0</v>
      </c>
      <c r="P401">
        <v>0.16600000000000001</v>
      </c>
      <c r="Q401">
        <v>0.59</v>
      </c>
      <c r="R401">
        <v>94.959000000000003</v>
      </c>
      <c r="S401">
        <v>4</v>
      </c>
      <c r="T401">
        <v>146526</v>
      </c>
      <c r="U401">
        <v>4</v>
      </c>
      <c r="V401">
        <v>146526</v>
      </c>
      <c r="W401">
        <v>4</v>
      </c>
      <c r="X401">
        <v>146526</v>
      </c>
      <c r="Y401" t="s">
        <v>17</v>
      </c>
      <c r="Z401" t="str">
        <f>LOOKUP(B401,{0,1083,124200,681950},{"1st","2nd","3rd","4th"})&amp;" Quartile"</f>
        <v>3rd Quartile</v>
      </c>
    </row>
    <row r="402" spans="1:26">
      <c r="A402">
        <v>2021</v>
      </c>
      <c r="B402">
        <v>214400</v>
      </c>
      <c r="C402" t="s">
        <v>1465</v>
      </c>
      <c r="D402" t="s">
        <v>1466</v>
      </c>
      <c r="E402">
        <v>83</v>
      </c>
      <c r="F402" t="s">
        <v>1465</v>
      </c>
      <c r="G402">
        <v>77</v>
      </c>
      <c r="H402">
        <v>0.749</v>
      </c>
      <c r="I402">
        <v>0.53500000000000003</v>
      </c>
      <c r="J402">
        <v>-6.7850000000000001</v>
      </c>
      <c r="K402">
        <v>1</v>
      </c>
      <c r="L402">
        <v>4</v>
      </c>
      <c r="M402">
        <v>3.3599999999999998E-2</v>
      </c>
      <c r="N402">
        <v>1.3100000000000001E-2</v>
      </c>
      <c r="O402">
        <v>3.65E-5</v>
      </c>
      <c r="P402">
        <v>9.8199999999999996E-2</v>
      </c>
      <c r="Q402">
        <v>0.60099999999999998</v>
      </c>
      <c r="R402">
        <v>123.042</v>
      </c>
      <c r="S402">
        <v>4</v>
      </c>
      <c r="T402">
        <v>196607</v>
      </c>
      <c r="U402">
        <v>4</v>
      </c>
      <c r="V402">
        <v>196607</v>
      </c>
      <c r="W402">
        <v>4</v>
      </c>
      <c r="X402">
        <v>196607</v>
      </c>
      <c r="Y402" t="s">
        <v>17</v>
      </c>
      <c r="Z402" t="str">
        <f>LOOKUP(B402,{0,1083,124200,681950},{"1st","2nd","3rd","4th"})&amp;" Quartile"</f>
        <v>3rd Quartile</v>
      </c>
    </row>
    <row r="403" spans="1:26">
      <c r="A403">
        <v>2022</v>
      </c>
      <c r="B403">
        <v>211600</v>
      </c>
      <c r="C403" t="s">
        <v>831</v>
      </c>
      <c r="D403" t="s">
        <v>830</v>
      </c>
      <c r="E403">
        <v>75</v>
      </c>
      <c r="F403" t="s">
        <v>1650</v>
      </c>
      <c r="G403">
        <v>76</v>
      </c>
      <c r="H403">
        <v>0.60099999999999998</v>
      </c>
      <c r="I403">
        <v>0.70299999999999996</v>
      </c>
      <c r="J403">
        <v>-6.24</v>
      </c>
      <c r="K403">
        <v>1</v>
      </c>
      <c r="L403">
        <v>7</v>
      </c>
      <c r="M403">
        <v>3.7900000000000003E-2</v>
      </c>
      <c r="N403">
        <v>0.17499999999999999</v>
      </c>
      <c r="O403">
        <v>8.3999999999999995E-5</v>
      </c>
      <c r="P403">
        <v>0.57099999999999995</v>
      </c>
      <c r="Q403">
        <v>0.67300000000000004</v>
      </c>
      <c r="R403">
        <v>106.164</v>
      </c>
      <c r="S403">
        <v>4</v>
      </c>
      <c r="T403">
        <v>196213</v>
      </c>
      <c r="U403">
        <v>4</v>
      </c>
      <c r="V403">
        <v>196213</v>
      </c>
      <c r="W403">
        <v>4</v>
      </c>
      <c r="X403">
        <v>196213</v>
      </c>
      <c r="Y403" t="s">
        <v>17</v>
      </c>
      <c r="Z403" t="str">
        <f>LOOKUP(B403,{0,1083,124200,681950},{"1st","2nd","3rd","4th"})&amp;" Quartile"</f>
        <v>3rd Quartile</v>
      </c>
    </row>
    <row r="404" spans="1:26">
      <c r="A404">
        <v>2020</v>
      </c>
      <c r="B404">
        <v>211600</v>
      </c>
      <c r="C404" t="s">
        <v>831</v>
      </c>
      <c r="D404" t="s">
        <v>830</v>
      </c>
      <c r="E404">
        <v>75</v>
      </c>
      <c r="F404" t="s">
        <v>829</v>
      </c>
      <c r="G404">
        <v>63</v>
      </c>
      <c r="H404">
        <v>0.63200000000000001</v>
      </c>
      <c r="I404">
        <v>0.68300000000000005</v>
      </c>
      <c r="J404">
        <v>-6.4340000000000002</v>
      </c>
      <c r="K404">
        <v>1</v>
      </c>
      <c r="L404">
        <v>7</v>
      </c>
      <c r="M404">
        <v>3.8300000000000001E-2</v>
      </c>
      <c r="N404">
        <v>0.16300000000000001</v>
      </c>
      <c r="O404">
        <v>1.2999999999999999E-4</v>
      </c>
      <c r="P404">
        <v>0.84699999999999998</v>
      </c>
      <c r="Q404">
        <v>0.70099999999999996</v>
      </c>
      <c r="R404">
        <v>105.955</v>
      </c>
      <c r="S404">
        <v>4</v>
      </c>
      <c r="T404">
        <v>197213</v>
      </c>
      <c r="U404">
        <v>4</v>
      </c>
      <c r="V404">
        <v>197213</v>
      </c>
      <c r="W404">
        <v>4</v>
      </c>
      <c r="X404">
        <v>197213</v>
      </c>
      <c r="Y404" t="s">
        <v>17</v>
      </c>
      <c r="Z404" t="str">
        <f>LOOKUP(B404,{0,1083,124200,681950},{"1st","2nd","3rd","4th"})&amp;" Quartile"</f>
        <v>3rd Quartile</v>
      </c>
    </row>
    <row r="405" spans="1:26">
      <c r="A405">
        <v>2022</v>
      </c>
      <c r="B405">
        <v>208600</v>
      </c>
      <c r="C405" t="s">
        <v>1649</v>
      </c>
      <c r="D405" t="s">
        <v>490</v>
      </c>
      <c r="E405">
        <v>68</v>
      </c>
      <c r="F405" t="s">
        <v>1648</v>
      </c>
      <c r="G405">
        <v>83</v>
      </c>
      <c r="H405">
        <v>0.82399999999999995</v>
      </c>
      <c r="I405">
        <v>0.86199999999999999</v>
      </c>
      <c r="J405">
        <v>-3.4239999999999999</v>
      </c>
      <c r="K405">
        <v>1</v>
      </c>
      <c r="L405">
        <v>2</v>
      </c>
      <c r="M405">
        <v>0.126</v>
      </c>
      <c r="N405">
        <v>7.6E-3</v>
      </c>
      <c r="O405">
        <v>1.3200000000000001E-4</v>
      </c>
      <c r="P405">
        <v>0.30299999999999999</v>
      </c>
      <c r="Q405">
        <v>0.80100000000000005</v>
      </c>
      <c r="R405">
        <v>122.98</v>
      </c>
      <c r="S405">
        <v>4</v>
      </c>
      <c r="T405">
        <v>169153</v>
      </c>
      <c r="U405">
        <v>4</v>
      </c>
      <c r="V405">
        <v>169153</v>
      </c>
      <c r="W405">
        <v>4</v>
      </c>
      <c r="X405">
        <v>169153</v>
      </c>
      <c r="Y405" t="s">
        <v>17</v>
      </c>
      <c r="Z405" t="str">
        <f>LOOKUP(B405,{0,1083,124200,681950},{"1st","2nd","3rd","4th"})&amp;" Quartile"</f>
        <v>3rd Quartile</v>
      </c>
    </row>
    <row r="406" spans="1:26">
      <c r="A406">
        <v>2022</v>
      </c>
      <c r="B406">
        <v>207200</v>
      </c>
      <c r="C406" t="s">
        <v>1603</v>
      </c>
      <c r="D406" t="s">
        <v>1365</v>
      </c>
      <c r="E406">
        <v>83</v>
      </c>
      <c r="F406" t="s">
        <v>1364</v>
      </c>
      <c r="G406">
        <v>80</v>
      </c>
      <c r="H406">
        <v>0.82299999999999995</v>
      </c>
      <c r="I406">
        <v>0.58599999999999997</v>
      </c>
      <c r="J406">
        <v>-6.6059999999999999</v>
      </c>
      <c r="K406">
        <v>0</v>
      </c>
      <c r="L406">
        <v>6</v>
      </c>
      <c r="M406">
        <v>0.2</v>
      </c>
      <c r="N406">
        <v>0.114</v>
      </c>
      <c r="O406">
        <v>0</v>
      </c>
      <c r="P406">
        <v>0.193</v>
      </c>
      <c r="Q406">
        <v>0.34699999999999998</v>
      </c>
      <c r="R406">
        <v>125.971</v>
      </c>
      <c r="S406">
        <v>4</v>
      </c>
      <c r="T406">
        <v>190476</v>
      </c>
      <c r="U406">
        <v>4</v>
      </c>
      <c r="V406">
        <v>190476</v>
      </c>
      <c r="W406">
        <v>4</v>
      </c>
      <c r="X406">
        <v>190476</v>
      </c>
      <c r="Y406" t="s">
        <v>17</v>
      </c>
      <c r="Z406" t="str">
        <f>LOOKUP(B406,{0,1083,124200,681950},{"1st","2nd","3rd","4th"})&amp;" Quartile"</f>
        <v>3rd Quartile</v>
      </c>
    </row>
    <row r="407" spans="1:26">
      <c r="A407">
        <v>2020</v>
      </c>
      <c r="B407">
        <v>207100</v>
      </c>
      <c r="C407" t="s">
        <v>1026</v>
      </c>
      <c r="D407" t="s">
        <v>1025</v>
      </c>
      <c r="E407">
        <v>62</v>
      </c>
      <c r="F407" t="s">
        <v>1024</v>
      </c>
      <c r="G407">
        <v>0</v>
      </c>
      <c r="H407">
        <v>0.54600000000000004</v>
      </c>
      <c r="I407">
        <v>0.46800000000000003</v>
      </c>
      <c r="J407">
        <v>-8.1669999999999998</v>
      </c>
      <c r="K407">
        <v>1</v>
      </c>
      <c r="L407">
        <v>5</v>
      </c>
      <c r="M407">
        <v>2.87E-2</v>
      </c>
      <c r="N407">
        <v>0.153</v>
      </c>
      <c r="O407">
        <v>2.5699999999999998E-3</v>
      </c>
      <c r="P407">
        <v>0.32100000000000001</v>
      </c>
      <c r="Q407">
        <v>0.41599999999999998</v>
      </c>
      <c r="R407">
        <v>73.372</v>
      </c>
      <c r="S407">
        <v>4</v>
      </c>
      <c r="T407">
        <v>177493</v>
      </c>
      <c r="U407">
        <v>4</v>
      </c>
      <c r="V407">
        <v>177493</v>
      </c>
      <c r="W407">
        <v>4</v>
      </c>
      <c r="X407">
        <v>177493</v>
      </c>
      <c r="Y407" t="s">
        <v>17</v>
      </c>
      <c r="Z407" t="str">
        <f>LOOKUP(B407,{0,1083,124200,681950},{"1st","2nd","3rd","4th"})&amp;" Quartile"</f>
        <v>3rd Quartile</v>
      </c>
    </row>
    <row r="408" spans="1:26">
      <c r="A408">
        <v>2020</v>
      </c>
      <c r="B408">
        <v>206300</v>
      </c>
      <c r="C408" t="s">
        <v>634</v>
      </c>
      <c r="D408" t="s">
        <v>110</v>
      </c>
      <c r="E408">
        <v>75</v>
      </c>
      <c r="F408" t="s">
        <v>633</v>
      </c>
      <c r="G408">
        <v>72</v>
      </c>
      <c r="H408">
        <v>0.75800000000000001</v>
      </c>
      <c r="I408">
        <v>0.70099999999999996</v>
      </c>
      <c r="J408">
        <v>-6.0529999999999999</v>
      </c>
      <c r="K408">
        <v>1</v>
      </c>
      <c r="L408">
        <v>9</v>
      </c>
      <c r="M408">
        <v>0.16200000000000001</v>
      </c>
      <c r="N408">
        <v>0.68500000000000005</v>
      </c>
      <c r="O408">
        <v>6.2199999999999997E-6</v>
      </c>
      <c r="P408">
        <v>0.114</v>
      </c>
      <c r="Q408">
        <v>0.626</v>
      </c>
      <c r="R408">
        <v>106.74</v>
      </c>
      <c r="S408">
        <v>4</v>
      </c>
      <c r="T408">
        <v>211150</v>
      </c>
      <c r="U408">
        <v>4</v>
      </c>
      <c r="V408">
        <v>211150</v>
      </c>
      <c r="W408">
        <v>4</v>
      </c>
      <c r="X408">
        <v>211150</v>
      </c>
      <c r="Y408" t="s">
        <v>17</v>
      </c>
      <c r="Z408" t="str">
        <f>LOOKUP(B408,{0,1083,124200,681950},{"1st","2nd","3rd","4th"})&amp;" Quartile"</f>
        <v>3rd Quartile</v>
      </c>
    </row>
    <row r="409" spans="1:26">
      <c r="A409">
        <v>2020</v>
      </c>
      <c r="B409">
        <v>203400</v>
      </c>
      <c r="C409" t="s">
        <v>1045</v>
      </c>
      <c r="D409" t="s">
        <v>253</v>
      </c>
      <c r="E409">
        <v>67</v>
      </c>
      <c r="F409" t="s">
        <v>1044</v>
      </c>
      <c r="G409">
        <v>71</v>
      </c>
      <c r="H409">
        <v>0.63200000000000001</v>
      </c>
      <c r="I409">
        <v>0.63900000000000001</v>
      </c>
      <c r="J409">
        <v>-5.9379999999999997</v>
      </c>
      <c r="K409">
        <v>1</v>
      </c>
      <c r="L409">
        <v>5</v>
      </c>
      <c r="M409">
        <v>2.5899999999999999E-2</v>
      </c>
      <c r="N409">
        <v>1.4300000000000001E-3</v>
      </c>
      <c r="O409">
        <v>0</v>
      </c>
      <c r="P409">
        <v>0.221</v>
      </c>
      <c r="Q409">
        <v>0.73299999999999998</v>
      </c>
      <c r="R409">
        <v>95.506</v>
      </c>
      <c r="S409">
        <v>4</v>
      </c>
      <c r="T409">
        <v>196893</v>
      </c>
      <c r="U409">
        <v>4</v>
      </c>
      <c r="V409">
        <v>196893</v>
      </c>
      <c r="W409">
        <v>4</v>
      </c>
      <c r="X409">
        <v>196893</v>
      </c>
      <c r="Y409" t="s">
        <v>17</v>
      </c>
      <c r="Z409" t="str">
        <f>LOOKUP(B409,{0,1083,124200,681950},{"1st","2nd","3rd","4th"})&amp;" Quartile"</f>
        <v>3rd Quartile</v>
      </c>
    </row>
    <row r="410" spans="1:26">
      <c r="A410">
        <v>2022</v>
      </c>
      <c r="B410">
        <v>202500</v>
      </c>
      <c r="C410" t="s">
        <v>1690</v>
      </c>
      <c r="D410" t="s">
        <v>1691</v>
      </c>
      <c r="E410">
        <v>69</v>
      </c>
      <c r="F410" t="s">
        <v>1690</v>
      </c>
      <c r="G410">
        <v>85</v>
      </c>
      <c r="H410">
        <v>0.34499999999999997</v>
      </c>
      <c r="I410">
        <v>0.94099999999999995</v>
      </c>
      <c r="J410">
        <v>-9.9179999999999993</v>
      </c>
      <c r="K410">
        <v>1</v>
      </c>
      <c r="L410">
        <v>9</v>
      </c>
      <c r="M410">
        <v>4.6600000000000003E-2</v>
      </c>
      <c r="N410">
        <v>3.8399999999999998E-5</v>
      </c>
      <c r="O410">
        <v>0.63300000000000001</v>
      </c>
      <c r="P410">
        <v>5.11E-2</v>
      </c>
      <c r="Q410">
        <v>0.40699999999999997</v>
      </c>
      <c r="R410">
        <v>179.626</v>
      </c>
      <c r="S410">
        <v>4</v>
      </c>
      <c r="T410">
        <v>147062</v>
      </c>
      <c r="U410">
        <v>4</v>
      </c>
      <c r="V410">
        <v>147062</v>
      </c>
      <c r="W410">
        <v>4</v>
      </c>
      <c r="X410">
        <v>147062</v>
      </c>
      <c r="Y410" t="s">
        <v>17</v>
      </c>
      <c r="Z410" t="str">
        <f>LOOKUP(B410,{0,1083,124200,681950},{"1st","2nd","3rd","4th"})&amp;" Quartile"</f>
        <v>3rd Quartile</v>
      </c>
    </row>
    <row r="411" spans="1:26">
      <c r="A411">
        <v>2022</v>
      </c>
      <c r="B411">
        <v>202200</v>
      </c>
      <c r="C411" t="s">
        <v>1068</v>
      </c>
      <c r="D411" t="s">
        <v>665</v>
      </c>
      <c r="E411">
        <v>63</v>
      </c>
      <c r="F411" t="s">
        <v>1068</v>
      </c>
      <c r="G411">
        <v>77</v>
      </c>
      <c r="H411">
        <v>0.76700000000000002</v>
      </c>
      <c r="I411">
        <v>0.48099999999999998</v>
      </c>
      <c r="J411">
        <v>-8.52</v>
      </c>
      <c r="K411">
        <v>0</v>
      </c>
      <c r="L411">
        <v>0</v>
      </c>
      <c r="M411">
        <v>8.0299999999999996E-2</v>
      </c>
      <c r="N411">
        <v>0.23400000000000001</v>
      </c>
      <c r="O411">
        <v>0</v>
      </c>
      <c r="P411">
        <v>0.26900000000000002</v>
      </c>
      <c r="Q411">
        <v>0.76100000000000001</v>
      </c>
      <c r="R411">
        <v>150.07599999999999</v>
      </c>
      <c r="S411">
        <v>4</v>
      </c>
      <c r="T411">
        <v>171375</v>
      </c>
      <c r="U411">
        <v>4</v>
      </c>
      <c r="V411">
        <v>171375</v>
      </c>
      <c r="W411">
        <v>4</v>
      </c>
      <c r="X411">
        <v>171375</v>
      </c>
      <c r="Y411" t="s">
        <v>17</v>
      </c>
      <c r="Z411" t="str">
        <f>LOOKUP(B411,{0,1083,124200,681950},{"1st","2nd","3rd","4th"})&amp;" Quartile"</f>
        <v>3rd Quartile</v>
      </c>
    </row>
    <row r="412" spans="1:26">
      <c r="A412">
        <v>2021</v>
      </c>
      <c r="B412">
        <v>202200</v>
      </c>
      <c r="C412" t="s">
        <v>1068</v>
      </c>
      <c r="D412" t="s">
        <v>665</v>
      </c>
      <c r="E412">
        <v>63</v>
      </c>
      <c r="F412" t="s">
        <v>1068</v>
      </c>
      <c r="G412">
        <v>77</v>
      </c>
      <c r="H412">
        <v>0.76700000000000002</v>
      </c>
      <c r="I412">
        <v>0.48099999999999998</v>
      </c>
      <c r="J412">
        <v>-8.52</v>
      </c>
      <c r="K412">
        <v>0</v>
      </c>
      <c r="L412">
        <v>0</v>
      </c>
      <c r="M412">
        <v>8.0299999999999996E-2</v>
      </c>
      <c r="N412">
        <v>0.23400000000000001</v>
      </c>
      <c r="O412">
        <v>0</v>
      </c>
      <c r="P412">
        <v>0.26900000000000002</v>
      </c>
      <c r="Q412">
        <v>0.76100000000000001</v>
      </c>
      <c r="R412">
        <v>150.07599999999999</v>
      </c>
      <c r="S412">
        <v>4</v>
      </c>
      <c r="T412">
        <v>171375</v>
      </c>
      <c r="U412">
        <v>4</v>
      </c>
      <c r="V412">
        <v>171375</v>
      </c>
      <c r="W412">
        <v>4</v>
      </c>
      <c r="X412">
        <v>171375</v>
      </c>
      <c r="Y412" t="s">
        <v>17</v>
      </c>
      <c r="Z412" t="str">
        <f>LOOKUP(B412,{0,1083,124200,681950},{"1st","2nd","3rd","4th"})&amp;" Quartile"</f>
        <v>3rd Quartile</v>
      </c>
    </row>
    <row r="413" spans="1:26">
      <c r="A413">
        <v>2020</v>
      </c>
      <c r="B413">
        <v>202200</v>
      </c>
      <c r="C413" t="s">
        <v>1068</v>
      </c>
      <c r="D413" t="s">
        <v>665</v>
      </c>
      <c r="E413">
        <v>63</v>
      </c>
      <c r="F413" t="s">
        <v>1068</v>
      </c>
      <c r="G413">
        <v>77</v>
      </c>
      <c r="H413">
        <v>0.76700000000000002</v>
      </c>
      <c r="I413">
        <v>0.48099999999999998</v>
      </c>
      <c r="J413">
        <v>-8.52</v>
      </c>
      <c r="K413">
        <v>0</v>
      </c>
      <c r="L413">
        <v>0</v>
      </c>
      <c r="M413">
        <v>8.0299999999999996E-2</v>
      </c>
      <c r="N413">
        <v>0.23400000000000001</v>
      </c>
      <c r="O413">
        <v>0</v>
      </c>
      <c r="P413">
        <v>0.26900000000000002</v>
      </c>
      <c r="Q413">
        <v>0.76100000000000001</v>
      </c>
      <c r="R413">
        <v>150.07599999999999</v>
      </c>
      <c r="S413">
        <v>4</v>
      </c>
      <c r="T413">
        <v>171375</v>
      </c>
      <c r="U413">
        <v>4</v>
      </c>
      <c r="V413">
        <v>171375</v>
      </c>
      <c r="W413">
        <v>4</v>
      </c>
      <c r="X413">
        <v>171375</v>
      </c>
      <c r="Y413" t="s">
        <v>17</v>
      </c>
      <c r="Z413" t="str">
        <f>LOOKUP(B413,{0,1083,124200,681950},{"1st","2nd","3rd","4th"})&amp;" Quartile"</f>
        <v>3rd Quartile</v>
      </c>
    </row>
    <row r="414" spans="1:26">
      <c r="A414">
        <v>2020</v>
      </c>
      <c r="B414">
        <v>201600</v>
      </c>
      <c r="C414" t="s">
        <v>704</v>
      </c>
      <c r="D414" t="s">
        <v>703</v>
      </c>
      <c r="E414">
        <v>46</v>
      </c>
      <c r="F414" t="s">
        <v>702</v>
      </c>
      <c r="G414">
        <v>52</v>
      </c>
      <c r="H414">
        <v>0.877</v>
      </c>
      <c r="I414">
        <v>0.747</v>
      </c>
      <c r="J414">
        <v>-5.8730000000000002</v>
      </c>
      <c r="K414">
        <v>1</v>
      </c>
      <c r="L414">
        <v>4</v>
      </c>
      <c r="M414">
        <v>0.36499999999999999</v>
      </c>
      <c r="N414">
        <v>2.8799999999999999E-2</v>
      </c>
      <c r="O414">
        <v>0</v>
      </c>
      <c r="P414">
        <v>0.27300000000000002</v>
      </c>
      <c r="Q414">
        <v>0.67900000000000005</v>
      </c>
      <c r="R414">
        <v>145.16200000000001</v>
      </c>
      <c r="S414">
        <v>4</v>
      </c>
      <c r="T414">
        <v>205296</v>
      </c>
      <c r="U414">
        <v>4</v>
      </c>
      <c r="V414">
        <v>205296</v>
      </c>
      <c r="W414">
        <v>4</v>
      </c>
      <c r="X414">
        <v>205296</v>
      </c>
      <c r="Y414" t="s">
        <v>17</v>
      </c>
      <c r="Z414" t="str">
        <f>LOOKUP(B414,{0,1083,124200,681950},{"1st","2nd","3rd","4th"})&amp;" Quartile"</f>
        <v>3rd Quartile</v>
      </c>
    </row>
    <row r="415" spans="1:26">
      <c r="A415">
        <v>2019</v>
      </c>
      <c r="B415">
        <v>195600</v>
      </c>
      <c r="C415" t="s">
        <v>58</v>
      </c>
      <c r="D415" t="s">
        <v>59</v>
      </c>
      <c r="E415">
        <v>4</v>
      </c>
      <c r="F415" t="s">
        <v>58</v>
      </c>
      <c r="G415">
        <v>17</v>
      </c>
      <c r="H415">
        <v>0.81599999999999995</v>
      </c>
      <c r="I415">
        <v>0.36299999999999999</v>
      </c>
      <c r="J415">
        <v>-10.362</v>
      </c>
      <c r="K415">
        <v>1</v>
      </c>
      <c r="L415">
        <v>5</v>
      </c>
      <c r="M415">
        <v>0.10100000000000001</v>
      </c>
      <c r="N415">
        <v>0.48699999999999999</v>
      </c>
      <c r="O415">
        <v>3.41E-6</v>
      </c>
      <c r="P415">
        <v>0.20499999999999999</v>
      </c>
      <c r="Q415">
        <v>0.59499999999999997</v>
      </c>
      <c r="R415">
        <v>104.274</v>
      </c>
      <c r="S415">
        <v>4</v>
      </c>
      <c r="T415">
        <v>229415</v>
      </c>
      <c r="U415">
        <v>4</v>
      </c>
      <c r="V415">
        <v>229415</v>
      </c>
      <c r="W415">
        <v>4</v>
      </c>
      <c r="X415">
        <v>229415</v>
      </c>
      <c r="Y415" t="s">
        <v>17</v>
      </c>
      <c r="Z415" t="str">
        <f>LOOKUP(B415,{0,1083,124200,681950},{"1st","2nd","3rd","4th"})&amp;" Quartile"</f>
        <v>3rd Quartile</v>
      </c>
    </row>
    <row r="416" spans="1:26">
      <c r="A416">
        <v>2021</v>
      </c>
      <c r="B416">
        <v>192900</v>
      </c>
      <c r="C416" t="s">
        <v>1175</v>
      </c>
      <c r="D416" t="s">
        <v>319</v>
      </c>
      <c r="E416">
        <v>90</v>
      </c>
      <c r="F416" t="s">
        <v>1174</v>
      </c>
      <c r="G416">
        <v>81</v>
      </c>
      <c r="H416">
        <v>0.72799999999999998</v>
      </c>
      <c r="I416">
        <v>0.85899999999999999</v>
      </c>
      <c r="J416">
        <v>-5.2370000000000001</v>
      </c>
      <c r="K416">
        <v>0</v>
      </c>
      <c r="L416">
        <v>5</v>
      </c>
      <c r="M416">
        <v>0.13700000000000001</v>
      </c>
      <c r="N416">
        <v>4.0099999999999997E-2</v>
      </c>
      <c r="O416">
        <v>0</v>
      </c>
      <c r="P416">
        <v>0.111</v>
      </c>
      <c r="Q416">
        <v>0.53500000000000003</v>
      </c>
      <c r="R416">
        <v>65.043000000000006</v>
      </c>
      <c r="S416">
        <v>4</v>
      </c>
      <c r="T416">
        <v>214240</v>
      </c>
      <c r="U416">
        <v>4</v>
      </c>
      <c r="V416">
        <v>214240</v>
      </c>
      <c r="W416">
        <v>4</v>
      </c>
      <c r="X416">
        <v>214240</v>
      </c>
      <c r="Y416" t="s">
        <v>17</v>
      </c>
      <c r="Z416" t="str">
        <f>LOOKUP(B416,{0,1083,124200,681950},{"1st","2nd","3rd","4th"})&amp;" Quartile"</f>
        <v>3rd Quartile</v>
      </c>
    </row>
    <row r="417" spans="1:26">
      <c r="A417">
        <v>2019</v>
      </c>
      <c r="B417">
        <v>192900</v>
      </c>
      <c r="C417" t="s">
        <v>548</v>
      </c>
      <c r="D417" t="s">
        <v>549</v>
      </c>
      <c r="E417">
        <v>38</v>
      </c>
      <c r="F417" t="s">
        <v>548</v>
      </c>
      <c r="G417">
        <v>55</v>
      </c>
      <c r="H417">
        <v>0.85</v>
      </c>
      <c r="I417">
        <v>0.57999999999999996</v>
      </c>
      <c r="J417">
        <v>-4.5019999999999998</v>
      </c>
      <c r="K417">
        <v>1</v>
      </c>
      <c r="L417">
        <v>1</v>
      </c>
      <c r="M417">
        <v>0.104</v>
      </c>
      <c r="N417">
        <v>4.0400000000000001E-4</v>
      </c>
      <c r="O417">
        <v>8.2100000000000006E-2</v>
      </c>
      <c r="P417">
        <v>7.1400000000000005E-2</v>
      </c>
      <c r="Q417">
        <v>0.12</v>
      </c>
      <c r="R417">
        <v>160.05500000000001</v>
      </c>
      <c r="S417">
        <v>4</v>
      </c>
      <c r="T417">
        <v>145253</v>
      </c>
      <c r="U417">
        <v>4</v>
      </c>
      <c r="V417">
        <v>145253</v>
      </c>
      <c r="W417">
        <v>4</v>
      </c>
      <c r="X417">
        <v>145253</v>
      </c>
      <c r="Y417" t="s">
        <v>17</v>
      </c>
      <c r="Z417" t="str">
        <f>LOOKUP(B417,{0,1083,124200,681950},{"1st","2nd","3rd","4th"})&amp;" Quartile"</f>
        <v>3rd Quartile</v>
      </c>
    </row>
    <row r="418" spans="1:26">
      <c r="A418">
        <v>2019</v>
      </c>
      <c r="B418">
        <v>192900</v>
      </c>
      <c r="C418" t="s">
        <v>320</v>
      </c>
      <c r="D418" t="s">
        <v>319</v>
      </c>
      <c r="E418">
        <v>90</v>
      </c>
      <c r="F418" t="s">
        <v>318</v>
      </c>
      <c r="G418">
        <v>47</v>
      </c>
      <c r="H418">
        <v>0.71199999999999997</v>
      </c>
      <c r="I418">
        <v>0.86799999999999999</v>
      </c>
      <c r="J418">
        <v>-3.319</v>
      </c>
      <c r="K418">
        <v>0</v>
      </c>
      <c r="L418">
        <v>5</v>
      </c>
      <c r="M418">
        <v>6.5600000000000006E-2</v>
      </c>
      <c r="N418">
        <v>9.3900000000000008E-3</v>
      </c>
      <c r="O418">
        <v>0</v>
      </c>
      <c r="P418">
        <v>0.28299999999999997</v>
      </c>
      <c r="Q418">
        <v>0.65200000000000002</v>
      </c>
      <c r="R418">
        <v>125.02800000000001</v>
      </c>
      <c r="S418">
        <v>4</v>
      </c>
      <c r="T418">
        <v>191573</v>
      </c>
      <c r="U418">
        <v>4</v>
      </c>
      <c r="V418">
        <v>191573</v>
      </c>
      <c r="W418">
        <v>4</v>
      </c>
      <c r="X418">
        <v>191573</v>
      </c>
      <c r="Y418" t="s">
        <v>17</v>
      </c>
      <c r="Z418" t="str">
        <f>LOOKUP(B418,{0,1083,124200,681950},{"1st","2nd","3rd","4th"})&amp;" Quartile"</f>
        <v>3rd Quartile</v>
      </c>
    </row>
    <row r="419" spans="1:26">
      <c r="A419">
        <v>2021</v>
      </c>
      <c r="B419">
        <v>192800</v>
      </c>
      <c r="C419" t="s">
        <v>320</v>
      </c>
      <c r="D419" t="s">
        <v>319</v>
      </c>
      <c r="E419">
        <v>90</v>
      </c>
      <c r="F419" t="s">
        <v>1172</v>
      </c>
      <c r="G419">
        <v>68</v>
      </c>
      <c r="H419">
        <v>0.72899999999999998</v>
      </c>
      <c r="I419">
        <v>0.86799999999999999</v>
      </c>
      <c r="J419">
        <v>-3.319</v>
      </c>
      <c r="K419">
        <v>1</v>
      </c>
      <c r="L419">
        <v>3</v>
      </c>
      <c r="M419">
        <v>6.0900000000000003E-2</v>
      </c>
      <c r="N419">
        <v>9.3900000000000008E-3</v>
      </c>
      <c r="O419">
        <v>0</v>
      </c>
      <c r="P419">
        <v>0.28299999999999997</v>
      </c>
      <c r="Q419">
        <v>0.63200000000000001</v>
      </c>
      <c r="R419">
        <v>124.95699999999999</v>
      </c>
      <c r="S419">
        <v>4</v>
      </c>
      <c r="T419">
        <v>191573</v>
      </c>
      <c r="U419">
        <v>4</v>
      </c>
      <c r="V419">
        <v>191573</v>
      </c>
      <c r="W419">
        <v>4</v>
      </c>
      <c r="X419">
        <v>191573</v>
      </c>
      <c r="Y419" t="s">
        <v>17</v>
      </c>
      <c r="Z419" t="str">
        <f>LOOKUP(B419,{0,1083,124200,681950},{"1st","2nd","3rd","4th"})&amp;" Quartile"</f>
        <v>3rd Quartile</v>
      </c>
    </row>
    <row r="420" spans="1:26">
      <c r="A420">
        <v>2022</v>
      </c>
      <c r="B420">
        <v>190800</v>
      </c>
      <c r="C420" t="s">
        <v>1051</v>
      </c>
      <c r="D420" t="s">
        <v>175</v>
      </c>
      <c r="E420">
        <v>88</v>
      </c>
      <c r="F420" t="s">
        <v>1051</v>
      </c>
      <c r="G420">
        <v>78</v>
      </c>
      <c r="H420">
        <v>0.70699999999999996</v>
      </c>
      <c r="I420">
        <v>0.95499999999999996</v>
      </c>
      <c r="J420">
        <v>-4.593</v>
      </c>
      <c r="K420">
        <v>0</v>
      </c>
      <c r="L420">
        <v>10</v>
      </c>
      <c r="M420">
        <v>0.222</v>
      </c>
      <c r="N420">
        <v>0.127</v>
      </c>
      <c r="O420">
        <v>0</v>
      </c>
      <c r="P420">
        <v>0.20200000000000001</v>
      </c>
      <c r="Q420">
        <v>0.57499999999999996</v>
      </c>
      <c r="R420">
        <v>125.989</v>
      </c>
      <c r="S420">
        <v>4</v>
      </c>
      <c r="T420">
        <v>134240</v>
      </c>
      <c r="U420">
        <v>4</v>
      </c>
      <c r="V420">
        <v>134240</v>
      </c>
      <c r="W420">
        <v>4</v>
      </c>
      <c r="X420">
        <v>134240</v>
      </c>
      <c r="Y420" t="s">
        <v>17</v>
      </c>
      <c r="Z420" t="str">
        <f>LOOKUP(B420,{0,1083,124200,681950},{"1st","2nd","3rd","4th"})&amp;" Quartile"</f>
        <v>3rd Quartile</v>
      </c>
    </row>
    <row r="421" spans="1:26">
      <c r="A421">
        <v>2020</v>
      </c>
      <c r="B421">
        <v>190100</v>
      </c>
      <c r="C421" t="s">
        <v>1062</v>
      </c>
      <c r="D421" t="s">
        <v>1061</v>
      </c>
      <c r="E421">
        <v>69</v>
      </c>
      <c r="F421" t="s">
        <v>1060</v>
      </c>
      <c r="G421">
        <v>72</v>
      </c>
      <c r="H421">
        <v>0.58599999999999997</v>
      </c>
      <c r="I421">
        <v>0.89300000000000002</v>
      </c>
      <c r="J421">
        <v>-8.7720000000000002</v>
      </c>
      <c r="K421">
        <v>1</v>
      </c>
      <c r="L421">
        <v>7</v>
      </c>
      <c r="M421">
        <v>0.439</v>
      </c>
      <c r="N421">
        <v>0.82699999999999996</v>
      </c>
      <c r="O421">
        <v>0.64200000000000002</v>
      </c>
      <c r="P421">
        <v>0.21199999999999999</v>
      </c>
      <c r="Q421">
        <v>0.65</v>
      </c>
      <c r="R421">
        <v>140.023</v>
      </c>
      <c r="S421">
        <v>3</v>
      </c>
      <c r="T421">
        <v>116630</v>
      </c>
      <c r="U421">
        <v>3</v>
      </c>
      <c r="V421">
        <v>116630</v>
      </c>
      <c r="W421">
        <v>3</v>
      </c>
      <c r="X421">
        <v>116630</v>
      </c>
      <c r="Y421" t="s">
        <v>17</v>
      </c>
      <c r="Z421" t="str">
        <f>LOOKUP(B421,{0,1083,124200,681950},{"1st","2nd","3rd","4th"})&amp;" Quartile"</f>
        <v>3rd Quartile</v>
      </c>
    </row>
    <row r="422" spans="1:26">
      <c r="A422">
        <v>2019</v>
      </c>
      <c r="B422">
        <v>185700</v>
      </c>
      <c r="C422" t="s">
        <v>210</v>
      </c>
      <c r="D422" t="s">
        <v>211</v>
      </c>
      <c r="E422">
        <v>24</v>
      </c>
      <c r="F422" t="s">
        <v>210</v>
      </c>
      <c r="G422">
        <v>35</v>
      </c>
      <c r="H422">
        <v>0.63600000000000001</v>
      </c>
      <c r="I422">
        <v>0.67400000000000004</v>
      </c>
      <c r="J422">
        <v>-9.6229999999999993</v>
      </c>
      <c r="K422">
        <v>1</v>
      </c>
      <c r="L422">
        <v>2</v>
      </c>
      <c r="M422">
        <v>3.3599999999999998E-2</v>
      </c>
      <c r="N422">
        <v>0.215</v>
      </c>
      <c r="O422">
        <v>1.9700000000000001E-5</v>
      </c>
      <c r="P422">
        <v>0.157</v>
      </c>
      <c r="Q422">
        <v>0.18</v>
      </c>
      <c r="R422">
        <v>119.955</v>
      </c>
      <c r="S422">
        <v>4</v>
      </c>
      <c r="T422">
        <v>188056</v>
      </c>
      <c r="U422">
        <v>4</v>
      </c>
      <c r="V422">
        <v>188056</v>
      </c>
      <c r="W422">
        <v>4</v>
      </c>
      <c r="X422">
        <v>188056</v>
      </c>
      <c r="Y422" t="s">
        <v>17</v>
      </c>
      <c r="Z422" t="str">
        <f>LOOKUP(B422,{0,1083,124200,681950},{"1st","2nd","3rd","4th"})&amp;" Quartile"</f>
        <v>3rd Quartile</v>
      </c>
    </row>
    <row r="423" spans="1:26">
      <c r="A423">
        <v>2022</v>
      </c>
      <c r="B423">
        <v>185200</v>
      </c>
      <c r="C423" t="s">
        <v>1078</v>
      </c>
      <c r="D423" t="s">
        <v>1077</v>
      </c>
      <c r="E423">
        <v>67</v>
      </c>
      <c r="F423" t="s">
        <v>1076</v>
      </c>
      <c r="G423">
        <v>82</v>
      </c>
      <c r="H423">
        <v>0.61099999999999999</v>
      </c>
      <c r="I423">
        <v>0.79700000000000004</v>
      </c>
      <c r="J423">
        <v>-7.6269999999999998</v>
      </c>
      <c r="K423">
        <v>0</v>
      </c>
      <c r="L423">
        <v>6</v>
      </c>
      <c r="M423">
        <v>5.33E-2</v>
      </c>
      <c r="N423">
        <v>5.4299999999999999E-3</v>
      </c>
      <c r="O423">
        <v>1.3699999999999999E-3</v>
      </c>
      <c r="P423">
        <v>0.26</v>
      </c>
      <c r="Q423">
        <v>0.51800000000000002</v>
      </c>
      <c r="R423">
        <v>120.041</v>
      </c>
      <c r="S423">
        <v>4</v>
      </c>
      <c r="T423">
        <v>218107</v>
      </c>
      <c r="U423">
        <v>4</v>
      </c>
      <c r="V423">
        <v>218107</v>
      </c>
      <c r="W423">
        <v>4</v>
      </c>
      <c r="X423">
        <v>218107</v>
      </c>
      <c r="Y423" t="s">
        <v>17</v>
      </c>
      <c r="Z423" t="str">
        <f>LOOKUP(B423,{0,1083,124200,681950},{"1st","2nd","3rd","4th"})&amp;" Quartile"</f>
        <v>3rd Quartile</v>
      </c>
    </row>
    <row r="424" spans="1:26">
      <c r="A424">
        <v>2021</v>
      </c>
      <c r="B424">
        <v>185200</v>
      </c>
      <c r="C424" t="s">
        <v>1078</v>
      </c>
      <c r="D424" t="s">
        <v>1077</v>
      </c>
      <c r="E424">
        <v>67</v>
      </c>
      <c r="F424" t="s">
        <v>1076</v>
      </c>
      <c r="G424">
        <v>82</v>
      </c>
      <c r="H424">
        <v>0.61099999999999999</v>
      </c>
      <c r="I424">
        <v>0.79700000000000004</v>
      </c>
      <c r="J424">
        <v>-7.6269999999999998</v>
      </c>
      <c r="K424">
        <v>0</v>
      </c>
      <c r="L424">
        <v>6</v>
      </c>
      <c r="M424">
        <v>5.33E-2</v>
      </c>
      <c r="N424">
        <v>5.4299999999999999E-3</v>
      </c>
      <c r="O424">
        <v>1.3699999999999999E-3</v>
      </c>
      <c r="P424">
        <v>0.26</v>
      </c>
      <c r="Q424">
        <v>0.51800000000000002</v>
      </c>
      <c r="R424">
        <v>120.041</v>
      </c>
      <c r="S424">
        <v>4</v>
      </c>
      <c r="T424">
        <v>218107</v>
      </c>
      <c r="U424">
        <v>4</v>
      </c>
      <c r="V424">
        <v>218107</v>
      </c>
      <c r="W424">
        <v>4</v>
      </c>
      <c r="X424">
        <v>218107</v>
      </c>
      <c r="Y424" t="s">
        <v>17</v>
      </c>
      <c r="Z424" t="str">
        <f>LOOKUP(B424,{0,1083,124200,681950},{"1st","2nd","3rd","4th"})&amp;" Quartile"</f>
        <v>3rd Quartile</v>
      </c>
    </row>
    <row r="425" spans="1:26">
      <c r="A425">
        <v>2020</v>
      </c>
      <c r="B425">
        <v>185200</v>
      </c>
      <c r="C425" t="s">
        <v>1078</v>
      </c>
      <c r="D425" t="s">
        <v>1077</v>
      </c>
      <c r="E425">
        <v>67</v>
      </c>
      <c r="F425" t="s">
        <v>1076</v>
      </c>
      <c r="G425">
        <v>82</v>
      </c>
      <c r="H425">
        <v>0.61099999999999999</v>
      </c>
      <c r="I425">
        <v>0.79700000000000004</v>
      </c>
      <c r="J425">
        <v>-7.6269999999999998</v>
      </c>
      <c r="K425">
        <v>0</v>
      </c>
      <c r="L425">
        <v>6</v>
      </c>
      <c r="M425">
        <v>5.33E-2</v>
      </c>
      <c r="N425">
        <v>5.4299999999999999E-3</v>
      </c>
      <c r="O425">
        <v>1.3699999999999999E-3</v>
      </c>
      <c r="P425">
        <v>0.26</v>
      </c>
      <c r="Q425">
        <v>0.51800000000000002</v>
      </c>
      <c r="R425">
        <v>120.041</v>
      </c>
      <c r="S425">
        <v>4</v>
      </c>
      <c r="T425">
        <v>218107</v>
      </c>
      <c r="U425">
        <v>4</v>
      </c>
      <c r="V425">
        <v>218107</v>
      </c>
      <c r="W425">
        <v>4</v>
      </c>
      <c r="X425">
        <v>218107</v>
      </c>
      <c r="Y425" t="s">
        <v>17</v>
      </c>
      <c r="Z425" t="str">
        <f>LOOKUP(B425,{0,1083,124200,681950},{"1st","2nd","3rd","4th"})&amp;" Quartile"</f>
        <v>3rd Quartile</v>
      </c>
    </row>
    <row r="426" spans="1:26">
      <c r="A426">
        <v>2020</v>
      </c>
      <c r="B426">
        <v>183800</v>
      </c>
      <c r="C426" t="s">
        <v>864</v>
      </c>
      <c r="D426" t="s">
        <v>863</v>
      </c>
      <c r="E426">
        <v>86</v>
      </c>
      <c r="F426" t="s">
        <v>356</v>
      </c>
      <c r="G426">
        <v>79</v>
      </c>
      <c r="H426">
        <v>0.69599999999999995</v>
      </c>
      <c r="I426">
        <v>0.45400000000000001</v>
      </c>
      <c r="J426">
        <v>-6.7560000000000002</v>
      </c>
      <c r="K426">
        <v>0</v>
      </c>
      <c r="L426">
        <v>1</v>
      </c>
      <c r="M426">
        <v>0.153</v>
      </c>
      <c r="N426">
        <v>0.123</v>
      </c>
      <c r="O426">
        <v>0</v>
      </c>
      <c r="P426">
        <v>0.155</v>
      </c>
      <c r="Q426">
        <v>0.13600000000000001</v>
      </c>
      <c r="R426">
        <v>92.927999999999997</v>
      </c>
      <c r="S426">
        <v>4</v>
      </c>
      <c r="T426">
        <v>260640</v>
      </c>
      <c r="U426">
        <v>4</v>
      </c>
      <c r="V426">
        <v>260640</v>
      </c>
      <c r="W426">
        <v>4</v>
      </c>
      <c r="X426">
        <v>260640</v>
      </c>
      <c r="Y426" t="s">
        <v>17</v>
      </c>
      <c r="Z426" t="str">
        <f>LOOKUP(B426,{0,1083,124200,681950},{"1st","2nd","3rd","4th"})&amp;" Quartile"</f>
        <v>3rd Quartile</v>
      </c>
    </row>
    <row r="427" spans="1:26">
      <c r="A427">
        <v>2021</v>
      </c>
      <c r="B427">
        <v>182600</v>
      </c>
      <c r="C427" t="s">
        <v>1322</v>
      </c>
      <c r="D427" t="s">
        <v>1323</v>
      </c>
      <c r="E427">
        <v>61</v>
      </c>
      <c r="F427" t="s">
        <v>1322</v>
      </c>
      <c r="G427">
        <v>73</v>
      </c>
      <c r="H427">
        <v>0.69099999999999995</v>
      </c>
      <c r="I427">
        <v>0.82899999999999996</v>
      </c>
      <c r="J427">
        <v>-7.1790000000000003</v>
      </c>
      <c r="K427">
        <v>1</v>
      </c>
      <c r="L427">
        <v>0</v>
      </c>
      <c r="M427">
        <v>4.1200000000000001E-2</v>
      </c>
      <c r="N427">
        <v>2.8899999999999999E-2</v>
      </c>
      <c r="O427">
        <v>0</v>
      </c>
      <c r="P427">
        <v>0.254</v>
      </c>
      <c r="Q427">
        <v>0.86599999999999999</v>
      </c>
      <c r="R427">
        <v>93.058999999999997</v>
      </c>
      <c r="S427">
        <v>4</v>
      </c>
      <c r="T427">
        <v>169154</v>
      </c>
      <c r="U427">
        <v>4</v>
      </c>
      <c r="V427">
        <v>169154</v>
      </c>
      <c r="W427">
        <v>4</v>
      </c>
      <c r="X427">
        <v>169154</v>
      </c>
      <c r="Y427" t="s">
        <v>17</v>
      </c>
      <c r="Z427" t="str">
        <f>LOOKUP(B427,{0,1083,124200,681950},{"1st","2nd","3rd","4th"})&amp;" Quartile"</f>
        <v>3rd Quartile</v>
      </c>
    </row>
    <row r="428" spans="1:26">
      <c r="A428">
        <v>2022</v>
      </c>
      <c r="B428">
        <v>182400</v>
      </c>
      <c r="C428" t="s">
        <v>1322</v>
      </c>
      <c r="D428" t="s">
        <v>1323</v>
      </c>
      <c r="E428">
        <v>61</v>
      </c>
      <c r="F428" t="s">
        <v>1322</v>
      </c>
      <c r="G428">
        <v>73</v>
      </c>
      <c r="H428">
        <v>0.69099999999999995</v>
      </c>
      <c r="I428">
        <v>0.82899999999999996</v>
      </c>
      <c r="J428">
        <v>-7.1790000000000003</v>
      </c>
      <c r="K428">
        <v>1</v>
      </c>
      <c r="L428">
        <v>0</v>
      </c>
      <c r="M428">
        <v>4.1200000000000001E-2</v>
      </c>
      <c r="N428">
        <v>2.8899999999999999E-2</v>
      </c>
      <c r="O428">
        <v>0</v>
      </c>
      <c r="P428">
        <v>0.254</v>
      </c>
      <c r="Q428">
        <v>0.86599999999999999</v>
      </c>
      <c r="R428">
        <v>93.058999999999997</v>
      </c>
      <c r="S428">
        <v>4</v>
      </c>
      <c r="T428">
        <v>169154</v>
      </c>
      <c r="U428">
        <v>4</v>
      </c>
      <c r="V428">
        <v>169154</v>
      </c>
      <c r="W428">
        <v>4</v>
      </c>
      <c r="X428">
        <v>169154</v>
      </c>
      <c r="Y428" t="s">
        <v>17</v>
      </c>
      <c r="Z428" t="str">
        <f>LOOKUP(B428,{0,1083,124200,681950},{"1st","2nd","3rd","4th"})&amp;" Quartile"</f>
        <v>3rd Quartile</v>
      </c>
    </row>
    <row r="429" spans="1:26">
      <c r="A429">
        <v>2020</v>
      </c>
      <c r="B429">
        <v>177900</v>
      </c>
      <c r="C429" t="s">
        <v>972</v>
      </c>
      <c r="D429" t="s">
        <v>971</v>
      </c>
      <c r="E429">
        <v>89</v>
      </c>
      <c r="F429" t="s">
        <v>970</v>
      </c>
      <c r="G429">
        <v>71</v>
      </c>
      <c r="H429">
        <v>0.41799999999999998</v>
      </c>
      <c r="I429">
        <v>0.441</v>
      </c>
      <c r="J429">
        <v>-11.522</v>
      </c>
      <c r="K429">
        <v>0</v>
      </c>
      <c r="L429">
        <v>11</v>
      </c>
      <c r="M429">
        <v>0.28299999999999997</v>
      </c>
      <c r="N429">
        <v>2.9000000000000001E-2</v>
      </c>
      <c r="O429">
        <v>7.0699999999999999E-2</v>
      </c>
      <c r="P429">
        <v>0.30599999999999999</v>
      </c>
      <c r="Q429">
        <v>0.17199999999999999</v>
      </c>
      <c r="R429">
        <v>175.928</v>
      </c>
      <c r="S429">
        <v>4</v>
      </c>
      <c r="T429">
        <v>319467</v>
      </c>
      <c r="U429">
        <v>4</v>
      </c>
      <c r="V429">
        <v>319467</v>
      </c>
      <c r="W429">
        <v>4</v>
      </c>
      <c r="X429">
        <v>319467</v>
      </c>
      <c r="Y429" t="s">
        <v>17</v>
      </c>
      <c r="Z429" t="str">
        <f>LOOKUP(B429,{0,1083,124200,681950},{"1st","2nd","3rd","4th"})&amp;" Quartile"</f>
        <v>3rd Quartile</v>
      </c>
    </row>
    <row r="430" spans="1:26">
      <c r="A430">
        <v>2020</v>
      </c>
      <c r="B430">
        <v>177900</v>
      </c>
      <c r="C430" t="s">
        <v>683</v>
      </c>
      <c r="D430" t="s">
        <v>682</v>
      </c>
      <c r="E430">
        <v>46</v>
      </c>
      <c r="F430" t="s">
        <v>681</v>
      </c>
      <c r="G430">
        <v>38</v>
      </c>
      <c r="H430">
        <v>0.94599999999999995</v>
      </c>
      <c r="I430">
        <v>0.67100000000000004</v>
      </c>
      <c r="J430">
        <v>-5.5339999999999998</v>
      </c>
      <c r="K430">
        <v>1</v>
      </c>
      <c r="L430">
        <v>0</v>
      </c>
      <c r="M430">
        <v>7.2400000000000006E-2</v>
      </c>
      <c r="N430">
        <v>0.20399999999999999</v>
      </c>
      <c r="O430">
        <v>0</v>
      </c>
      <c r="P430">
        <v>0.17799999999999999</v>
      </c>
      <c r="Q430">
        <v>0.73099999999999998</v>
      </c>
      <c r="R430">
        <v>100.01300000000001</v>
      </c>
      <c r="S430">
        <v>4</v>
      </c>
      <c r="T430">
        <v>164880</v>
      </c>
      <c r="U430">
        <v>4</v>
      </c>
      <c r="V430">
        <v>164880</v>
      </c>
      <c r="W430">
        <v>4</v>
      </c>
      <c r="X430">
        <v>164880</v>
      </c>
      <c r="Y430" t="s">
        <v>17</v>
      </c>
      <c r="Z430" t="str">
        <f>LOOKUP(B430,{0,1083,124200,681950},{"1st","2nd","3rd","4th"})&amp;" Quartile"</f>
        <v>3rd Quartile</v>
      </c>
    </row>
    <row r="431" spans="1:26">
      <c r="A431">
        <v>2022</v>
      </c>
      <c r="B431">
        <v>175400</v>
      </c>
      <c r="C431" t="s">
        <v>1532</v>
      </c>
      <c r="D431" t="s">
        <v>276</v>
      </c>
      <c r="E431">
        <v>83</v>
      </c>
      <c r="F431" t="s">
        <v>1532</v>
      </c>
      <c r="G431">
        <v>77</v>
      </c>
      <c r="H431">
        <v>0.752</v>
      </c>
      <c r="I431">
        <v>0.48799999999999999</v>
      </c>
      <c r="J431">
        <v>-7.05</v>
      </c>
      <c r="K431">
        <v>1</v>
      </c>
      <c r="L431">
        <v>6</v>
      </c>
      <c r="M431">
        <v>7.0499999999999993E-2</v>
      </c>
      <c r="N431">
        <v>0.29699999999999999</v>
      </c>
      <c r="O431">
        <v>9.1099999999999992E-6</v>
      </c>
      <c r="P431">
        <v>9.3600000000000003E-2</v>
      </c>
      <c r="Q431">
        <v>0.53300000000000003</v>
      </c>
      <c r="R431">
        <v>136.041</v>
      </c>
      <c r="S431">
        <v>4</v>
      </c>
      <c r="T431">
        <v>201661</v>
      </c>
      <c r="U431">
        <v>4</v>
      </c>
      <c r="V431">
        <v>201661</v>
      </c>
      <c r="W431">
        <v>4</v>
      </c>
      <c r="X431">
        <v>201661</v>
      </c>
      <c r="Y431" t="s">
        <v>17</v>
      </c>
      <c r="Z431" t="str">
        <f>LOOKUP(B431,{0,1083,124200,681950},{"1st","2nd","3rd","4th"})&amp;" Quartile"</f>
        <v>3rd Quartile</v>
      </c>
    </row>
    <row r="432" spans="1:26">
      <c r="A432">
        <v>2021</v>
      </c>
      <c r="B432">
        <v>173600</v>
      </c>
      <c r="C432" t="s">
        <v>1189</v>
      </c>
      <c r="D432" t="s">
        <v>1188</v>
      </c>
      <c r="E432">
        <v>85</v>
      </c>
      <c r="F432" t="s">
        <v>1187</v>
      </c>
      <c r="G432">
        <v>83</v>
      </c>
      <c r="H432">
        <v>0.77800000000000002</v>
      </c>
      <c r="I432">
        <v>0.82399999999999995</v>
      </c>
      <c r="J432">
        <v>-5.8920000000000003</v>
      </c>
      <c r="K432">
        <v>0</v>
      </c>
      <c r="L432">
        <v>10</v>
      </c>
      <c r="M432">
        <v>7.0699999999999999E-2</v>
      </c>
      <c r="N432">
        <v>0.28399999999999997</v>
      </c>
      <c r="O432">
        <v>0</v>
      </c>
      <c r="P432">
        <v>0.40500000000000003</v>
      </c>
      <c r="Q432">
        <v>0.75800000000000001</v>
      </c>
      <c r="R432">
        <v>100.024</v>
      </c>
      <c r="S432">
        <v>4</v>
      </c>
      <c r="T432">
        <v>218093</v>
      </c>
      <c r="U432">
        <v>4</v>
      </c>
      <c r="V432">
        <v>218093</v>
      </c>
      <c r="W432">
        <v>4</v>
      </c>
      <c r="X432">
        <v>218093</v>
      </c>
      <c r="Y432" t="s">
        <v>17</v>
      </c>
      <c r="Z432" t="str">
        <f>LOOKUP(B432,{0,1083,124200,681950},{"1st","2nd","3rd","4th"})&amp;" Quartile"</f>
        <v>3rd Quartile</v>
      </c>
    </row>
    <row r="433" spans="1:26">
      <c r="A433">
        <v>2022</v>
      </c>
      <c r="B433">
        <v>170700</v>
      </c>
      <c r="C433" t="s">
        <v>1308</v>
      </c>
      <c r="D433" t="s">
        <v>124</v>
      </c>
      <c r="E433">
        <v>87</v>
      </c>
      <c r="F433" t="s">
        <v>1308</v>
      </c>
      <c r="G433">
        <v>3</v>
      </c>
      <c r="H433">
        <v>0.73599999999999999</v>
      </c>
      <c r="I433">
        <v>0.80200000000000005</v>
      </c>
      <c r="J433">
        <v>-4.7590000000000003</v>
      </c>
      <c r="K433">
        <v>1</v>
      </c>
      <c r="L433">
        <v>0</v>
      </c>
      <c r="M433">
        <v>8.6400000000000005E-2</v>
      </c>
      <c r="N433">
        <v>0.46800000000000003</v>
      </c>
      <c r="O433">
        <v>0</v>
      </c>
      <c r="P433">
        <v>9.4E-2</v>
      </c>
      <c r="Q433">
        <v>0.67500000000000004</v>
      </c>
      <c r="R433">
        <v>144.005</v>
      </c>
      <c r="S433">
        <v>4</v>
      </c>
      <c r="T433">
        <v>172325</v>
      </c>
      <c r="U433">
        <v>4</v>
      </c>
      <c r="V433">
        <v>172325</v>
      </c>
      <c r="W433">
        <v>4</v>
      </c>
      <c r="X433">
        <v>172325</v>
      </c>
      <c r="Y433" t="s">
        <v>17</v>
      </c>
      <c r="Z433" t="str">
        <f>LOOKUP(B433,{0,1083,124200,681950},{"1st","2nd","3rd","4th"})&amp;" Quartile"</f>
        <v>3rd Quartile</v>
      </c>
    </row>
    <row r="434" spans="1:26">
      <c r="A434">
        <v>2021</v>
      </c>
      <c r="B434">
        <v>170700</v>
      </c>
      <c r="C434" t="s">
        <v>1308</v>
      </c>
      <c r="D434" t="s">
        <v>124</v>
      </c>
      <c r="E434">
        <v>87</v>
      </c>
      <c r="F434" t="s">
        <v>1268</v>
      </c>
      <c r="G434">
        <v>85</v>
      </c>
      <c r="H434">
        <v>0.73699999999999999</v>
      </c>
      <c r="I434">
        <v>0.80200000000000005</v>
      </c>
      <c r="J434">
        <v>-4.7709999999999999</v>
      </c>
      <c r="K434">
        <v>1</v>
      </c>
      <c r="L434">
        <v>0</v>
      </c>
      <c r="M434">
        <v>8.7800000000000003E-2</v>
      </c>
      <c r="N434">
        <v>0.46800000000000003</v>
      </c>
      <c r="O434">
        <v>0</v>
      </c>
      <c r="P434">
        <v>9.3100000000000002E-2</v>
      </c>
      <c r="Q434">
        <v>0.68200000000000005</v>
      </c>
      <c r="R434">
        <v>144.01499999999999</v>
      </c>
      <c r="S434">
        <v>4</v>
      </c>
      <c r="T434">
        <v>172325</v>
      </c>
      <c r="U434">
        <v>4</v>
      </c>
      <c r="V434">
        <v>172325</v>
      </c>
      <c r="W434">
        <v>4</v>
      </c>
      <c r="X434">
        <v>172325</v>
      </c>
      <c r="Y434" t="s">
        <v>17</v>
      </c>
      <c r="Z434" t="str">
        <f>LOOKUP(B434,{0,1083,124200,681950},{"1st","2nd","3rd","4th"})&amp;" Quartile"</f>
        <v>3rd Quartile</v>
      </c>
    </row>
    <row r="435" spans="1:26">
      <c r="A435">
        <v>2021</v>
      </c>
      <c r="B435">
        <v>169000</v>
      </c>
      <c r="C435" t="s">
        <v>1497</v>
      </c>
      <c r="D435" t="s">
        <v>1498</v>
      </c>
      <c r="E435">
        <v>37</v>
      </c>
      <c r="F435" t="s">
        <v>1497</v>
      </c>
      <c r="G435">
        <v>46</v>
      </c>
      <c r="H435">
        <v>0.873</v>
      </c>
      <c r="I435">
        <v>0.44400000000000001</v>
      </c>
      <c r="J435">
        <v>-7.1390000000000002</v>
      </c>
      <c r="K435">
        <v>1</v>
      </c>
      <c r="L435">
        <v>10</v>
      </c>
      <c r="M435">
        <v>4.41E-2</v>
      </c>
      <c r="N435">
        <v>0.752</v>
      </c>
      <c r="O435">
        <v>3.9300000000000002E-2</v>
      </c>
      <c r="P435">
        <v>9.7900000000000001E-2</v>
      </c>
      <c r="Q435">
        <v>0.40600000000000003</v>
      </c>
      <c r="R435">
        <v>105.017</v>
      </c>
      <c r="S435">
        <v>4</v>
      </c>
      <c r="T435">
        <v>270048</v>
      </c>
      <c r="U435">
        <v>4</v>
      </c>
      <c r="V435">
        <v>270048</v>
      </c>
      <c r="W435">
        <v>4</v>
      </c>
      <c r="X435">
        <v>270048</v>
      </c>
      <c r="Y435" t="s">
        <v>17</v>
      </c>
      <c r="Z435" t="str">
        <f>LOOKUP(B435,{0,1083,124200,681950},{"1st","2nd","3rd","4th"})&amp;" Quartile"</f>
        <v>3rd Quartile</v>
      </c>
    </row>
    <row r="436" spans="1:26">
      <c r="A436">
        <v>2019</v>
      </c>
      <c r="B436">
        <v>168700</v>
      </c>
      <c r="C436" t="s">
        <v>255</v>
      </c>
      <c r="D436" t="s">
        <v>256</v>
      </c>
      <c r="E436">
        <v>62</v>
      </c>
      <c r="F436" t="s">
        <v>255</v>
      </c>
      <c r="G436">
        <v>56</v>
      </c>
      <c r="H436">
        <v>0.84899999999999998</v>
      </c>
      <c r="I436">
        <v>0.77800000000000002</v>
      </c>
      <c r="J436">
        <v>-5.4429999999999996</v>
      </c>
      <c r="K436">
        <v>1</v>
      </c>
      <c r="L436">
        <v>0</v>
      </c>
      <c r="M436">
        <v>0.217</v>
      </c>
      <c r="N436">
        <v>3.5799999999999998E-2</v>
      </c>
      <c r="O436">
        <v>1.4300000000000001E-6</v>
      </c>
      <c r="P436">
        <v>0.126</v>
      </c>
      <c r="Q436">
        <v>0.63400000000000001</v>
      </c>
      <c r="R436">
        <v>126.842</v>
      </c>
      <c r="S436">
        <v>4</v>
      </c>
      <c r="T436">
        <v>232422</v>
      </c>
      <c r="U436">
        <v>4</v>
      </c>
      <c r="V436">
        <v>232422</v>
      </c>
      <c r="W436">
        <v>4</v>
      </c>
      <c r="X436">
        <v>232422</v>
      </c>
      <c r="Y436" t="s">
        <v>17</v>
      </c>
      <c r="Z436" t="str">
        <f>LOOKUP(B436,{0,1083,124200,681950},{"1st","2nd","3rd","4th"})&amp;" Quartile"</f>
        <v>3rd Quartile</v>
      </c>
    </row>
    <row r="437" spans="1:26">
      <c r="A437">
        <v>2021</v>
      </c>
      <c r="B437">
        <v>166100</v>
      </c>
      <c r="C437" t="s">
        <v>1406</v>
      </c>
      <c r="D437" t="s">
        <v>1405</v>
      </c>
      <c r="E437">
        <v>66</v>
      </c>
      <c r="F437" t="s">
        <v>1404</v>
      </c>
      <c r="G437">
        <v>82</v>
      </c>
      <c r="H437">
        <v>0.65500000000000003</v>
      </c>
      <c r="I437">
        <v>0.81899999999999995</v>
      </c>
      <c r="J437">
        <v>-4.8520000000000003</v>
      </c>
      <c r="K437">
        <v>1</v>
      </c>
      <c r="L437">
        <v>0</v>
      </c>
      <c r="M437">
        <v>3.1600000000000003E-2</v>
      </c>
      <c r="N437">
        <v>1.76E-4</v>
      </c>
      <c r="O437">
        <v>3.7399999999999998E-3</v>
      </c>
      <c r="P437">
        <v>0.104</v>
      </c>
      <c r="Q437">
        <v>0.76600000000000001</v>
      </c>
      <c r="R437">
        <v>117.956</v>
      </c>
      <c r="S437">
        <v>5</v>
      </c>
      <c r="T437">
        <v>192790</v>
      </c>
      <c r="U437">
        <v>5</v>
      </c>
      <c r="V437">
        <v>192790</v>
      </c>
      <c r="W437">
        <v>5</v>
      </c>
      <c r="X437">
        <v>192790</v>
      </c>
      <c r="Y437" t="s">
        <v>17</v>
      </c>
      <c r="Z437" t="str">
        <f>LOOKUP(B437,{0,1083,124200,681950},{"1st","2nd","3rd","4th"})&amp;" Quartile"</f>
        <v>3rd Quartile</v>
      </c>
    </row>
    <row r="438" spans="1:26">
      <c r="A438">
        <v>2022</v>
      </c>
      <c r="B438">
        <v>165200</v>
      </c>
      <c r="C438" t="s">
        <v>1807</v>
      </c>
      <c r="D438" t="s">
        <v>642</v>
      </c>
      <c r="E438">
        <v>83</v>
      </c>
      <c r="F438" t="s">
        <v>1807</v>
      </c>
      <c r="G438">
        <v>84</v>
      </c>
      <c r="H438">
        <v>0.376</v>
      </c>
      <c r="I438">
        <v>0.65700000000000003</v>
      </c>
      <c r="J438">
        <v>-4.6580000000000004</v>
      </c>
      <c r="K438">
        <v>1</v>
      </c>
      <c r="L438">
        <v>7</v>
      </c>
      <c r="M438">
        <v>7.6799999999999993E-2</v>
      </c>
      <c r="N438">
        <v>8.5800000000000001E-2</v>
      </c>
      <c r="O438">
        <v>0</v>
      </c>
      <c r="P438">
        <v>8.8400000000000006E-2</v>
      </c>
      <c r="Q438">
        <v>0.20300000000000001</v>
      </c>
      <c r="R438">
        <v>80.564999999999998</v>
      </c>
      <c r="S438">
        <v>4</v>
      </c>
      <c r="T438">
        <v>164782</v>
      </c>
      <c r="U438">
        <v>4</v>
      </c>
      <c r="V438">
        <v>164782</v>
      </c>
      <c r="W438">
        <v>4</v>
      </c>
      <c r="X438">
        <v>164782</v>
      </c>
      <c r="Y438" t="s">
        <v>17</v>
      </c>
      <c r="Z438" t="str">
        <f>LOOKUP(B438,{0,1083,124200,681950},{"1st","2nd","3rd","4th"})&amp;" Quartile"</f>
        <v>3rd Quartile</v>
      </c>
    </row>
    <row r="439" spans="1:26">
      <c r="A439">
        <v>2019</v>
      </c>
      <c r="B439">
        <v>163800</v>
      </c>
      <c r="C439" t="s">
        <v>96</v>
      </c>
      <c r="D439" t="s">
        <v>97</v>
      </c>
      <c r="E439">
        <v>3</v>
      </c>
      <c r="F439" t="s">
        <v>96</v>
      </c>
      <c r="G439">
        <v>0</v>
      </c>
      <c r="H439">
        <v>0.81899999999999995</v>
      </c>
      <c r="I439">
        <v>0.79100000000000004</v>
      </c>
      <c r="J439">
        <v>-5.7359999999999998</v>
      </c>
      <c r="K439">
        <v>1</v>
      </c>
      <c r="L439">
        <v>8</v>
      </c>
      <c r="M439">
        <v>0.32400000000000001</v>
      </c>
      <c r="N439">
        <v>0.372</v>
      </c>
      <c r="O439">
        <v>6.2199999999999994E-5</v>
      </c>
      <c r="P439">
        <v>0.47099999999999997</v>
      </c>
      <c r="Q439">
        <v>0.90200000000000002</v>
      </c>
      <c r="R439">
        <v>172.09399999999999</v>
      </c>
      <c r="S439">
        <v>4</v>
      </c>
      <c r="T439">
        <v>89293</v>
      </c>
      <c r="U439">
        <v>4</v>
      </c>
      <c r="V439">
        <v>89293</v>
      </c>
      <c r="W439">
        <v>4</v>
      </c>
      <c r="X439">
        <v>89293</v>
      </c>
      <c r="Y439" t="s">
        <v>17</v>
      </c>
      <c r="Z439" t="str">
        <f>LOOKUP(B439,{0,1083,124200,681950},{"1st","2nd","3rd","4th"})&amp;" Quartile"</f>
        <v>3rd Quartile</v>
      </c>
    </row>
    <row r="440" spans="1:26">
      <c r="A440">
        <v>2020</v>
      </c>
      <c r="B440">
        <v>163500</v>
      </c>
      <c r="C440" t="s">
        <v>908</v>
      </c>
      <c r="D440" t="s">
        <v>907</v>
      </c>
      <c r="E440">
        <v>66</v>
      </c>
      <c r="F440" t="s">
        <v>907</v>
      </c>
      <c r="G440">
        <v>66</v>
      </c>
      <c r="H440">
        <v>0.746</v>
      </c>
      <c r="I440">
        <v>0.69099999999999995</v>
      </c>
      <c r="J440">
        <v>-7.5330000000000004</v>
      </c>
      <c r="K440">
        <v>0</v>
      </c>
      <c r="L440">
        <v>4</v>
      </c>
      <c r="M440">
        <v>4.0300000000000002E-2</v>
      </c>
      <c r="N440">
        <v>0.184</v>
      </c>
      <c r="O440">
        <v>2.5899999999999999E-2</v>
      </c>
      <c r="P440">
        <v>0.20499999999999999</v>
      </c>
      <c r="Q440">
        <v>0.88800000000000001</v>
      </c>
      <c r="R440">
        <v>119.982</v>
      </c>
      <c r="S440">
        <v>4</v>
      </c>
      <c r="T440">
        <v>258453</v>
      </c>
      <c r="U440">
        <v>4</v>
      </c>
      <c r="V440">
        <v>258453</v>
      </c>
      <c r="W440">
        <v>4</v>
      </c>
      <c r="X440">
        <v>258453</v>
      </c>
      <c r="Y440" t="s">
        <v>17</v>
      </c>
      <c r="Z440" t="str">
        <f>LOOKUP(B440,{0,1083,124200,681950},{"1st","2nd","3rd","4th"})&amp;" Quartile"</f>
        <v>3rd Quartile</v>
      </c>
    </row>
    <row r="441" spans="1:26">
      <c r="A441">
        <v>2021</v>
      </c>
      <c r="B441">
        <v>163300</v>
      </c>
      <c r="C441" t="s">
        <v>1397</v>
      </c>
      <c r="D441" t="s">
        <v>1398</v>
      </c>
      <c r="E441">
        <v>69</v>
      </c>
      <c r="F441" t="s">
        <v>1397</v>
      </c>
      <c r="G441">
        <v>0</v>
      </c>
      <c r="H441">
        <v>0.65700000000000003</v>
      </c>
      <c r="I441">
        <v>0.73899999999999999</v>
      </c>
      <c r="J441">
        <v>-4.0810000000000004</v>
      </c>
      <c r="K441">
        <v>1</v>
      </c>
      <c r="L441">
        <v>2</v>
      </c>
      <c r="M441">
        <v>0.27400000000000002</v>
      </c>
      <c r="N441">
        <v>0.14099999999999999</v>
      </c>
      <c r="O441">
        <v>0</v>
      </c>
      <c r="P441">
        <v>0.17799999999999999</v>
      </c>
      <c r="Q441">
        <v>0.54300000000000004</v>
      </c>
      <c r="R441">
        <v>181.994</v>
      </c>
      <c r="S441">
        <v>4</v>
      </c>
      <c r="T441">
        <v>202221</v>
      </c>
      <c r="U441">
        <v>4</v>
      </c>
      <c r="V441">
        <v>202221</v>
      </c>
      <c r="W441">
        <v>4</v>
      </c>
      <c r="X441">
        <v>202221</v>
      </c>
      <c r="Y441" t="s">
        <v>17</v>
      </c>
      <c r="Z441" t="str">
        <f>LOOKUP(B441,{0,1083,124200,681950},{"1st","2nd","3rd","4th"})&amp;" Quartile"</f>
        <v>3rd Quartile</v>
      </c>
    </row>
    <row r="442" spans="1:26">
      <c r="A442">
        <v>2019</v>
      </c>
      <c r="B442">
        <v>163200</v>
      </c>
      <c r="C442" t="s">
        <v>444</v>
      </c>
      <c r="D442" t="s">
        <v>445</v>
      </c>
      <c r="E442">
        <v>43</v>
      </c>
      <c r="F442" t="s">
        <v>444</v>
      </c>
      <c r="G442">
        <v>56</v>
      </c>
      <c r="H442">
        <v>0.748</v>
      </c>
      <c r="I442">
        <v>0.80200000000000005</v>
      </c>
      <c r="J442">
        <v>-6.2709999999999999</v>
      </c>
      <c r="K442">
        <v>1</v>
      </c>
      <c r="L442">
        <v>5</v>
      </c>
      <c r="M442">
        <v>0.113</v>
      </c>
      <c r="N442">
        <v>0.59499999999999997</v>
      </c>
      <c r="O442">
        <v>6.78E-4</v>
      </c>
      <c r="P442">
        <v>0.113</v>
      </c>
      <c r="Q442">
        <v>0.874</v>
      </c>
      <c r="R442">
        <v>159.98400000000001</v>
      </c>
      <c r="S442">
        <v>4</v>
      </c>
      <c r="T442">
        <v>156078</v>
      </c>
      <c r="U442">
        <v>4</v>
      </c>
      <c r="V442">
        <v>156078</v>
      </c>
      <c r="W442">
        <v>4</v>
      </c>
      <c r="X442">
        <v>156078</v>
      </c>
      <c r="Y442" t="s">
        <v>17</v>
      </c>
      <c r="Z442" t="str">
        <f>LOOKUP(B442,{0,1083,124200,681950},{"1st","2nd","3rd","4th"})&amp;" Quartile"</f>
        <v>3rd Quartile</v>
      </c>
    </row>
    <row r="443" spans="1:26">
      <c r="A443">
        <v>2021</v>
      </c>
      <c r="B443">
        <v>159900</v>
      </c>
      <c r="C443" t="s">
        <v>216</v>
      </c>
      <c r="D443" t="s">
        <v>215</v>
      </c>
      <c r="E443">
        <v>77</v>
      </c>
      <c r="F443" t="s">
        <v>214</v>
      </c>
      <c r="G443">
        <v>80</v>
      </c>
      <c r="H443">
        <v>0.91800000000000004</v>
      </c>
      <c r="I443">
        <v>0.60899999999999999</v>
      </c>
      <c r="J443">
        <v>-5.64</v>
      </c>
      <c r="K443">
        <v>0</v>
      </c>
      <c r="L443">
        <v>10</v>
      </c>
      <c r="M443">
        <v>7.9100000000000004E-2</v>
      </c>
      <c r="N443">
        <v>9.2799999999999994E-2</v>
      </c>
      <c r="O443">
        <v>0</v>
      </c>
      <c r="P443">
        <v>0.13900000000000001</v>
      </c>
      <c r="Q443">
        <v>0.30399999999999999</v>
      </c>
      <c r="R443">
        <v>128.00800000000001</v>
      </c>
      <c r="S443">
        <v>4</v>
      </c>
      <c r="T443">
        <v>231400</v>
      </c>
      <c r="U443">
        <v>4</v>
      </c>
      <c r="V443">
        <v>231400</v>
      </c>
      <c r="W443">
        <v>4</v>
      </c>
      <c r="X443">
        <v>231400</v>
      </c>
      <c r="Y443" t="s">
        <v>17</v>
      </c>
      <c r="Z443" t="str">
        <f>LOOKUP(B443,{0,1083,124200,681950},{"1st","2nd","3rd","4th"})&amp;" Quartile"</f>
        <v>3rd Quartile</v>
      </c>
    </row>
    <row r="444" spans="1:26">
      <c r="A444">
        <v>2019</v>
      </c>
      <c r="B444">
        <v>159300</v>
      </c>
      <c r="C444" t="s">
        <v>216</v>
      </c>
      <c r="D444" t="s">
        <v>215</v>
      </c>
      <c r="E444">
        <v>77</v>
      </c>
      <c r="F444" t="s">
        <v>214</v>
      </c>
      <c r="G444">
        <v>80</v>
      </c>
      <c r="H444">
        <v>0.91800000000000004</v>
      </c>
      <c r="I444">
        <v>0.60899999999999999</v>
      </c>
      <c r="J444">
        <v>-5.64</v>
      </c>
      <c r="K444">
        <v>0</v>
      </c>
      <c r="L444">
        <v>10</v>
      </c>
      <c r="M444">
        <v>7.9100000000000004E-2</v>
      </c>
      <c r="N444">
        <v>9.2799999999999994E-2</v>
      </c>
      <c r="O444">
        <v>0</v>
      </c>
      <c r="P444">
        <v>0.13900000000000001</v>
      </c>
      <c r="Q444">
        <v>0.30399999999999999</v>
      </c>
      <c r="R444">
        <v>128.00800000000001</v>
      </c>
      <c r="S444">
        <v>4</v>
      </c>
      <c r="T444">
        <v>231400</v>
      </c>
      <c r="U444">
        <v>4</v>
      </c>
      <c r="V444">
        <v>231400</v>
      </c>
      <c r="W444">
        <v>4</v>
      </c>
      <c r="X444">
        <v>231400</v>
      </c>
      <c r="Y444" t="s">
        <v>17</v>
      </c>
      <c r="Z444" t="str">
        <f>LOOKUP(B444,{0,1083,124200,681950},{"1st","2nd","3rd","4th"})&amp;" Quartile"</f>
        <v>3rd Quartile</v>
      </c>
    </row>
    <row r="445" spans="1:26">
      <c r="A445">
        <v>2022</v>
      </c>
      <c r="B445">
        <v>157100</v>
      </c>
      <c r="C445" t="s">
        <v>1676</v>
      </c>
      <c r="D445" t="s">
        <v>175</v>
      </c>
      <c r="E445">
        <v>88</v>
      </c>
      <c r="F445" t="s">
        <v>1316</v>
      </c>
      <c r="G445">
        <v>81</v>
      </c>
      <c r="H445">
        <v>0.85499999999999998</v>
      </c>
      <c r="I445">
        <v>0.48799999999999999</v>
      </c>
      <c r="J445">
        <v>-4.601</v>
      </c>
      <c r="K445">
        <v>1</v>
      </c>
      <c r="L445">
        <v>3</v>
      </c>
      <c r="M445">
        <v>0.20799999999999999</v>
      </c>
      <c r="N445">
        <v>0.50600000000000001</v>
      </c>
      <c r="O445">
        <v>0</v>
      </c>
      <c r="P445">
        <v>0.34699999999999998</v>
      </c>
      <c r="Q445">
        <v>0.61899999999999999</v>
      </c>
      <c r="R445">
        <v>124.09699999999999</v>
      </c>
      <c r="S445">
        <v>4</v>
      </c>
      <c r="T445">
        <v>174253</v>
      </c>
      <c r="U445">
        <v>4</v>
      </c>
      <c r="V445">
        <v>174253</v>
      </c>
      <c r="W445">
        <v>4</v>
      </c>
      <c r="X445">
        <v>174253</v>
      </c>
      <c r="Y445" t="s">
        <v>17</v>
      </c>
      <c r="Z445" t="str">
        <f>LOOKUP(B445,{0,1083,124200,681950},{"1st","2nd","3rd","4th"})&amp;" Quartile"</f>
        <v>3rd Quartile</v>
      </c>
    </row>
    <row r="446" spans="1:26">
      <c r="A446">
        <v>2022</v>
      </c>
      <c r="B446">
        <v>156200</v>
      </c>
      <c r="C446" t="s">
        <v>1313</v>
      </c>
      <c r="D446" t="s">
        <v>1314</v>
      </c>
      <c r="E446">
        <v>83</v>
      </c>
      <c r="F446" t="s">
        <v>1313</v>
      </c>
      <c r="G446">
        <v>77</v>
      </c>
      <c r="H446">
        <v>0.63</v>
      </c>
      <c r="I446">
        <v>0.63300000000000001</v>
      </c>
      <c r="J446">
        <v>-7.0880000000000001</v>
      </c>
      <c r="K446">
        <v>1</v>
      </c>
      <c r="L446">
        <v>4</v>
      </c>
      <c r="M446">
        <v>4.5699999999999998E-2</v>
      </c>
      <c r="N446">
        <v>7.7600000000000004E-3</v>
      </c>
      <c r="O446">
        <v>0</v>
      </c>
      <c r="P446">
        <v>5.4100000000000002E-2</v>
      </c>
      <c r="Q446">
        <v>0.45200000000000001</v>
      </c>
      <c r="R446">
        <v>93.995000000000005</v>
      </c>
      <c r="S446">
        <v>4</v>
      </c>
      <c r="T446">
        <v>172762</v>
      </c>
      <c r="U446">
        <v>4</v>
      </c>
      <c r="V446">
        <v>172762</v>
      </c>
      <c r="W446">
        <v>4</v>
      </c>
      <c r="X446">
        <v>172762</v>
      </c>
      <c r="Y446" t="s">
        <v>17</v>
      </c>
      <c r="Z446" t="str">
        <f>LOOKUP(B446,{0,1083,124200,681950},{"1st","2nd","3rd","4th"})&amp;" Quartile"</f>
        <v>3rd Quartile</v>
      </c>
    </row>
    <row r="447" spans="1:26">
      <c r="A447">
        <v>2021</v>
      </c>
      <c r="B447">
        <v>156200</v>
      </c>
      <c r="C447" t="s">
        <v>1313</v>
      </c>
      <c r="D447" t="s">
        <v>1314</v>
      </c>
      <c r="E447">
        <v>83</v>
      </c>
      <c r="F447" t="s">
        <v>1313</v>
      </c>
      <c r="G447">
        <v>77</v>
      </c>
      <c r="H447">
        <v>0.63</v>
      </c>
      <c r="I447">
        <v>0.63300000000000001</v>
      </c>
      <c r="J447">
        <v>-7.0880000000000001</v>
      </c>
      <c r="K447">
        <v>1</v>
      </c>
      <c r="L447">
        <v>4</v>
      </c>
      <c r="M447">
        <v>4.5699999999999998E-2</v>
      </c>
      <c r="N447">
        <v>7.7600000000000004E-3</v>
      </c>
      <c r="O447">
        <v>0</v>
      </c>
      <c r="P447">
        <v>5.4100000000000002E-2</v>
      </c>
      <c r="Q447">
        <v>0.45200000000000001</v>
      </c>
      <c r="R447">
        <v>93.995000000000005</v>
      </c>
      <c r="S447">
        <v>4</v>
      </c>
      <c r="T447">
        <v>172762</v>
      </c>
      <c r="U447">
        <v>4</v>
      </c>
      <c r="V447">
        <v>172762</v>
      </c>
      <c r="W447">
        <v>4</v>
      </c>
      <c r="X447">
        <v>172762</v>
      </c>
      <c r="Y447" t="s">
        <v>17</v>
      </c>
      <c r="Z447" t="str">
        <f>LOOKUP(B447,{0,1083,124200,681950},{"1st","2nd","3rd","4th"})&amp;" Quartile"</f>
        <v>3rd Quartile</v>
      </c>
    </row>
    <row r="448" spans="1:26">
      <c r="A448">
        <v>2020</v>
      </c>
      <c r="B448">
        <v>154700</v>
      </c>
      <c r="C448" t="s">
        <v>686</v>
      </c>
      <c r="D448" t="s">
        <v>685</v>
      </c>
      <c r="E448">
        <v>74</v>
      </c>
      <c r="F448" t="s">
        <v>684</v>
      </c>
      <c r="G448">
        <v>79</v>
      </c>
      <c r="H448">
        <v>0.872</v>
      </c>
      <c r="I448">
        <v>0.872</v>
      </c>
      <c r="J448">
        <v>-6.3280000000000003</v>
      </c>
      <c r="K448">
        <v>1</v>
      </c>
      <c r="L448">
        <v>1</v>
      </c>
      <c r="M448">
        <v>0.13900000000000001</v>
      </c>
      <c r="N448">
        <v>4.7600000000000003E-2</v>
      </c>
      <c r="O448">
        <v>1.1199999999999999E-3</v>
      </c>
      <c r="P448">
        <v>5.4300000000000001E-2</v>
      </c>
      <c r="Q448">
        <v>0.80900000000000005</v>
      </c>
      <c r="R448">
        <v>116.94799999999999</v>
      </c>
      <c r="S448">
        <v>4</v>
      </c>
      <c r="T448">
        <v>223080</v>
      </c>
      <c r="U448">
        <v>4</v>
      </c>
      <c r="V448">
        <v>223080</v>
      </c>
      <c r="W448">
        <v>4</v>
      </c>
      <c r="X448">
        <v>223080</v>
      </c>
      <c r="Y448" t="s">
        <v>17</v>
      </c>
      <c r="Z448" t="str">
        <f>LOOKUP(B448,{0,1083,124200,681950},{"1st","2nd","3rd","4th"})&amp;" Quartile"</f>
        <v>3rd Quartile</v>
      </c>
    </row>
    <row r="449" spans="1:26">
      <c r="A449">
        <v>2019</v>
      </c>
      <c r="B449">
        <v>154600</v>
      </c>
      <c r="C449" t="s">
        <v>555</v>
      </c>
      <c r="D449" t="s">
        <v>556</v>
      </c>
      <c r="E449">
        <v>70</v>
      </c>
      <c r="F449" t="s">
        <v>555</v>
      </c>
      <c r="G449">
        <v>80</v>
      </c>
      <c r="H449">
        <v>0.52800000000000002</v>
      </c>
      <c r="I449">
        <v>0.79700000000000004</v>
      </c>
      <c r="J449">
        <v>-7.4870000000000001</v>
      </c>
      <c r="K449">
        <v>1</v>
      </c>
      <c r="L449">
        <v>4</v>
      </c>
      <c r="M449">
        <v>4.8500000000000001E-2</v>
      </c>
      <c r="N449">
        <v>3.9100000000000002E-4</v>
      </c>
      <c r="O449">
        <v>1.0999999999999999E-2</v>
      </c>
      <c r="P449">
        <v>0.14000000000000001</v>
      </c>
      <c r="Q449">
        <v>0.751</v>
      </c>
      <c r="R449">
        <v>143.785</v>
      </c>
      <c r="S449">
        <v>4</v>
      </c>
      <c r="T449">
        <v>136562</v>
      </c>
      <c r="U449">
        <v>4</v>
      </c>
      <c r="V449">
        <v>136562</v>
      </c>
      <c r="W449">
        <v>4</v>
      </c>
      <c r="X449">
        <v>136562</v>
      </c>
      <c r="Y449" t="s">
        <v>17</v>
      </c>
      <c r="Z449" t="str">
        <f>LOOKUP(B449,{0,1083,124200,681950},{"1st","2nd","3rd","4th"})&amp;" Quartile"</f>
        <v>3rd Quartile</v>
      </c>
    </row>
    <row r="450" spans="1:26">
      <c r="A450">
        <v>2020</v>
      </c>
      <c r="B450">
        <v>153500</v>
      </c>
      <c r="C450" t="s">
        <v>463</v>
      </c>
      <c r="D450" t="s">
        <v>464</v>
      </c>
      <c r="E450">
        <v>59</v>
      </c>
      <c r="F450" t="s">
        <v>463</v>
      </c>
      <c r="G450">
        <v>0</v>
      </c>
      <c r="H450">
        <v>0.497</v>
      </c>
      <c r="I450">
        <v>0.82499999999999996</v>
      </c>
      <c r="J450">
        <v>-6.7720000000000002</v>
      </c>
      <c r="K450">
        <v>1</v>
      </c>
      <c r="L450">
        <v>2</v>
      </c>
      <c r="M450">
        <v>0.27800000000000002</v>
      </c>
      <c r="N450">
        <v>1.66E-3</v>
      </c>
      <c r="O450">
        <v>2.8400000000000002E-4</v>
      </c>
      <c r="P450">
        <v>0.36099999999999999</v>
      </c>
      <c r="Q450">
        <v>0.81200000000000006</v>
      </c>
      <c r="R450">
        <v>87.942999999999998</v>
      </c>
      <c r="S450">
        <v>4</v>
      </c>
      <c r="T450">
        <v>68586</v>
      </c>
      <c r="U450">
        <v>4</v>
      </c>
      <c r="V450">
        <v>68586</v>
      </c>
      <c r="W450">
        <v>4</v>
      </c>
      <c r="X450">
        <v>68586</v>
      </c>
      <c r="Y450" t="s">
        <v>17</v>
      </c>
      <c r="Z450" t="str">
        <f>LOOKUP(B450,{0,1083,124200,681950},{"1st","2nd","3rd","4th"})&amp;" Quartile"</f>
        <v>3rd Quartile</v>
      </c>
    </row>
    <row r="451" spans="1:26">
      <c r="A451">
        <v>2019</v>
      </c>
      <c r="B451">
        <v>153500</v>
      </c>
      <c r="C451" t="s">
        <v>463</v>
      </c>
      <c r="D451" t="s">
        <v>464</v>
      </c>
      <c r="E451">
        <v>59</v>
      </c>
      <c r="F451" t="s">
        <v>463</v>
      </c>
      <c r="G451">
        <v>75</v>
      </c>
      <c r="H451">
        <v>0.46600000000000003</v>
      </c>
      <c r="I451">
        <v>0.82299999999999995</v>
      </c>
      <c r="J451">
        <v>-6.6349999999999998</v>
      </c>
      <c r="K451">
        <v>1</v>
      </c>
      <c r="L451">
        <v>2</v>
      </c>
      <c r="M451">
        <v>0.311</v>
      </c>
      <c r="N451">
        <v>2.3700000000000001E-3</v>
      </c>
      <c r="O451">
        <v>3.21E-4</v>
      </c>
      <c r="P451">
        <v>0.33200000000000002</v>
      </c>
      <c r="Q451">
        <v>0.78200000000000003</v>
      </c>
      <c r="R451">
        <v>175.797</v>
      </c>
      <c r="S451">
        <v>4</v>
      </c>
      <c r="T451">
        <v>68523</v>
      </c>
      <c r="U451">
        <v>4</v>
      </c>
      <c r="V451">
        <v>68523</v>
      </c>
      <c r="W451">
        <v>4</v>
      </c>
      <c r="X451">
        <v>68523</v>
      </c>
      <c r="Y451" t="s">
        <v>17</v>
      </c>
      <c r="Z451" t="str">
        <f>LOOKUP(B451,{0,1083,124200,681950},{"1st","2nd","3rd","4th"})&amp;" Quartile"</f>
        <v>3rd Quartile</v>
      </c>
    </row>
    <row r="452" spans="1:26">
      <c r="A452">
        <v>2020</v>
      </c>
      <c r="B452">
        <v>150600</v>
      </c>
      <c r="C452" t="s">
        <v>859</v>
      </c>
      <c r="D452" t="s">
        <v>858</v>
      </c>
      <c r="E452">
        <v>80</v>
      </c>
      <c r="F452" t="s">
        <v>857</v>
      </c>
      <c r="G452">
        <v>72</v>
      </c>
      <c r="H452">
        <v>0.69499999999999995</v>
      </c>
      <c r="I452">
        <v>0.70099999999999996</v>
      </c>
      <c r="J452">
        <v>-6.4349999999999996</v>
      </c>
      <c r="K452">
        <v>1</v>
      </c>
      <c r="L452">
        <v>0</v>
      </c>
      <c r="M452">
        <v>2.81E-2</v>
      </c>
      <c r="N452">
        <v>1.8700000000000001E-2</v>
      </c>
      <c r="O452">
        <v>4.6399999999999997E-2</v>
      </c>
      <c r="P452">
        <v>0.251</v>
      </c>
      <c r="Q452">
        <v>0.57999999999999996</v>
      </c>
      <c r="R452">
        <v>133</v>
      </c>
      <c r="S452">
        <v>4</v>
      </c>
      <c r="T452">
        <v>272507</v>
      </c>
      <c r="U452">
        <v>4</v>
      </c>
      <c r="V452">
        <v>272507</v>
      </c>
      <c r="W452">
        <v>4</v>
      </c>
      <c r="X452">
        <v>272507</v>
      </c>
      <c r="Y452" t="s">
        <v>17</v>
      </c>
      <c r="Z452" t="str">
        <f>LOOKUP(B452,{0,1083,124200,681950},{"1st","2nd","3rd","4th"})&amp;" Quartile"</f>
        <v>3rd Quartile</v>
      </c>
    </row>
    <row r="453" spans="1:26">
      <c r="A453">
        <v>2019</v>
      </c>
      <c r="B453">
        <v>149800</v>
      </c>
      <c r="C453" t="s">
        <v>461</v>
      </c>
      <c r="D453" t="s">
        <v>462</v>
      </c>
      <c r="E453">
        <v>59</v>
      </c>
      <c r="F453" t="s">
        <v>461</v>
      </c>
      <c r="G453">
        <v>0</v>
      </c>
      <c r="H453">
        <v>0.81100000000000005</v>
      </c>
      <c r="I453">
        <v>0.57699999999999996</v>
      </c>
      <c r="J453">
        <v>-5.9969999999999999</v>
      </c>
      <c r="K453">
        <v>1</v>
      </c>
      <c r="L453">
        <v>1</v>
      </c>
      <c r="M453">
        <v>0.439</v>
      </c>
      <c r="N453">
        <v>0.14000000000000001</v>
      </c>
      <c r="O453">
        <v>0</v>
      </c>
      <c r="P453">
        <v>8.1699999999999995E-2</v>
      </c>
      <c r="Q453">
        <v>0.45500000000000002</v>
      </c>
      <c r="R453">
        <v>171.09200000000001</v>
      </c>
      <c r="S453">
        <v>4</v>
      </c>
      <c r="T453">
        <v>148140</v>
      </c>
      <c r="U453">
        <v>4</v>
      </c>
      <c r="V453">
        <v>148140</v>
      </c>
      <c r="W453">
        <v>4</v>
      </c>
      <c r="X453">
        <v>148140</v>
      </c>
      <c r="Y453" t="s">
        <v>17</v>
      </c>
      <c r="Z453" t="str">
        <f>LOOKUP(B453,{0,1083,124200,681950},{"1st","2nd","3rd","4th"})&amp;" Quartile"</f>
        <v>3rd Quartile</v>
      </c>
    </row>
    <row r="454" spans="1:26">
      <c r="A454">
        <v>2022</v>
      </c>
      <c r="B454">
        <v>149200</v>
      </c>
      <c r="C454" t="s">
        <v>1269</v>
      </c>
      <c r="D454" t="s">
        <v>124</v>
      </c>
      <c r="E454">
        <v>87</v>
      </c>
      <c r="F454" t="s">
        <v>1625</v>
      </c>
      <c r="G454">
        <v>57</v>
      </c>
      <c r="H454">
        <v>0.78900000000000003</v>
      </c>
      <c r="I454">
        <v>0.74199999999999999</v>
      </c>
      <c r="J454">
        <v>-5.6639999999999997</v>
      </c>
      <c r="K454">
        <v>0</v>
      </c>
      <c r="L454">
        <v>10</v>
      </c>
      <c r="M454">
        <v>6.5199999999999994E-2</v>
      </c>
      <c r="N454">
        <v>6.8099999999999994E-2</v>
      </c>
      <c r="O454">
        <v>0</v>
      </c>
      <c r="P454">
        <v>0.16600000000000001</v>
      </c>
      <c r="Q454">
        <v>0.66100000000000003</v>
      </c>
      <c r="R454">
        <v>116.965</v>
      </c>
      <c r="S454">
        <v>4</v>
      </c>
      <c r="T454">
        <v>167990</v>
      </c>
      <c r="U454">
        <v>4</v>
      </c>
      <c r="V454">
        <v>167990</v>
      </c>
      <c r="W454">
        <v>4</v>
      </c>
      <c r="X454">
        <v>167990</v>
      </c>
      <c r="Y454" t="s">
        <v>17</v>
      </c>
      <c r="Z454" t="str">
        <f>LOOKUP(B454,{0,1083,124200,681950},{"1st","2nd","3rd","4th"})&amp;" Quartile"</f>
        <v>3rd Quartile</v>
      </c>
    </row>
    <row r="455" spans="1:26">
      <c r="A455">
        <v>2021</v>
      </c>
      <c r="B455">
        <v>149000</v>
      </c>
      <c r="C455" t="s">
        <v>1269</v>
      </c>
      <c r="D455" t="s">
        <v>124</v>
      </c>
      <c r="E455">
        <v>87</v>
      </c>
      <c r="F455" t="s">
        <v>1268</v>
      </c>
      <c r="G455">
        <v>79</v>
      </c>
      <c r="H455">
        <v>0.78900000000000003</v>
      </c>
      <c r="I455">
        <v>0.74199999999999999</v>
      </c>
      <c r="J455">
        <v>-5.6639999999999997</v>
      </c>
      <c r="K455">
        <v>0</v>
      </c>
      <c r="L455">
        <v>10</v>
      </c>
      <c r="M455">
        <v>6.5199999999999994E-2</v>
      </c>
      <c r="N455">
        <v>6.8099999999999994E-2</v>
      </c>
      <c r="O455">
        <v>0</v>
      </c>
      <c r="P455">
        <v>0.16600000000000001</v>
      </c>
      <c r="Q455">
        <v>0.66100000000000003</v>
      </c>
      <c r="R455">
        <v>116.965</v>
      </c>
      <c r="S455">
        <v>4</v>
      </c>
      <c r="T455">
        <v>167990</v>
      </c>
      <c r="U455">
        <v>4</v>
      </c>
      <c r="V455">
        <v>167990</v>
      </c>
      <c r="W455">
        <v>4</v>
      </c>
      <c r="X455">
        <v>167990</v>
      </c>
      <c r="Y455" t="s">
        <v>17</v>
      </c>
      <c r="Z455" t="str">
        <f>LOOKUP(B455,{0,1083,124200,681950},{"1st","2nd","3rd","4th"})&amp;" Quartile"</f>
        <v>3rd Quartile</v>
      </c>
    </row>
    <row r="456" spans="1:26">
      <c r="A456">
        <v>2022</v>
      </c>
      <c r="B456">
        <v>148200</v>
      </c>
      <c r="C456" t="s">
        <v>1781</v>
      </c>
      <c r="D456" t="s">
        <v>1782</v>
      </c>
      <c r="E456">
        <v>68</v>
      </c>
      <c r="F456" t="s">
        <v>1781</v>
      </c>
      <c r="G456">
        <v>72</v>
      </c>
      <c r="H456">
        <v>0.308</v>
      </c>
      <c r="I456">
        <v>0.86099999999999999</v>
      </c>
      <c r="J456">
        <v>-4.1120000000000001</v>
      </c>
      <c r="K456">
        <v>0</v>
      </c>
      <c r="L456">
        <v>11</v>
      </c>
      <c r="M456">
        <v>0.17199999999999999</v>
      </c>
      <c r="N456">
        <v>1.2E-2</v>
      </c>
      <c r="O456">
        <v>1.0300000000000001E-3</v>
      </c>
      <c r="P456">
        <v>0.27700000000000002</v>
      </c>
      <c r="Q456">
        <v>3.8600000000000002E-2</v>
      </c>
      <c r="R456">
        <v>171.96600000000001</v>
      </c>
      <c r="S456">
        <v>4</v>
      </c>
      <c r="T456">
        <v>158774</v>
      </c>
      <c r="U456">
        <v>4</v>
      </c>
      <c r="V456">
        <v>158774</v>
      </c>
      <c r="W456">
        <v>4</v>
      </c>
      <c r="X456">
        <v>158774</v>
      </c>
      <c r="Y456" t="s">
        <v>17</v>
      </c>
      <c r="Z456" t="str">
        <f>LOOKUP(B456,{0,1083,124200,681950},{"1st","2nd","3rd","4th"})&amp;" Quartile"</f>
        <v>3rd Quartile</v>
      </c>
    </row>
    <row r="457" spans="1:26">
      <c r="A457">
        <v>2021</v>
      </c>
      <c r="B457">
        <v>147700</v>
      </c>
      <c r="C457" t="s">
        <v>1220</v>
      </c>
      <c r="D457" t="s">
        <v>1202</v>
      </c>
      <c r="E457">
        <v>74</v>
      </c>
      <c r="F457" t="s">
        <v>1219</v>
      </c>
      <c r="G457">
        <v>72</v>
      </c>
      <c r="H457">
        <v>0.93400000000000005</v>
      </c>
      <c r="I457">
        <v>0.69399999999999995</v>
      </c>
      <c r="J457">
        <v>-5.8490000000000002</v>
      </c>
      <c r="K457">
        <v>0</v>
      </c>
      <c r="L457">
        <v>11</v>
      </c>
      <c r="M457">
        <v>0.10100000000000001</v>
      </c>
      <c r="N457">
        <v>9.7100000000000006E-2</v>
      </c>
      <c r="O457">
        <v>1.1999999999999999E-6</v>
      </c>
      <c r="P457">
        <v>0.47699999999999998</v>
      </c>
      <c r="Q457">
        <v>0.83299999999999996</v>
      </c>
      <c r="R457">
        <v>123.831</v>
      </c>
      <c r="S457">
        <v>4</v>
      </c>
      <c r="T457">
        <v>181240</v>
      </c>
      <c r="U457">
        <v>4</v>
      </c>
      <c r="V457">
        <v>181240</v>
      </c>
      <c r="W457">
        <v>4</v>
      </c>
      <c r="X457">
        <v>181240</v>
      </c>
      <c r="Y457" t="s">
        <v>17</v>
      </c>
      <c r="Z457" t="str">
        <f>LOOKUP(B457,{0,1083,124200,681950},{"1st","2nd","3rd","4th"})&amp;" Quartile"</f>
        <v>3rd Quartile</v>
      </c>
    </row>
    <row r="458" spans="1:26">
      <c r="A458">
        <v>2020</v>
      </c>
      <c r="B458">
        <v>146900</v>
      </c>
      <c r="C458" t="s">
        <v>1133</v>
      </c>
      <c r="D458" t="s">
        <v>1013</v>
      </c>
      <c r="E458">
        <v>88</v>
      </c>
      <c r="F458" t="s">
        <v>1124</v>
      </c>
      <c r="G458">
        <v>75</v>
      </c>
      <c r="H458">
        <v>0.64700000000000002</v>
      </c>
      <c r="I458">
        <v>0.84399999999999997</v>
      </c>
      <c r="J458">
        <v>-3.7559999999999998</v>
      </c>
      <c r="K458">
        <v>1</v>
      </c>
      <c r="L458">
        <v>0</v>
      </c>
      <c r="M458">
        <v>4.5699999999999998E-2</v>
      </c>
      <c r="N458">
        <v>1.37E-2</v>
      </c>
      <c r="O458">
        <v>6.5799999999999995E-4</v>
      </c>
      <c r="P458">
        <v>0.10199999999999999</v>
      </c>
      <c r="Q458">
        <v>0.746</v>
      </c>
      <c r="R458">
        <v>146.96700000000001</v>
      </c>
      <c r="S458">
        <v>4</v>
      </c>
      <c r="T458">
        <v>193829</v>
      </c>
      <c r="U458">
        <v>4</v>
      </c>
      <c r="V458">
        <v>193829</v>
      </c>
      <c r="W458">
        <v>4</v>
      </c>
      <c r="X458">
        <v>193829</v>
      </c>
      <c r="Y458" t="s">
        <v>17</v>
      </c>
      <c r="Z458" t="str">
        <f>LOOKUP(B458,{0,1083,124200,681950},{"1st","2nd","3rd","4th"})&amp;" Quartile"</f>
        <v>3rd Quartile</v>
      </c>
    </row>
    <row r="459" spans="1:26">
      <c r="A459">
        <v>2020</v>
      </c>
      <c r="B459">
        <v>144600</v>
      </c>
      <c r="C459" t="s">
        <v>604</v>
      </c>
      <c r="D459" t="s">
        <v>603</v>
      </c>
      <c r="E459">
        <v>67</v>
      </c>
      <c r="F459" t="s">
        <v>602</v>
      </c>
      <c r="G459">
        <v>76</v>
      </c>
      <c r="H459">
        <v>0.68200000000000005</v>
      </c>
      <c r="I459">
        <v>0.92700000000000005</v>
      </c>
      <c r="J459">
        <v>-2.915</v>
      </c>
      <c r="K459">
        <v>1</v>
      </c>
      <c r="L459">
        <v>4</v>
      </c>
      <c r="M459">
        <v>4.7899999999999998E-2</v>
      </c>
      <c r="N459">
        <v>8.43E-2</v>
      </c>
      <c r="O459">
        <v>0</v>
      </c>
      <c r="P459">
        <v>0.14899999999999999</v>
      </c>
      <c r="Q459">
        <v>0.74399999999999999</v>
      </c>
      <c r="R459">
        <v>101.01900000000001</v>
      </c>
      <c r="S459">
        <v>4</v>
      </c>
      <c r="T459">
        <v>195613</v>
      </c>
      <c r="U459">
        <v>4</v>
      </c>
      <c r="V459">
        <v>195613</v>
      </c>
      <c r="W459">
        <v>4</v>
      </c>
      <c r="X459">
        <v>195613</v>
      </c>
      <c r="Y459" t="s">
        <v>17</v>
      </c>
      <c r="Z459" t="str">
        <f>LOOKUP(B459,{0,1083,124200,681950},{"1st","2nd","3rd","4th"})&amp;" Quartile"</f>
        <v>3rd Quartile</v>
      </c>
    </row>
    <row r="460" spans="1:26">
      <c r="A460">
        <v>2020</v>
      </c>
      <c r="B460">
        <v>144000</v>
      </c>
      <c r="C460" t="s">
        <v>880</v>
      </c>
      <c r="D460" t="s">
        <v>319</v>
      </c>
      <c r="E460">
        <v>90</v>
      </c>
      <c r="F460" t="s">
        <v>879</v>
      </c>
      <c r="G460">
        <v>65</v>
      </c>
      <c r="H460">
        <v>0.73799999999999999</v>
      </c>
      <c r="I460">
        <v>0.56299999999999994</v>
      </c>
      <c r="J460">
        <v>-5.4669999999999996</v>
      </c>
      <c r="K460">
        <v>0</v>
      </c>
      <c r="L460">
        <v>5</v>
      </c>
      <c r="M460">
        <v>0.11</v>
      </c>
      <c r="N460">
        <v>0.113</v>
      </c>
      <c r="O460">
        <v>0</v>
      </c>
      <c r="P460">
        <v>0.191</v>
      </c>
      <c r="Q460">
        <v>0.876</v>
      </c>
      <c r="R460">
        <v>134.13200000000001</v>
      </c>
      <c r="S460">
        <v>4</v>
      </c>
      <c r="T460">
        <v>248133</v>
      </c>
      <c r="U460">
        <v>4</v>
      </c>
      <c r="V460">
        <v>248133</v>
      </c>
      <c r="W460">
        <v>4</v>
      </c>
      <c r="X460">
        <v>248133</v>
      </c>
      <c r="Y460" t="s">
        <v>17</v>
      </c>
      <c r="Z460" t="str">
        <f>LOOKUP(B460,{0,1083,124200,681950},{"1st","2nd","3rd","4th"})&amp;" Quartile"</f>
        <v>3rd Quartile</v>
      </c>
    </row>
    <row r="461" spans="1:26">
      <c r="A461">
        <v>2021</v>
      </c>
      <c r="B461">
        <v>143400</v>
      </c>
      <c r="C461" t="s">
        <v>1290</v>
      </c>
      <c r="D461" t="s">
        <v>1291</v>
      </c>
      <c r="E461">
        <v>44</v>
      </c>
      <c r="F461" t="s">
        <v>1290</v>
      </c>
      <c r="G461">
        <v>60</v>
      </c>
      <c r="H461">
        <v>0.71799999999999997</v>
      </c>
      <c r="I461">
        <v>0.97699999999999998</v>
      </c>
      <c r="J461">
        <v>-1.8240000000000001</v>
      </c>
      <c r="K461">
        <v>1</v>
      </c>
      <c r="L461">
        <v>1</v>
      </c>
      <c r="M461">
        <v>6.6799999999999998E-2</v>
      </c>
      <c r="N461">
        <v>0.14299999999999999</v>
      </c>
      <c r="O461">
        <v>3.1800000000000002E-2</v>
      </c>
      <c r="P461">
        <v>0.374</v>
      </c>
      <c r="Q461">
        <v>0.25900000000000001</v>
      </c>
      <c r="R461">
        <v>125.983</v>
      </c>
      <c r="S461">
        <v>4</v>
      </c>
      <c r="T461">
        <v>148364</v>
      </c>
      <c r="U461">
        <v>4</v>
      </c>
      <c r="V461">
        <v>148364</v>
      </c>
      <c r="W461">
        <v>4</v>
      </c>
      <c r="X461">
        <v>148364</v>
      </c>
      <c r="Y461" t="s">
        <v>17</v>
      </c>
      <c r="Z461" t="str">
        <f>LOOKUP(B461,{0,1083,124200,681950},{"1st","2nd","3rd","4th"})&amp;" Quartile"</f>
        <v>3rd Quartile</v>
      </c>
    </row>
    <row r="462" spans="1:26">
      <c r="A462">
        <v>2019</v>
      </c>
      <c r="B462">
        <v>143300</v>
      </c>
      <c r="C462" t="s">
        <v>233</v>
      </c>
      <c r="D462" t="s">
        <v>232</v>
      </c>
      <c r="E462">
        <v>60</v>
      </c>
      <c r="F462" t="s">
        <v>231</v>
      </c>
      <c r="G462">
        <v>60</v>
      </c>
      <c r="H462">
        <v>0.60699999999999998</v>
      </c>
      <c r="I462">
        <v>0.94099999999999995</v>
      </c>
      <c r="J462">
        <v>-3.8069999999999999</v>
      </c>
      <c r="K462">
        <v>0</v>
      </c>
      <c r="L462">
        <v>11</v>
      </c>
      <c r="M462">
        <v>0.48099999999999998</v>
      </c>
      <c r="N462">
        <v>3.6999999999999998E-2</v>
      </c>
      <c r="O462">
        <v>1.37E-2</v>
      </c>
      <c r="P462">
        <v>0.32100000000000001</v>
      </c>
      <c r="Q462">
        <v>0.52100000000000002</v>
      </c>
      <c r="R462">
        <v>75.400999999999996</v>
      </c>
      <c r="S462">
        <v>4</v>
      </c>
      <c r="T462">
        <v>198400</v>
      </c>
      <c r="U462">
        <v>4</v>
      </c>
      <c r="V462">
        <v>198400</v>
      </c>
      <c r="W462">
        <v>4</v>
      </c>
      <c r="X462">
        <v>198400</v>
      </c>
      <c r="Y462" t="s">
        <v>17</v>
      </c>
      <c r="Z462" t="str">
        <f>LOOKUP(B462,{0,1083,124200,681950},{"1st","2nd","3rd","4th"})&amp;" Quartile"</f>
        <v>3rd Quartile</v>
      </c>
    </row>
    <row r="463" spans="1:26">
      <c r="A463">
        <v>2020</v>
      </c>
      <c r="B463">
        <v>143200</v>
      </c>
      <c r="C463" t="s">
        <v>992</v>
      </c>
      <c r="D463" t="s">
        <v>993</v>
      </c>
      <c r="E463">
        <v>44</v>
      </c>
      <c r="F463" t="s">
        <v>992</v>
      </c>
      <c r="G463">
        <v>62</v>
      </c>
      <c r="H463">
        <v>0.497</v>
      </c>
      <c r="I463">
        <v>0.34899999999999998</v>
      </c>
      <c r="J463">
        <v>-8.7490000000000006</v>
      </c>
      <c r="K463">
        <v>0</v>
      </c>
      <c r="L463">
        <v>9</v>
      </c>
      <c r="M463">
        <v>8.77E-2</v>
      </c>
      <c r="N463">
        <v>0.96699999999999997</v>
      </c>
      <c r="O463">
        <v>3.6999999999999998E-2</v>
      </c>
      <c r="P463">
        <v>0.22800000000000001</v>
      </c>
      <c r="Q463">
        <v>0.251</v>
      </c>
      <c r="R463">
        <v>140.55099999999999</v>
      </c>
      <c r="S463">
        <v>1</v>
      </c>
      <c r="T463">
        <v>80842</v>
      </c>
      <c r="U463">
        <v>1</v>
      </c>
      <c r="V463">
        <v>80842</v>
      </c>
      <c r="W463">
        <v>1</v>
      </c>
      <c r="X463">
        <v>80842</v>
      </c>
      <c r="Y463" t="s">
        <v>17</v>
      </c>
      <c r="Z463" t="str">
        <f>LOOKUP(B463,{0,1083,124200,681950},{"1st","2nd","3rd","4th"})&amp;" Quartile"</f>
        <v>3rd Quartile</v>
      </c>
    </row>
    <row r="464" spans="1:26">
      <c r="A464">
        <v>2019</v>
      </c>
      <c r="B464">
        <v>143000</v>
      </c>
      <c r="C464" t="s">
        <v>92</v>
      </c>
      <c r="D464" t="s">
        <v>91</v>
      </c>
      <c r="E464">
        <v>49</v>
      </c>
      <c r="F464" t="s">
        <v>90</v>
      </c>
      <c r="G464">
        <v>49</v>
      </c>
      <c r="H464">
        <v>0.76800000000000002</v>
      </c>
      <c r="I464">
        <v>0.68300000000000005</v>
      </c>
      <c r="J464">
        <v>-7.173</v>
      </c>
      <c r="K464">
        <v>1</v>
      </c>
      <c r="L464">
        <v>7</v>
      </c>
      <c r="M464">
        <v>6.0400000000000002E-2</v>
      </c>
      <c r="N464">
        <v>0.38800000000000001</v>
      </c>
      <c r="O464">
        <v>0</v>
      </c>
      <c r="P464">
        <v>0.28599999999999998</v>
      </c>
      <c r="Q464">
        <v>0.66900000000000004</v>
      </c>
      <c r="R464">
        <v>99.954999999999998</v>
      </c>
      <c r="S464">
        <v>4</v>
      </c>
      <c r="T464">
        <v>178144</v>
      </c>
      <c r="U464">
        <v>4</v>
      </c>
      <c r="V464">
        <v>178144</v>
      </c>
      <c r="W464">
        <v>4</v>
      </c>
      <c r="X464">
        <v>178144</v>
      </c>
      <c r="Y464" t="s">
        <v>17</v>
      </c>
      <c r="Z464" t="str">
        <f>LOOKUP(B464,{0,1083,124200,681950},{"1st","2nd","3rd","4th"})&amp;" Quartile"</f>
        <v>3rd Quartile</v>
      </c>
    </row>
    <row r="465" spans="1:26">
      <c r="A465">
        <v>2021</v>
      </c>
      <c r="B465">
        <v>141100</v>
      </c>
      <c r="C465" t="s">
        <v>604</v>
      </c>
      <c r="D465" t="s">
        <v>603</v>
      </c>
      <c r="E465">
        <v>67</v>
      </c>
      <c r="F465" t="s">
        <v>602</v>
      </c>
      <c r="G465">
        <v>76</v>
      </c>
      <c r="H465">
        <v>0.68200000000000005</v>
      </c>
      <c r="I465">
        <v>0.92700000000000005</v>
      </c>
      <c r="J465">
        <v>-2.915</v>
      </c>
      <c r="K465">
        <v>1</v>
      </c>
      <c r="L465">
        <v>4</v>
      </c>
      <c r="M465">
        <v>4.7899999999999998E-2</v>
      </c>
      <c r="N465">
        <v>8.43E-2</v>
      </c>
      <c r="O465">
        <v>0</v>
      </c>
      <c r="P465">
        <v>0.14899999999999999</v>
      </c>
      <c r="Q465">
        <v>0.74399999999999999</v>
      </c>
      <c r="R465">
        <v>101.01900000000001</v>
      </c>
      <c r="S465">
        <v>4</v>
      </c>
      <c r="T465">
        <v>195613</v>
      </c>
      <c r="U465">
        <v>4</v>
      </c>
      <c r="V465">
        <v>195613</v>
      </c>
      <c r="W465">
        <v>4</v>
      </c>
      <c r="X465">
        <v>195613</v>
      </c>
      <c r="Y465" t="s">
        <v>17</v>
      </c>
      <c r="Z465" t="str">
        <f>LOOKUP(B465,{0,1083,124200,681950},{"1st","2nd","3rd","4th"})&amp;" Quartile"</f>
        <v>3rd Quartile</v>
      </c>
    </row>
    <row r="466" spans="1:26">
      <c r="A466">
        <v>2020</v>
      </c>
      <c r="B466">
        <v>140600</v>
      </c>
      <c r="C466" t="s">
        <v>1103</v>
      </c>
      <c r="D466" t="s">
        <v>524</v>
      </c>
      <c r="E466">
        <v>61</v>
      </c>
      <c r="F466" t="s">
        <v>1102</v>
      </c>
      <c r="G466">
        <v>61</v>
      </c>
      <c r="H466">
        <v>0.71499999999999997</v>
      </c>
      <c r="I466">
        <v>0.79600000000000004</v>
      </c>
      <c r="J466">
        <v>-4.8890000000000002</v>
      </c>
      <c r="K466">
        <v>0</v>
      </c>
      <c r="L466">
        <v>4</v>
      </c>
      <c r="M466">
        <v>5.3400000000000003E-2</v>
      </c>
      <c r="N466">
        <v>2.8400000000000002E-2</v>
      </c>
      <c r="O466">
        <v>0</v>
      </c>
      <c r="P466">
        <v>6.5799999999999997E-2</v>
      </c>
      <c r="Q466">
        <v>0.43099999999999999</v>
      </c>
      <c r="R466">
        <v>129.04</v>
      </c>
      <c r="S466">
        <v>4</v>
      </c>
      <c r="T466">
        <v>218707</v>
      </c>
      <c r="U466">
        <v>4</v>
      </c>
      <c r="V466">
        <v>218707</v>
      </c>
      <c r="W466">
        <v>4</v>
      </c>
      <c r="X466">
        <v>218707</v>
      </c>
      <c r="Y466" t="s">
        <v>17</v>
      </c>
      <c r="Z466" t="str">
        <f>LOOKUP(B466,{0,1083,124200,681950},{"1st","2nd","3rd","4th"})&amp;" Quartile"</f>
        <v>3rd Quartile</v>
      </c>
    </row>
    <row r="467" spans="1:26">
      <c r="A467">
        <v>2019</v>
      </c>
      <c r="B467">
        <v>140400</v>
      </c>
      <c r="C467" t="s">
        <v>525</v>
      </c>
      <c r="D467" t="s">
        <v>524</v>
      </c>
      <c r="E467">
        <v>61</v>
      </c>
      <c r="F467" t="s">
        <v>523</v>
      </c>
      <c r="G467">
        <v>70</v>
      </c>
      <c r="H467">
        <v>0.71499999999999997</v>
      </c>
      <c r="I467">
        <v>0.8</v>
      </c>
      <c r="J467">
        <v>-5.1440000000000001</v>
      </c>
      <c r="K467">
        <v>0</v>
      </c>
      <c r="L467">
        <v>4</v>
      </c>
      <c r="M467">
        <v>5.7000000000000002E-2</v>
      </c>
      <c r="N467">
        <v>2.7099999999999999E-2</v>
      </c>
      <c r="O467">
        <v>0</v>
      </c>
      <c r="P467">
        <v>6.4799999999999996E-2</v>
      </c>
      <c r="Q467">
        <v>0.44500000000000001</v>
      </c>
      <c r="R467">
        <v>129.023</v>
      </c>
      <c r="S467">
        <v>4</v>
      </c>
      <c r="T467">
        <v>216147</v>
      </c>
      <c r="U467">
        <v>4</v>
      </c>
      <c r="V467">
        <v>216147</v>
      </c>
      <c r="W467">
        <v>4</v>
      </c>
      <c r="X467">
        <v>216147</v>
      </c>
      <c r="Y467" t="s">
        <v>17</v>
      </c>
      <c r="Z467" t="str">
        <f>LOOKUP(B467,{0,1083,124200,681950},{"1st","2nd","3rd","4th"})&amp;" Quartile"</f>
        <v>3rd Quartile</v>
      </c>
    </row>
    <row r="468" spans="1:26">
      <c r="A468">
        <v>2021</v>
      </c>
      <c r="B468">
        <v>138900</v>
      </c>
      <c r="C468" t="s">
        <v>1286</v>
      </c>
      <c r="D468" t="s">
        <v>75</v>
      </c>
      <c r="E468">
        <v>93</v>
      </c>
      <c r="F468">
        <v>1989</v>
      </c>
      <c r="G468">
        <v>78</v>
      </c>
      <c r="H468">
        <v>0.55300000000000005</v>
      </c>
      <c r="I468">
        <v>0.66400000000000003</v>
      </c>
      <c r="J468">
        <v>-7.4169999999999998</v>
      </c>
      <c r="K468">
        <v>1</v>
      </c>
      <c r="L468">
        <v>8</v>
      </c>
      <c r="M468">
        <v>7.4099999999999999E-2</v>
      </c>
      <c r="N468">
        <v>7.0900000000000005E-2</v>
      </c>
      <c r="O468">
        <v>5.5999999999999999E-3</v>
      </c>
      <c r="P468">
        <v>0.106</v>
      </c>
      <c r="Q468">
        <v>0.46700000000000003</v>
      </c>
      <c r="R468">
        <v>140.06</v>
      </c>
      <c r="S468">
        <v>4</v>
      </c>
      <c r="T468">
        <v>220440</v>
      </c>
      <c r="U468">
        <v>4</v>
      </c>
      <c r="V468">
        <v>220440</v>
      </c>
      <c r="W468">
        <v>4</v>
      </c>
      <c r="X468">
        <v>220440</v>
      </c>
      <c r="Y468" t="s">
        <v>17</v>
      </c>
      <c r="Z468" t="str">
        <f>LOOKUP(B468,{0,1083,124200,681950},{"1st","2nd","3rd","4th"})&amp;" Quartile"</f>
        <v>3rd Quartile</v>
      </c>
    </row>
    <row r="469" spans="1:26">
      <c r="A469">
        <v>2021</v>
      </c>
      <c r="B469">
        <v>138100</v>
      </c>
      <c r="C469" t="s">
        <v>1259</v>
      </c>
      <c r="D469" t="s">
        <v>1258</v>
      </c>
      <c r="E469">
        <v>66</v>
      </c>
      <c r="F469" t="s">
        <v>1258</v>
      </c>
      <c r="G469">
        <v>64</v>
      </c>
      <c r="H469">
        <v>0.72</v>
      </c>
      <c r="I469">
        <v>0.79</v>
      </c>
      <c r="J469">
        <v>-4.6859999999999999</v>
      </c>
      <c r="K469">
        <v>1</v>
      </c>
      <c r="L469">
        <v>1</v>
      </c>
      <c r="M469">
        <v>0.125</v>
      </c>
      <c r="N469">
        <v>3.8300000000000001E-2</v>
      </c>
      <c r="O469">
        <v>0</v>
      </c>
      <c r="P469">
        <v>0.156</v>
      </c>
      <c r="Q469">
        <v>0.755</v>
      </c>
      <c r="R469">
        <v>102.068</v>
      </c>
      <c r="S469">
        <v>4</v>
      </c>
      <c r="T469">
        <v>175427</v>
      </c>
      <c r="U469">
        <v>4</v>
      </c>
      <c r="V469">
        <v>175427</v>
      </c>
      <c r="W469">
        <v>4</v>
      </c>
      <c r="X469">
        <v>175427</v>
      </c>
      <c r="Y469" t="s">
        <v>17</v>
      </c>
      <c r="Z469" t="str">
        <f>LOOKUP(B469,{0,1083,124200,681950},{"1st","2nd","3rd","4th"})&amp;" Quartile"</f>
        <v>3rd Quartile</v>
      </c>
    </row>
    <row r="470" spans="1:26">
      <c r="A470">
        <v>2020</v>
      </c>
      <c r="B470">
        <v>137700</v>
      </c>
      <c r="C470" t="s">
        <v>967</v>
      </c>
      <c r="D470" t="s">
        <v>966</v>
      </c>
      <c r="E470">
        <v>71</v>
      </c>
      <c r="F470" t="s">
        <v>965</v>
      </c>
      <c r="G470">
        <v>79</v>
      </c>
      <c r="H470">
        <v>0.68200000000000005</v>
      </c>
      <c r="I470">
        <v>0.68300000000000005</v>
      </c>
      <c r="J470">
        <v>-6.444</v>
      </c>
      <c r="K470">
        <v>0</v>
      </c>
      <c r="L470">
        <v>8</v>
      </c>
      <c r="M470">
        <v>2.87E-2</v>
      </c>
      <c r="N470">
        <v>0.156</v>
      </c>
      <c r="O470">
        <v>2.3200000000000001E-5</v>
      </c>
      <c r="P470">
        <v>0.27300000000000002</v>
      </c>
      <c r="Q470">
        <v>0.64</v>
      </c>
      <c r="R470">
        <v>120.023</v>
      </c>
      <c r="S470">
        <v>4</v>
      </c>
      <c r="T470">
        <v>178000</v>
      </c>
      <c r="U470">
        <v>4</v>
      </c>
      <c r="V470">
        <v>178000</v>
      </c>
      <c r="W470">
        <v>4</v>
      </c>
      <c r="X470">
        <v>178000</v>
      </c>
      <c r="Y470" t="s">
        <v>17</v>
      </c>
      <c r="Z470" t="str">
        <f>LOOKUP(B470,{0,1083,124200,681950},{"1st","2nd","3rd","4th"})&amp;" Quartile"</f>
        <v>3rd Quartile</v>
      </c>
    </row>
    <row r="471" spans="1:26">
      <c r="A471">
        <v>2019</v>
      </c>
      <c r="B471">
        <v>137400</v>
      </c>
      <c r="C471" t="s">
        <v>600</v>
      </c>
      <c r="D471" t="s">
        <v>599</v>
      </c>
      <c r="E471">
        <v>53</v>
      </c>
      <c r="F471" t="s">
        <v>599</v>
      </c>
      <c r="G471">
        <v>68</v>
      </c>
      <c r="H471">
        <v>0.61799999999999999</v>
      </c>
      <c r="I471">
        <v>0.95499999999999996</v>
      </c>
      <c r="J471">
        <v>-3.8359999999999999</v>
      </c>
      <c r="K471">
        <v>1</v>
      </c>
      <c r="L471">
        <v>4</v>
      </c>
      <c r="M471">
        <v>7.9799999999999996E-2</v>
      </c>
      <c r="N471">
        <v>2.2100000000000002E-3</v>
      </c>
      <c r="O471">
        <v>3.0900000000000001E-6</v>
      </c>
      <c r="P471">
        <v>0.48599999999999999</v>
      </c>
      <c r="Q471">
        <v>0.79</v>
      </c>
      <c r="R471">
        <v>150.03399999999999</v>
      </c>
      <c r="S471">
        <v>4</v>
      </c>
      <c r="T471">
        <v>179947</v>
      </c>
      <c r="U471">
        <v>4</v>
      </c>
      <c r="V471">
        <v>179947</v>
      </c>
      <c r="W471">
        <v>4</v>
      </c>
      <c r="X471">
        <v>179947</v>
      </c>
      <c r="Y471" t="s">
        <v>17</v>
      </c>
      <c r="Z471" t="str">
        <f>LOOKUP(B471,{0,1083,124200,681950},{"1st","2nd","3rd","4th"})&amp;" Quartile"</f>
        <v>3rd Quartile</v>
      </c>
    </row>
    <row r="472" spans="1:26">
      <c r="A472">
        <v>2021</v>
      </c>
      <c r="B472">
        <v>134800</v>
      </c>
      <c r="C472" t="s">
        <v>1420</v>
      </c>
      <c r="D472" t="s">
        <v>1419</v>
      </c>
      <c r="E472">
        <v>47</v>
      </c>
      <c r="F472" t="s">
        <v>1418</v>
      </c>
      <c r="G472">
        <v>56</v>
      </c>
      <c r="H472">
        <v>0.59899999999999998</v>
      </c>
      <c r="I472">
        <v>0.432</v>
      </c>
      <c r="J472">
        <v>-6.0970000000000004</v>
      </c>
      <c r="K472">
        <v>1</v>
      </c>
      <c r="L472">
        <v>5</v>
      </c>
      <c r="M472">
        <v>4.5100000000000001E-2</v>
      </c>
      <c r="N472">
        <v>0.62</v>
      </c>
      <c r="O472">
        <v>7.7299999999999999E-3</v>
      </c>
      <c r="P472">
        <v>0.105</v>
      </c>
      <c r="Q472">
        <v>0.61499999999999999</v>
      </c>
      <c r="R472">
        <v>106.824</v>
      </c>
      <c r="S472">
        <v>5</v>
      </c>
      <c r="T472">
        <v>175777</v>
      </c>
      <c r="U472">
        <v>5</v>
      </c>
      <c r="V472">
        <v>175777</v>
      </c>
      <c r="W472">
        <v>5</v>
      </c>
      <c r="X472">
        <v>175777</v>
      </c>
      <c r="Y472" t="s">
        <v>17</v>
      </c>
      <c r="Z472" t="str">
        <f>LOOKUP(B472,{0,1083,124200,681950},{"1st","2nd","3rd","4th"})&amp;" Quartile"</f>
        <v>3rd Quartile</v>
      </c>
    </row>
    <row r="473" spans="1:26">
      <c r="A473">
        <v>2022</v>
      </c>
      <c r="B473">
        <v>134200</v>
      </c>
      <c r="C473" t="s">
        <v>1695</v>
      </c>
      <c r="D473" t="s">
        <v>1696</v>
      </c>
      <c r="E473">
        <v>68</v>
      </c>
      <c r="F473" t="s">
        <v>1695</v>
      </c>
      <c r="G473">
        <v>83</v>
      </c>
      <c r="H473">
        <v>0.71699999999999997</v>
      </c>
      <c r="I473">
        <v>0.67100000000000004</v>
      </c>
      <c r="J473">
        <v>-5.077</v>
      </c>
      <c r="K473">
        <v>0</v>
      </c>
      <c r="L473">
        <v>0</v>
      </c>
      <c r="M473">
        <v>3.3700000000000001E-2</v>
      </c>
      <c r="N473">
        <v>1.8E-3</v>
      </c>
      <c r="O473">
        <v>2.5399999999999998E-6</v>
      </c>
      <c r="P473">
        <v>9.2100000000000001E-2</v>
      </c>
      <c r="Q473">
        <v>0.69899999999999995</v>
      </c>
      <c r="R473">
        <v>110.054</v>
      </c>
      <c r="S473">
        <v>4</v>
      </c>
      <c r="T473">
        <v>160657</v>
      </c>
      <c r="U473">
        <v>4</v>
      </c>
      <c r="V473">
        <v>160657</v>
      </c>
      <c r="W473">
        <v>4</v>
      </c>
      <c r="X473">
        <v>160657</v>
      </c>
      <c r="Y473" t="s">
        <v>17</v>
      </c>
      <c r="Z473" t="str">
        <f>LOOKUP(B473,{0,1083,124200,681950},{"1st","2nd","3rd","4th"})&amp;" Quartile"</f>
        <v>3rd Quartile</v>
      </c>
    </row>
    <row r="474" spans="1:26">
      <c r="A474">
        <v>2020</v>
      </c>
      <c r="B474">
        <v>133300</v>
      </c>
      <c r="C474" t="s">
        <v>1117</v>
      </c>
      <c r="D474" t="s">
        <v>679</v>
      </c>
      <c r="E474">
        <v>78</v>
      </c>
      <c r="F474" t="s">
        <v>678</v>
      </c>
      <c r="G474">
        <v>84</v>
      </c>
      <c r="H474">
        <v>0.64</v>
      </c>
      <c r="I474">
        <v>0.74</v>
      </c>
      <c r="J474">
        <v>-4.0830000000000002</v>
      </c>
      <c r="K474">
        <v>1</v>
      </c>
      <c r="L474">
        <v>4</v>
      </c>
      <c r="M474">
        <v>2.8400000000000002E-2</v>
      </c>
      <c r="N474">
        <v>1.15E-2</v>
      </c>
      <c r="O474">
        <v>6.7799999999999996E-3</v>
      </c>
      <c r="P474">
        <v>0.16700000000000001</v>
      </c>
      <c r="Q474">
        <v>0.78500000000000003</v>
      </c>
      <c r="R474">
        <v>116.879</v>
      </c>
      <c r="S474">
        <v>4</v>
      </c>
      <c r="T474">
        <v>216320</v>
      </c>
      <c r="U474">
        <v>4</v>
      </c>
      <c r="V474">
        <v>216320</v>
      </c>
      <c r="W474">
        <v>4</v>
      </c>
      <c r="X474">
        <v>216320</v>
      </c>
      <c r="Y474" t="s">
        <v>17</v>
      </c>
      <c r="Z474" t="str">
        <f>LOOKUP(B474,{0,1083,124200,681950},{"1st","2nd","3rd","4th"})&amp;" Quartile"</f>
        <v>3rd Quartile</v>
      </c>
    </row>
    <row r="475" spans="1:26">
      <c r="A475">
        <v>2022</v>
      </c>
      <c r="B475">
        <v>133200</v>
      </c>
      <c r="C475" t="s">
        <v>1117</v>
      </c>
      <c r="D475" t="s">
        <v>679</v>
      </c>
      <c r="E475">
        <v>78</v>
      </c>
      <c r="F475" t="s">
        <v>678</v>
      </c>
      <c r="G475">
        <v>84</v>
      </c>
      <c r="H475">
        <v>0.64</v>
      </c>
      <c r="I475">
        <v>0.74</v>
      </c>
      <c r="J475">
        <v>-4.0830000000000002</v>
      </c>
      <c r="K475">
        <v>1</v>
      </c>
      <c r="L475">
        <v>4</v>
      </c>
      <c r="M475">
        <v>2.8400000000000002E-2</v>
      </c>
      <c r="N475">
        <v>1.15E-2</v>
      </c>
      <c r="O475">
        <v>6.7799999999999996E-3</v>
      </c>
      <c r="P475">
        <v>0.16700000000000001</v>
      </c>
      <c r="Q475">
        <v>0.78500000000000003</v>
      </c>
      <c r="R475">
        <v>116.879</v>
      </c>
      <c r="S475">
        <v>4</v>
      </c>
      <c r="T475">
        <v>216320</v>
      </c>
      <c r="U475">
        <v>4</v>
      </c>
      <c r="V475">
        <v>216320</v>
      </c>
      <c r="W475">
        <v>4</v>
      </c>
      <c r="X475">
        <v>216320</v>
      </c>
      <c r="Y475" t="s">
        <v>17</v>
      </c>
      <c r="Z475" t="str">
        <f>LOOKUP(B475,{0,1083,124200,681950},{"1st","2nd","3rd","4th"})&amp;" Quartile"</f>
        <v>3rd Quartile</v>
      </c>
    </row>
    <row r="476" spans="1:26">
      <c r="A476">
        <v>2021</v>
      </c>
      <c r="B476">
        <v>131000</v>
      </c>
      <c r="C476" t="s">
        <v>1368</v>
      </c>
      <c r="D476" t="s">
        <v>487</v>
      </c>
      <c r="E476">
        <v>77</v>
      </c>
      <c r="F476" t="s">
        <v>1367</v>
      </c>
      <c r="G476">
        <v>61</v>
      </c>
      <c r="H476">
        <v>0.71299999999999997</v>
      </c>
      <c r="I476">
        <v>0.80100000000000005</v>
      </c>
      <c r="J476">
        <v>-5.7809999999999997</v>
      </c>
      <c r="K476">
        <v>1</v>
      </c>
      <c r="L476">
        <v>7</v>
      </c>
      <c r="M476">
        <v>4.8300000000000003E-2</v>
      </c>
      <c r="N476">
        <v>6.28E-3</v>
      </c>
      <c r="O476">
        <v>1.5E-6</v>
      </c>
      <c r="P476">
        <v>0.82499999999999996</v>
      </c>
      <c r="Q476">
        <v>0.72699999999999998</v>
      </c>
      <c r="R476">
        <v>153.98400000000001</v>
      </c>
      <c r="S476">
        <v>4</v>
      </c>
      <c r="T476">
        <v>235127</v>
      </c>
      <c r="U476">
        <v>4</v>
      </c>
      <c r="V476">
        <v>235127</v>
      </c>
      <c r="W476">
        <v>4</v>
      </c>
      <c r="X476">
        <v>235127</v>
      </c>
      <c r="Y476" t="s">
        <v>17</v>
      </c>
      <c r="Z476" t="str">
        <f>LOOKUP(B476,{0,1083,124200,681950},{"1st","2nd","3rd","4th"})&amp;" Quartile"</f>
        <v>3rd Quartile</v>
      </c>
    </row>
    <row r="477" spans="1:26">
      <c r="A477">
        <v>2020</v>
      </c>
      <c r="B477">
        <v>130200</v>
      </c>
      <c r="C477" t="s">
        <v>453</v>
      </c>
      <c r="D477" t="s">
        <v>454</v>
      </c>
      <c r="E477">
        <v>61</v>
      </c>
      <c r="F477" t="s">
        <v>453</v>
      </c>
      <c r="G477">
        <v>68</v>
      </c>
      <c r="H477">
        <v>0.81299999999999994</v>
      </c>
      <c r="I477">
        <v>0.60099999999999998</v>
      </c>
      <c r="J477">
        <v>-7.5519999999999996</v>
      </c>
      <c r="K477">
        <v>0</v>
      </c>
      <c r="L477">
        <v>11</v>
      </c>
      <c r="M477">
        <v>0.11600000000000001</v>
      </c>
      <c r="N477">
        <v>0.189</v>
      </c>
      <c r="O477">
        <v>2.0000000000000001E-4</v>
      </c>
      <c r="P477">
        <v>0.42599999999999999</v>
      </c>
      <c r="Q477">
        <v>0.85499999999999998</v>
      </c>
      <c r="R477">
        <v>118.98099999999999</v>
      </c>
      <c r="S477">
        <v>4</v>
      </c>
      <c r="T477">
        <v>177479</v>
      </c>
      <c r="U477">
        <v>4</v>
      </c>
      <c r="V477">
        <v>177479</v>
      </c>
      <c r="W477">
        <v>4</v>
      </c>
      <c r="X477">
        <v>177479</v>
      </c>
      <c r="Y477" t="s">
        <v>17</v>
      </c>
      <c r="Z477" t="str">
        <f>LOOKUP(B477,{0,1083,124200,681950},{"1st","2nd","3rd","4th"})&amp;" Quartile"</f>
        <v>3rd Quartile</v>
      </c>
    </row>
    <row r="478" spans="1:26">
      <c r="A478">
        <v>2019</v>
      </c>
      <c r="B478">
        <v>130200</v>
      </c>
      <c r="C478" t="s">
        <v>180</v>
      </c>
      <c r="D478" t="s">
        <v>181</v>
      </c>
      <c r="E478">
        <v>66</v>
      </c>
      <c r="F478" t="s">
        <v>180</v>
      </c>
      <c r="G478">
        <v>78</v>
      </c>
      <c r="H478">
        <v>0.46400000000000002</v>
      </c>
      <c r="I478">
        <v>0.47299999999999998</v>
      </c>
      <c r="J478">
        <v>-10.086</v>
      </c>
      <c r="K478">
        <v>1</v>
      </c>
      <c r="L478">
        <v>1</v>
      </c>
      <c r="M478">
        <v>0.129</v>
      </c>
      <c r="N478">
        <v>0.86599999999999999</v>
      </c>
      <c r="O478">
        <v>0</v>
      </c>
      <c r="P478">
        <v>0.109</v>
      </c>
      <c r="Q478">
        <v>0.60399999999999998</v>
      </c>
      <c r="R478">
        <v>75.801000000000002</v>
      </c>
      <c r="S478">
        <v>4</v>
      </c>
      <c r="T478">
        <v>208687</v>
      </c>
      <c r="U478">
        <v>4</v>
      </c>
      <c r="V478">
        <v>208687</v>
      </c>
      <c r="W478">
        <v>4</v>
      </c>
      <c r="X478">
        <v>208687</v>
      </c>
      <c r="Y478" t="s">
        <v>17</v>
      </c>
      <c r="Z478" t="str">
        <f>LOOKUP(B478,{0,1083,124200,681950},{"1st","2nd","3rd","4th"})&amp;" Quartile"</f>
        <v>3rd Quartile</v>
      </c>
    </row>
    <row r="479" spans="1:26">
      <c r="A479">
        <v>2019</v>
      </c>
      <c r="B479">
        <v>130000</v>
      </c>
      <c r="C479" t="s">
        <v>453</v>
      </c>
      <c r="D479" t="s">
        <v>454</v>
      </c>
      <c r="E479">
        <v>61</v>
      </c>
      <c r="F479" t="s">
        <v>453</v>
      </c>
      <c r="G479">
        <v>68</v>
      </c>
      <c r="H479">
        <v>0.81299999999999994</v>
      </c>
      <c r="I479">
        <v>0.60099999999999998</v>
      </c>
      <c r="J479">
        <v>-7.5519999999999996</v>
      </c>
      <c r="K479">
        <v>0</v>
      </c>
      <c r="L479">
        <v>11</v>
      </c>
      <c r="M479">
        <v>0.11600000000000001</v>
      </c>
      <c r="N479">
        <v>0.189</v>
      </c>
      <c r="O479">
        <v>2.0000000000000001E-4</v>
      </c>
      <c r="P479">
        <v>0.42599999999999999</v>
      </c>
      <c r="Q479">
        <v>0.85499999999999998</v>
      </c>
      <c r="R479">
        <v>118.98099999999999</v>
      </c>
      <c r="S479">
        <v>4</v>
      </c>
      <c r="T479">
        <v>177479</v>
      </c>
      <c r="U479">
        <v>4</v>
      </c>
      <c r="V479">
        <v>177479</v>
      </c>
      <c r="W479">
        <v>4</v>
      </c>
      <c r="X479">
        <v>177479</v>
      </c>
      <c r="Y479" t="s">
        <v>17</v>
      </c>
      <c r="Z479" t="str">
        <f>LOOKUP(B479,{0,1083,124200,681950},{"1st","2nd","3rd","4th"})&amp;" Quartile"</f>
        <v>3rd Quartile</v>
      </c>
    </row>
    <row r="480" spans="1:26">
      <c r="A480">
        <v>2019</v>
      </c>
      <c r="B480">
        <v>129900</v>
      </c>
      <c r="C480" t="s">
        <v>111</v>
      </c>
      <c r="D480" t="s">
        <v>110</v>
      </c>
      <c r="E480">
        <v>75</v>
      </c>
      <c r="F480" t="s">
        <v>109</v>
      </c>
      <c r="G480">
        <v>58</v>
      </c>
      <c r="H480">
        <v>0.88700000000000001</v>
      </c>
      <c r="I480">
        <v>0.73699999999999999</v>
      </c>
      <c r="J480">
        <v>-6.4889999999999999</v>
      </c>
      <c r="K480">
        <v>0</v>
      </c>
      <c r="L480">
        <v>6</v>
      </c>
      <c r="M480">
        <v>0.16</v>
      </c>
      <c r="N480">
        <v>0.24299999999999999</v>
      </c>
      <c r="O480">
        <v>4.1100000000000003E-5</v>
      </c>
      <c r="P480">
        <v>0.109</v>
      </c>
      <c r="Q480">
        <v>0.68500000000000005</v>
      </c>
      <c r="R480">
        <v>104.92400000000001</v>
      </c>
      <c r="S480">
        <v>4</v>
      </c>
      <c r="T480">
        <v>184000</v>
      </c>
      <c r="U480">
        <v>4</v>
      </c>
      <c r="V480">
        <v>184000</v>
      </c>
      <c r="W480">
        <v>4</v>
      </c>
      <c r="X480">
        <v>184000</v>
      </c>
      <c r="Y480" t="s">
        <v>17</v>
      </c>
      <c r="Z480" t="str">
        <f>LOOKUP(B480,{0,1083,124200,681950},{"1st","2nd","3rd","4th"})&amp;" Quartile"</f>
        <v>3rd Quartile</v>
      </c>
    </row>
    <row r="481" spans="1:26">
      <c r="A481">
        <v>2019</v>
      </c>
      <c r="B481">
        <v>129200</v>
      </c>
      <c r="C481" t="s">
        <v>108</v>
      </c>
      <c r="D481" t="s">
        <v>107</v>
      </c>
      <c r="E481">
        <v>67</v>
      </c>
      <c r="F481" t="s">
        <v>106</v>
      </c>
      <c r="G481">
        <v>67</v>
      </c>
      <c r="H481">
        <v>0.93799999999999994</v>
      </c>
      <c r="I481">
        <v>0.63800000000000001</v>
      </c>
      <c r="J481">
        <v>-4.7130000000000001</v>
      </c>
      <c r="K481">
        <v>1</v>
      </c>
      <c r="L481">
        <v>8</v>
      </c>
      <c r="M481">
        <v>0.189</v>
      </c>
      <c r="N481">
        <v>1.67E-2</v>
      </c>
      <c r="O481">
        <v>0</v>
      </c>
      <c r="P481">
        <v>0.111</v>
      </c>
      <c r="Q481">
        <v>0.313</v>
      </c>
      <c r="R481">
        <v>97.075000000000003</v>
      </c>
      <c r="S481">
        <v>4</v>
      </c>
      <c r="T481">
        <v>158332</v>
      </c>
      <c r="U481">
        <v>4</v>
      </c>
      <c r="V481">
        <v>158332</v>
      </c>
      <c r="W481">
        <v>4</v>
      </c>
      <c r="X481">
        <v>158332</v>
      </c>
      <c r="Y481" t="s">
        <v>17</v>
      </c>
      <c r="Z481" t="str">
        <f>LOOKUP(B481,{0,1083,124200,681950},{"1st","2nd","3rd","4th"})&amp;" Quartile"</f>
        <v>3rd Quartile</v>
      </c>
    </row>
    <row r="482" spans="1:26">
      <c r="A482">
        <v>2022</v>
      </c>
      <c r="B482">
        <v>125800</v>
      </c>
      <c r="C482" t="s">
        <v>1797</v>
      </c>
      <c r="D482" t="s">
        <v>1796</v>
      </c>
      <c r="E482">
        <v>63</v>
      </c>
      <c r="F482" t="s">
        <v>1795</v>
      </c>
      <c r="G482">
        <v>58</v>
      </c>
      <c r="H482">
        <v>0.82699999999999996</v>
      </c>
      <c r="I482">
        <v>0.45600000000000002</v>
      </c>
      <c r="J482">
        <v>-9.2460000000000004</v>
      </c>
      <c r="K482">
        <v>1</v>
      </c>
      <c r="L482">
        <v>5</v>
      </c>
      <c r="M482">
        <v>9.4200000000000006E-2</v>
      </c>
      <c r="N482">
        <v>0.622</v>
      </c>
      <c r="O482">
        <v>9.7899999999999994E-5</v>
      </c>
      <c r="P482">
        <v>0.109</v>
      </c>
      <c r="Q482">
        <v>0.68899999999999995</v>
      </c>
      <c r="R482">
        <v>114.26900000000001</v>
      </c>
      <c r="S482">
        <v>4</v>
      </c>
      <c r="T482">
        <v>135978</v>
      </c>
      <c r="U482">
        <v>4</v>
      </c>
      <c r="V482">
        <v>135978</v>
      </c>
      <c r="W482">
        <v>4</v>
      </c>
      <c r="X482">
        <v>135978</v>
      </c>
      <c r="Y482" t="s">
        <v>17</v>
      </c>
      <c r="Z482" t="str">
        <f>LOOKUP(B482,{0,1083,124200,681950},{"1st","2nd","3rd","4th"})&amp;" Quartile"</f>
        <v>3rd Quartile</v>
      </c>
    </row>
    <row r="483" spans="1:26">
      <c r="A483">
        <v>2021</v>
      </c>
      <c r="B483">
        <v>125400</v>
      </c>
      <c r="C483" t="s">
        <v>1304</v>
      </c>
      <c r="D483" t="s">
        <v>1305</v>
      </c>
      <c r="E483">
        <v>57</v>
      </c>
      <c r="F483" t="s">
        <v>1304</v>
      </c>
      <c r="G483">
        <v>74</v>
      </c>
      <c r="H483">
        <v>0.69899999999999995</v>
      </c>
      <c r="I483">
        <v>0.46300000000000002</v>
      </c>
      <c r="J483">
        <v>-7.8280000000000003</v>
      </c>
      <c r="K483">
        <v>1</v>
      </c>
      <c r="L483">
        <v>0</v>
      </c>
      <c r="M483">
        <v>0.47499999999999998</v>
      </c>
      <c r="N483">
        <v>0.315</v>
      </c>
      <c r="O483">
        <v>0</v>
      </c>
      <c r="P483">
        <v>8.0299999999999996E-2</v>
      </c>
      <c r="Q483">
        <v>0.56499999999999995</v>
      </c>
      <c r="R483">
        <v>143.99</v>
      </c>
      <c r="S483">
        <v>4</v>
      </c>
      <c r="T483">
        <v>177200</v>
      </c>
      <c r="U483">
        <v>4</v>
      </c>
      <c r="V483">
        <v>177200</v>
      </c>
      <c r="W483">
        <v>4</v>
      </c>
      <c r="X483">
        <v>177200</v>
      </c>
      <c r="Y483" t="s">
        <v>17</v>
      </c>
      <c r="Z483" t="str">
        <f>LOOKUP(B483,{0,1083,124200,681950},{"1st","2nd","3rd","4th"})&amp;" Quartile"</f>
        <v>3rd Quartile</v>
      </c>
    </row>
    <row r="484" spans="1:26">
      <c r="A484">
        <v>2020</v>
      </c>
      <c r="B484">
        <v>123000</v>
      </c>
      <c r="C484" t="s">
        <v>929</v>
      </c>
      <c r="D484" t="s">
        <v>158</v>
      </c>
      <c r="E484">
        <v>76</v>
      </c>
      <c r="F484" t="s">
        <v>157</v>
      </c>
      <c r="G484">
        <v>60</v>
      </c>
      <c r="H484">
        <v>0.86299999999999999</v>
      </c>
      <c r="I484">
        <v>0.66700000000000004</v>
      </c>
      <c r="J484">
        <v>-3.891</v>
      </c>
      <c r="K484">
        <v>1</v>
      </c>
      <c r="L484">
        <v>0</v>
      </c>
      <c r="M484">
        <v>5.0799999999999998E-2</v>
      </c>
      <c r="N484">
        <v>1.54E-2</v>
      </c>
      <c r="O484">
        <v>3.4099999999999999E-4</v>
      </c>
      <c r="P484">
        <v>0.125</v>
      </c>
      <c r="Q484">
        <v>0.89200000000000002</v>
      </c>
      <c r="R484">
        <v>120.011</v>
      </c>
      <c r="S484">
        <v>4</v>
      </c>
      <c r="T484">
        <v>208867</v>
      </c>
      <c r="U484">
        <v>4</v>
      </c>
      <c r="V484">
        <v>208867</v>
      </c>
      <c r="W484">
        <v>4</v>
      </c>
      <c r="X484">
        <v>208867</v>
      </c>
      <c r="Y484" t="s">
        <v>17</v>
      </c>
      <c r="Z484" t="str">
        <f>LOOKUP(B484,{0,1083,124200,681950},{"1st","2nd","3rd","4th"})&amp;" Quartile"</f>
        <v>2nd Quartile</v>
      </c>
    </row>
    <row r="485" spans="1:26">
      <c r="A485">
        <v>2020</v>
      </c>
      <c r="B485">
        <v>121300</v>
      </c>
      <c r="C485" t="s">
        <v>791</v>
      </c>
      <c r="D485" t="s">
        <v>790</v>
      </c>
      <c r="E485">
        <v>52</v>
      </c>
      <c r="F485" t="s">
        <v>790</v>
      </c>
      <c r="G485">
        <v>58</v>
      </c>
      <c r="H485">
        <v>0.69799999999999995</v>
      </c>
      <c r="I485">
        <v>0.54200000000000004</v>
      </c>
      <c r="J485">
        <v>-4.3170000000000002</v>
      </c>
      <c r="K485">
        <v>1</v>
      </c>
      <c r="L485">
        <v>2</v>
      </c>
      <c r="M485">
        <v>0.13100000000000001</v>
      </c>
      <c r="N485">
        <v>0.13200000000000001</v>
      </c>
      <c r="O485">
        <v>1.17E-3</v>
      </c>
      <c r="P485">
        <v>0.19900000000000001</v>
      </c>
      <c r="Q485">
        <v>0.66400000000000003</v>
      </c>
      <c r="R485">
        <v>140.096</v>
      </c>
      <c r="S485">
        <v>4</v>
      </c>
      <c r="T485">
        <v>165391</v>
      </c>
      <c r="U485">
        <v>4</v>
      </c>
      <c r="V485">
        <v>165391</v>
      </c>
      <c r="W485">
        <v>4</v>
      </c>
      <c r="X485">
        <v>165391</v>
      </c>
      <c r="Y485" t="s">
        <v>17</v>
      </c>
      <c r="Z485" t="str">
        <f>LOOKUP(B485,{0,1083,124200,681950},{"1st","2nd","3rd","4th"})&amp;" Quartile"</f>
        <v>2nd Quartile</v>
      </c>
    </row>
    <row r="486" spans="1:26">
      <c r="A486">
        <v>2021</v>
      </c>
      <c r="B486">
        <v>120400</v>
      </c>
      <c r="C486" t="s">
        <v>1156</v>
      </c>
      <c r="D486" t="s">
        <v>1157</v>
      </c>
      <c r="E486">
        <v>63</v>
      </c>
      <c r="F486" t="s">
        <v>1156</v>
      </c>
      <c r="G486">
        <v>67</v>
      </c>
      <c r="H486">
        <v>0.68500000000000005</v>
      </c>
      <c r="I486">
        <v>0.73099999999999998</v>
      </c>
      <c r="J486">
        <v>-5.5030000000000001</v>
      </c>
      <c r="K486">
        <v>0</v>
      </c>
      <c r="L486">
        <v>10</v>
      </c>
      <c r="M486">
        <v>0.41399999999999998</v>
      </c>
      <c r="N486">
        <v>2.92E-2</v>
      </c>
      <c r="O486">
        <v>0</v>
      </c>
      <c r="P486">
        <v>0.36899999999999999</v>
      </c>
      <c r="Q486">
        <v>0.26600000000000001</v>
      </c>
      <c r="R486">
        <v>145.245</v>
      </c>
      <c r="S486">
        <v>4</v>
      </c>
      <c r="T486">
        <v>247867</v>
      </c>
      <c r="U486">
        <v>4</v>
      </c>
      <c r="V486">
        <v>247867</v>
      </c>
      <c r="W486">
        <v>4</v>
      </c>
      <c r="X486">
        <v>247867</v>
      </c>
      <c r="Y486" t="s">
        <v>17</v>
      </c>
      <c r="Z486" t="str">
        <f>LOOKUP(B486,{0,1083,124200,681950},{"1st","2nd","3rd","4th"})&amp;" Quartile"</f>
        <v>2nd Quartile</v>
      </c>
    </row>
    <row r="487" spans="1:26">
      <c r="A487">
        <v>2020</v>
      </c>
      <c r="B487">
        <v>117300</v>
      </c>
      <c r="C487" t="s">
        <v>921</v>
      </c>
      <c r="D487" t="s">
        <v>560</v>
      </c>
      <c r="E487">
        <v>69</v>
      </c>
      <c r="F487" t="s">
        <v>559</v>
      </c>
      <c r="G487">
        <v>58</v>
      </c>
      <c r="H487">
        <v>0.92800000000000005</v>
      </c>
      <c r="I487">
        <v>0.39200000000000002</v>
      </c>
      <c r="J487">
        <v>-7.5369999999999999</v>
      </c>
      <c r="K487">
        <v>0</v>
      </c>
      <c r="L487">
        <v>3</v>
      </c>
      <c r="M487">
        <v>5.6300000000000003E-2</v>
      </c>
      <c r="N487">
        <v>3.7400000000000003E-2</v>
      </c>
      <c r="O487">
        <v>0</v>
      </c>
      <c r="P487">
        <v>0.107</v>
      </c>
      <c r="Q487">
        <v>0.45400000000000001</v>
      </c>
      <c r="R487">
        <v>102.023</v>
      </c>
      <c r="S487">
        <v>4</v>
      </c>
      <c r="T487">
        <v>177866</v>
      </c>
      <c r="U487">
        <v>4</v>
      </c>
      <c r="V487">
        <v>177866</v>
      </c>
      <c r="W487">
        <v>4</v>
      </c>
      <c r="X487">
        <v>177866</v>
      </c>
      <c r="Y487" t="s">
        <v>17</v>
      </c>
      <c r="Z487" t="str">
        <f>LOOKUP(B487,{0,1083,124200,681950},{"1st","2nd","3rd","4th"})&amp;" Quartile"</f>
        <v>2nd Quartile</v>
      </c>
    </row>
    <row r="488" spans="1:26">
      <c r="A488">
        <v>2022</v>
      </c>
      <c r="B488">
        <v>115500</v>
      </c>
      <c r="C488" t="s">
        <v>1825</v>
      </c>
      <c r="D488" t="s">
        <v>110</v>
      </c>
      <c r="E488">
        <v>75</v>
      </c>
      <c r="F488" t="s">
        <v>1825</v>
      </c>
      <c r="G488">
        <v>87</v>
      </c>
      <c r="H488">
        <v>0.72299999999999998</v>
      </c>
      <c r="I488">
        <v>0.77200000000000002</v>
      </c>
      <c r="J488">
        <v>-6.7839999999999998</v>
      </c>
      <c r="K488">
        <v>1</v>
      </c>
      <c r="L488">
        <v>1</v>
      </c>
      <c r="M488">
        <v>7.9200000000000007E-2</v>
      </c>
      <c r="N488">
        <v>5.2399999999999999E-3</v>
      </c>
      <c r="O488">
        <v>1.15E-5</v>
      </c>
      <c r="P488">
        <v>0.36699999999999999</v>
      </c>
      <c r="Q488">
        <v>0.57999999999999996</v>
      </c>
      <c r="R488">
        <v>102.004</v>
      </c>
      <c r="S488">
        <v>4</v>
      </c>
      <c r="T488">
        <v>146471</v>
      </c>
      <c r="U488">
        <v>4</v>
      </c>
      <c r="V488">
        <v>146471</v>
      </c>
      <c r="W488">
        <v>4</v>
      </c>
      <c r="X488">
        <v>146471</v>
      </c>
      <c r="Y488" t="s">
        <v>17</v>
      </c>
      <c r="Z488" t="str">
        <f>LOOKUP(B488,{0,1083,124200,681950},{"1st","2nd","3rd","4th"})&amp;" Quartile"</f>
        <v>2nd Quartile</v>
      </c>
    </row>
    <row r="489" spans="1:26">
      <c r="A489">
        <v>2021</v>
      </c>
      <c r="B489">
        <v>111400</v>
      </c>
      <c r="C489" t="s">
        <v>1349</v>
      </c>
      <c r="D489" t="s">
        <v>1348</v>
      </c>
      <c r="E489">
        <v>59</v>
      </c>
      <c r="F489" t="s">
        <v>1347</v>
      </c>
      <c r="G489">
        <v>76</v>
      </c>
      <c r="H489">
        <v>0.77</v>
      </c>
      <c r="I489">
        <v>0.73199999999999998</v>
      </c>
      <c r="J489">
        <v>-4.601</v>
      </c>
      <c r="K489">
        <v>0</v>
      </c>
      <c r="L489">
        <v>4</v>
      </c>
      <c r="M489">
        <v>5.0799999999999998E-2</v>
      </c>
      <c r="N489">
        <v>3.0499999999999999E-2</v>
      </c>
      <c r="O489">
        <v>0</v>
      </c>
      <c r="P489">
        <v>0.157</v>
      </c>
      <c r="Q489">
        <v>0.88900000000000001</v>
      </c>
      <c r="R489">
        <v>110.011</v>
      </c>
      <c r="S489">
        <v>4</v>
      </c>
      <c r="T489">
        <v>222680</v>
      </c>
      <c r="U489">
        <v>4</v>
      </c>
      <c r="V489">
        <v>222680</v>
      </c>
      <c r="W489">
        <v>4</v>
      </c>
      <c r="X489">
        <v>222680</v>
      </c>
      <c r="Y489" t="s">
        <v>17</v>
      </c>
      <c r="Z489" t="str">
        <f>LOOKUP(B489,{0,1083,124200,681950},{"1st","2nd","3rd","4th"})&amp;" Quartile"</f>
        <v>2nd Quartile</v>
      </c>
    </row>
    <row r="490" spans="1:26">
      <c r="A490">
        <v>2022</v>
      </c>
      <c r="B490">
        <v>110500</v>
      </c>
      <c r="C490" t="s">
        <v>1831</v>
      </c>
      <c r="D490" t="s">
        <v>1830</v>
      </c>
      <c r="E490">
        <v>88</v>
      </c>
      <c r="F490" t="s">
        <v>1829</v>
      </c>
      <c r="G490">
        <v>87</v>
      </c>
      <c r="H490">
        <v>0.72799999999999998</v>
      </c>
      <c r="I490">
        <v>0.78300000000000003</v>
      </c>
      <c r="J490">
        <v>-4.4240000000000004</v>
      </c>
      <c r="K490">
        <v>0</v>
      </c>
      <c r="L490">
        <v>11</v>
      </c>
      <c r="M490">
        <v>0.26600000000000001</v>
      </c>
      <c r="N490">
        <v>0.23699999999999999</v>
      </c>
      <c r="O490">
        <v>0</v>
      </c>
      <c r="P490">
        <v>0.434</v>
      </c>
      <c r="Q490">
        <v>0.55500000000000005</v>
      </c>
      <c r="R490">
        <v>77.010999999999996</v>
      </c>
      <c r="S490">
        <v>4</v>
      </c>
      <c r="T490">
        <v>173381</v>
      </c>
      <c r="U490">
        <v>4</v>
      </c>
      <c r="V490">
        <v>173381</v>
      </c>
      <c r="W490">
        <v>4</v>
      </c>
      <c r="X490">
        <v>173381</v>
      </c>
      <c r="Y490" t="s">
        <v>17</v>
      </c>
      <c r="Z490" t="str">
        <f>LOOKUP(B490,{0,1083,124200,681950},{"1st","2nd","3rd","4th"})&amp;" Quartile"</f>
        <v>2nd Quartile</v>
      </c>
    </row>
    <row r="491" spans="1:26">
      <c r="A491">
        <v>2020</v>
      </c>
      <c r="B491">
        <v>108000</v>
      </c>
      <c r="C491" t="s">
        <v>878</v>
      </c>
      <c r="D491" t="s">
        <v>457</v>
      </c>
      <c r="E491">
        <v>57</v>
      </c>
      <c r="F491" t="s">
        <v>877</v>
      </c>
      <c r="G491">
        <v>68</v>
      </c>
      <c r="H491">
        <v>0.76500000000000001</v>
      </c>
      <c r="I491">
        <v>0.57899999999999996</v>
      </c>
      <c r="J491">
        <v>-7.0510000000000002</v>
      </c>
      <c r="K491">
        <v>1</v>
      </c>
      <c r="L491">
        <v>10</v>
      </c>
      <c r="M491">
        <v>4.9599999999999998E-2</v>
      </c>
      <c r="N491">
        <v>1.0699999999999999E-2</v>
      </c>
      <c r="O491">
        <v>0.36199999999999999</v>
      </c>
      <c r="P491">
        <v>0.15</v>
      </c>
      <c r="Q491">
        <v>0.85499999999999998</v>
      </c>
      <c r="R491">
        <v>142.065</v>
      </c>
      <c r="S491">
        <v>4</v>
      </c>
      <c r="T491">
        <v>115352</v>
      </c>
      <c r="U491">
        <v>4</v>
      </c>
      <c r="V491">
        <v>115352</v>
      </c>
      <c r="W491">
        <v>4</v>
      </c>
      <c r="X491">
        <v>115352</v>
      </c>
      <c r="Y491" t="s">
        <v>17</v>
      </c>
      <c r="Z491" t="str">
        <f>LOOKUP(B491,{0,1083,124200,681950},{"1st","2nd","3rd","4th"})&amp;" Quartile"</f>
        <v>2nd Quartile</v>
      </c>
    </row>
    <row r="492" spans="1:26">
      <c r="A492">
        <v>2022</v>
      </c>
      <c r="B492">
        <v>106300</v>
      </c>
      <c r="C492" t="s">
        <v>1681</v>
      </c>
      <c r="D492" t="s">
        <v>1095</v>
      </c>
      <c r="E492">
        <v>83</v>
      </c>
      <c r="F492" t="s">
        <v>1681</v>
      </c>
      <c r="G492">
        <v>49</v>
      </c>
      <c r="H492">
        <v>0.78900000000000003</v>
      </c>
      <c r="I492">
        <v>0.53600000000000003</v>
      </c>
      <c r="J492">
        <v>-6.8620000000000001</v>
      </c>
      <c r="K492">
        <v>1</v>
      </c>
      <c r="L492">
        <v>6</v>
      </c>
      <c r="M492">
        <v>0.24199999999999999</v>
      </c>
      <c r="N492">
        <v>0.41</v>
      </c>
      <c r="O492">
        <v>0</v>
      </c>
      <c r="P492">
        <v>0.129</v>
      </c>
      <c r="Q492">
        <v>0.437</v>
      </c>
      <c r="R492">
        <v>81.039000000000001</v>
      </c>
      <c r="S492">
        <v>4</v>
      </c>
      <c r="T492">
        <v>165926</v>
      </c>
      <c r="U492">
        <v>4</v>
      </c>
      <c r="V492">
        <v>165926</v>
      </c>
      <c r="W492">
        <v>4</v>
      </c>
      <c r="X492">
        <v>165926</v>
      </c>
      <c r="Y492" t="s">
        <v>17</v>
      </c>
      <c r="Z492" t="str">
        <f>LOOKUP(B492,{0,1083,124200,681950},{"1st","2nd","3rd","4th"})&amp;" Quartile"</f>
        <v>2nd Quartile</v>
      </c>
    </row>
    <row r="493" spans="1:26">
      <c r="A493">
        <v>2019</v>
      </c>
      <c r="B493">
        <v>105800</v>
      </c>
      <c r="C493" t="s">
        <v>220</v>
      </c>
      <c r="D493" t="s">
        <v>221</v>
      </c>
      <c r="E493">
        <v>63</v>
      </c>
      <c r="F493" t="s">
        <v>220</v>
      </c>
      <c r="G493">
        <v>80</v>
      </c>
      <c r="H493">
        <v>0.247</v>
      </c>
      <c r="I493">
        <v>0.438</v>
      </c>
      <c r="J493">
        <v>-8.4779999999999998</v>
      </c>
      <c r="K493">
        <v>1</v>
      </c>
      <c r="L493">
        <v>5</v>
      </c>
      <c r="M493">
        <v>3.5799999999999998E-2</v>
      </c>
      <c r="N493">
        <v>4.4699999999999997E-2</v>
      </c>
      <c r="O493">
        <v>8.6700000000000004E-4</v>
      </c>
      <c r="P493">
        <v>0.111</v>
      </c>
      <c r="Q493">
        <v>0.39</v>
      </c>
      <c r="R493">
        <v>185.71100000000001</v>
      </c>
      <c r="S493">
        <v>3</v>
      </c>
      <c r="T493">
        <v>198213</v>
      </c>
      <c r="U493">
        <v>3</v>
      </c>
      <c r="V493">
        <v>198213</v>
      </c>
      <c r="W493">
        <v>3</v>
      </c>
      <c r="X493">
        <v>198213</v>
      </c>
      <c r="Y493" t="s">
        <v>17</v>
      </c>
      <c r="Z493" t="str">
        <f>LOOKUP(B493,{0,1083,124200,681950},{"1st","2nd","3rd","4th"})&amp;" Quartile"</f>
        <v>2nd Quartile</v>
      </c>
    </row>
    <row r="494" spans="1:26">
      <c r="A494">
        <v>2021</v>
      </c>
      <c r="B494">
        <v>105300</v>
      </c>
      <c r="C494" t="s">
        <v>1257</v>
      </c>
      <c r="D494" t="s">
        <v>1256</v>
      </c>
      <c r="E494">
        <v>60</v>
      </c>
      <c r="F494" t="s">
        <v>1255</v>
      </c>
      <c r="G494">
        <v>61</v>
      </c>
      <c r="H494">
        <v>0.68400000000000005</v>
      </c>
      <c r="I494">
        <v>0.81899999999999995</v>
      </c>
      <c r="J494">
        <v>-3.3090000000000002</v>
      </c>
      <c r="K494">
        <v>0</v>
      </c>
      <c r="L494">
        <v>1</v>
      </c>
      <c r="M494">
        <v>0.23799999999999999</v>
      </c>
      <c r="N494">
        <v>0.26200000000000001</v>
      </c>
      <c r="O494">
        <v>1.97E-3</v>
      </c>
      <c r="P494">
        <v>0.113</v>
      </c>
      <c r="Q494">
        <v>0.25</v>
      </c>
      <c r="R494">
        <v>179.999</v>
      </c>
      <c r="S494">
        <v>4</v>
      </c>
      <c r="T494">
        <v>231867</v>
      </c>
      <c r="U494">
        <v>4</v>
      </c>
      <c r="V494">
        <v>231867</v>
      </c>
      <c r="W494">
        <v>4</v>
      </c>
      <c r="X494">
        <v>231867</v>
      </c>
      <c r="Y494" t="s">
        <v>17</v>
      </c>
      <c r="Z494" t="str">
        <f>LOOKUP(B494,{0,1083,124200,681950},{"1st","2nd","3rd","4th"})&amp;" Quartile"</f>
        <v>2nd Quartile</v>
      </c>
    </row>
    <row r="495" spans="1:26">
      <c r="A495">
        <v>2020</v>
      </c>
      <c r="B495">
        <v>104400</v>
      </c>
      <c r="C495" t="s">
        <v>657</v>
      </c>
      <c r="D495" t="s">
        <v>656</v>
      </c>
      <c r="E495">
        <v>68</v>
      </c>
      <c r="F495" t="s">
        <v>655</v>
      </c>
      <c r="G495">
        <v>80</v>
      </c>
      <c r="H495">
        <v>0.17399999999999999</v>
      </c>
      <c r="I495">
        <v>0.74199999999999999</v>
      </c>
      <c r="J495">
        <v>-5.93</v>
      </c>
      <c r="K495">
        <v>1</v>
      </c>
      <c r="L495">
        <v>8</v>
      </c>
      <c r="M495">
        <v>4.8500000000000001E-2</v>
      </c>
      <c r="N495">
        <v>1.81E-3</v>
      </c>
      <c r="O495">
        <v>0.28100000000000003</v>
      </c>
      <c r="P495">
        <v>0.19800000000000001</v>
      </c>
      <c r="Q495">
        <v>0.36</v>
      </c>
      <c r="R495">
        <v>163.37799999999999</v>
      </c>
      <c r="S495">
        <v>4</v>
      </c>
      <c r="T495">
        <v>223747</v>
      </c>
      <c r="U495">
        <v>4</v>
      </c>
      <c r="V495">
        <v>223747</v>
      </c>
      <c r="W495">
        <v>4</v>
      </c>
      <c r="X495">
        <v>223747</v>
      </c>
      <c r="Y495" t="s">
        <v>17</v>
      </c>
      <c r="Z495" t="str">
        <f>LOOKUP(B495,{0,1083,124200,681950},{"1st","2nd","3rd","4th"})&amp;" Quartile"</f>
        <v>2nd Quartile</v>
      </c>
    </row>
    <row r="496" spans="1:26">
      <c r="A496">
        <v>2019</v>
      </c>
      <c r="B496">
        <v>103400</v>
      </c>
      <c r="C496" t="s">
        <v>412</v>
      </c>
      <c r="D496" t="s">
        <v>411</v>
      </c>
      <c r="E496">
        <v>66</v>
      </c>
      <c r="F496" t="s">
        <v>410</v>
      </c>
      <c r="G496">
        <v>3</v>
      </c>
      <c r="H496">
        <v>0.62</v>
      </c>
      <c r="I496">
        <v>0.59399999999999997</v>
      </c>
      <c r="J496">
        <v>-16.065999999999999</v>
      </c>
      <c r="K496">
        <v>1</v>
      </c>
      <c r="L496">
        <v>9</v>
      </c>
      <c r="M496">
        <v>3.8300000000000001E-2</v>
      </c>
      <c r="N496">
        <v>0.88700000000000001</v>
      </c>
      <c r="O496">
        <v>0.5</v>
      </c>
      <c r="P496">
        <v>9.1700000000000004E-2</v>
      </c>
      <c r="Q496">
        <v>0.69799999999999995</v>
      </c>
      <c r="R496">
        <v>165.86099999999999</v>
      </c>
      <c r="S496">
        <v>4</v>
      </c>
      <c r="T496">
        <v>167987</v>
      </c>
      <c r="U496">
        <v>4</v>
      </c>
      <c r="V496">
        <v>167987</v>
      </c>
      <c r="W496">
        <v>4</v>
      </c>
      <c r="X496">
        <v>167987</v>
      </c>
      <c r="Y496" t="s">
        <v>17</v>
      </c>
      <c r="Z496" t="str">
        <f>LOOKUP(B496,{0,1083,124200,681950},{"1st","2nd","3rd","4th"})&amp;" Quartile"</f>
        <v>2nd Quartile</v>
      </c>
    </row>
    <row r="497" spans="1:26">
      <c r="A497">
        <v>2021</v>
      </c>
      <c r="B497">
        <v>103000</v>
      </c>
      <c r="C497" t="s">
        <v>1499</v>
      </c>
      <c r="D497" t="s">
        <v>1500</v>
      </c>
      <c r="E497">
        <v>44</v>
      </c>
      <c r="F497" t="s">
        <v>1499</v>
      </c>
      <c r="G497">
        <v>61</v>
      </c>
      <c r="H497">
        <v>0.48299999999999998</v>
      </c>
      <c r="I497">
        <v>0.61099999999999999</v>
      </c>
      <c r="J497">
        <v>-6.33</v>
      </c>
      <c r="K497">
        <v>1</v>
      </c>
      <c r="L497">
        <v>1</v>
      </c>
      <c r="M497">
        <v>9.9400000000000002E-2</v>
      </c>
      <c r="N497">
        <v>0.11700000000000001</v>
      </c>
      <c r="O497">
        <v>0</v>
      </c>
      <c r="P497">
        <v>0.111</v>
      </c>
      <c r="Q497">
        <v>0.32500000000000001</v>
      </c>
      <c r="R497">
        <v>103.30800000000001</v>
      </c>
      <c r="S497">
        <v>4</v>
      </c>
      <c r="T497">
        <v>150340</v>
      </c>
      <c r="U497">
        <v>4</v>
      </c>
      <c r="V497">
        <v>150340</v>
      </c>
      <c r="W497">
        <v>4</v>
      </c>
      <c r="X497">
        <v>150340</v>
      </c>
      <c r="Y497" t="s">
        <v>17</v>
      </c>
      <c r="Z497" t="str">
        <f>LOOKUP(B497,{0,1083,124200,681950},{"1st","2nd","3rd","4th"})&amp;" Quartile"</f>
        <v>2nd Quartile</v>
      </c>
    </row>
    <row r="498" spans="1:26">
      <c r="A498">
        <v>2020</v>
      </c>
      <c r="B498">
        <v>102900</v>
      </c>
      <c r="C498" t="s">
        <v>800</v>
      </c>
      <c r="D498" t="s">
        <v>799</v>
      </c>
      <c r="E498">
        <v>80</v>
      </c>
      <c r="F498" t="s">
        <v>798</v>
      </c>
      <c r="G498">
        <v>73</v>
      </c>
      <c r="H498">
        <v>0.83099999999999996</v>
      </c>
      <c r="I498">
        <v>0.499</v>
      </c>
      <c r="J498">
        <v>-8.4420000000000002</v>
      </c>
      <c r="K498">
        <v>0</v>
      </c>
      <c r="L498">
        <v>11</v>
      </c>
      <c r="M498">
        <v>0.114</v>
      </c>
      <c r="N498">
        <v>0.26900000000000002</v>
      </c>
      <c r="O498">
        <v>0</v>
      </c>
      <c r="P498">
        <v>0.3</v>
      </c>
      <c r="Q498">
        <v>0.51100000000000001</v>
      </c>
      <c r="R498">
        <v>97.956000000000003</v>
      </c>
      <c r="S498">
        <v>4</v>
      </c>
      <c r="T498">
        <v>220487</v>
      </c>
      <c r="U498">
        <v>4</v>
      </c>
      <c r="V498">
        <v>220487</v>
      </c>
      <c r="W498">
        <v>4</v>
      </c>
      <c r="X498">
        <v>220487</v>
      </c>
      <c r="Y498" t="s">
        <v>17</v>
      </c>
      <c r="Z498" t="str">
        <f>LOOKUP(B498,{0,1083,124200,681950},{"1st","2nd","3rd","4th"})&amp;" Quartile"</f>
        <v>2nd Quartile</v>
      </c>
    </row>
    <row r="499" spans="1:26">
      <c r="A499">
        <v>2019</v>
      </c>
      <c r="B499">
        <v>101400</v>
      </c>
      <c r="C499" t="s">
        <v>578</v>
      </c>
      <c r="D499" t="s">
        <v>577</v>
      </c>
      <c r="E499">
        <v>70</v>
      </c>
      <c r="F499" t="s">
        <v>576</v>
      </c>
      <c r="G499">
        <v>64</v>
      </c>
      <c r="H499">
        <v>0.47399999999999998</v>
      </c>
      <c r="I499">
        <v>0.94799999999999995</v>
      </c>
      <c r="J499">
        <v>-2.5920000000000001</v>
      </c>
      <c r="K499">
        <v>1</v>
      </c>
      <c r="L499">
        <v>3</v>
      </c>
      <c r="M499">
        <v>0.122</v>
      </c>
      <c r="N499">
        <v>2.23E-2</v>
      </c>
      <c r="O499">
        <v>0</v>
      </c>
      <c r="P499">
        <v>0.43</v>
      </c>
      <c r="Q499">
        <v>0.61099999999999999</v>
      </c>
      <c r="R499">
        <v>146.46</v>
      </c>
      <c r="S499">
        <v>4</v>
      </c>
      <c r="T499">
        <v>195373</v>
      </c>
      <c r="U499">
        <v>4</v>
      </c>
      <c r="V499">
        <v>195373</v>
      </c>
      <c r="W499">
        <v>4</v>
      </c>
      <c r="X499">
        <v>195373</v>
      </c>
      <c r="Y499" t="s">
        <v>17</v>
      </c>
      <c r="Z499" t="str">
        <f>LOOKUP(B499,{0,1083,124200,681950},{"1st","2nd","3rd","4th"})&amp;" Quartile"</f>
        <v>2nd Quartile</v>
      </c>
    </row>
    <row r="500" spans="1:26">
      <c r="A500">
        <v>2020</v>
      </c>
      <c r="B500">
        <v>101000</v>
      </c>
      <c r="C500" t="s">
        <v>833</v>
      </c>
      <c r="D500" t="s">
        <v>560</v>
      </c>
      <c r="E500">
        <v>69</v>
      </c>
      <c r="F500" t="s">
        <v>832</v>
      </c>
      <c r="G500">
        <v>71</v>
      </c>
      <c r="H500">
        <v>0.83399999999999996</v>
      </c>
      <c r="I500">
        <v>0.66300000000000003</v>
      </c>
      <c r="J500">
        <v>-6.1429999999999998</v>
      </c>
      <c r="K500">
        <v>1</v>
      </c>
      <c r="L500">
        <v>8</v>
      </c>
      <c r="M500">
        <v>0.13300000000000001</v>
      </c>
      <c r="N500">
        <v>0.23499999999999999</v>
      </c>
      <c r="O500">
        <v>0</v>
      </c>
      <c r="P500">
        <v>0.372</v>
      </c>
      <c r="Q500">
        <v>0.77400000000000002</v>
      </c>
      <c r="R500">
        <v>121.876</v>
      </c>
      <c r="S500">
        <v>4</v>
      </c>
      <c r="T500">
        <v>146523</v>
      </c>
      <c r="U500">
        <v>4</v>
      </c>
      <c r="V500">
        <v>146523</v>
      </c>
      <c r="W500">
        <v>4</v>
      </c>
      <c r="X500">
        <v>146523</v>
      </c>
      <c r="Y500" t="s">
        <v>17</v>
      </c>
      <c r="Z500" t="str">
        <f>LOOKUP(B500,{0,1083,124200,681950},{"1st","2nd","3rd","4th"})&amp;" Quartile"</f>
        <v>2nd Quartile</v>
      </c>
    </row>
    <row r="501" spans="1:26">
      <c r="A501">
        <v>2019</v>
      </c>
      <c r="B501">
        <v>100000</v>
      </c>
      <c r="C501" t="s">
        <v>236</v>
      </c>
      <c r="D501" t="s">
        <v>235</v>
      </c>
      <c r="E501">
        <v>79</v>
      </c>
      <c r="F501" t="s">
        <v>234</v>
      </c>
      <c r="G501">
        <v>80</v>
      </c>
      <c r="H501">
        <v>0.77800000000000002</v>
      </c>
      <c r="I501">
        <v>0.54700000000000004</v>
      </c>
      <c r="J501">
        <v>-7.2729999999999997</v>
      </c>
      <c r="K501">
        <v>1</v>
      </c>
      <c r="L501">
        <v>2</v>
      </c>
      <c r="M501">
        <v>4.8899999999999999E-2</v>
      </c>
      <c r="N501">
        <v>0.34599999999999997</v>
      </c>
      <c r="O501">
        <v>3.0200000000000002E-4</v>
      </c>
      <c r="P501">
        <v>0.13200000000000001</v>
      </c>
      <c r="Q501">
        <v>0.441</v>
      </c>
      <c r="R501">
        <v>95.001999999999995</v>
      </c>
      <c r="S501">
        <v>4</v>
      </c>
      <c r="T501">
        <v>242733</v>
      </c>
      <c r="U501">
        <v>4</v>
      </c>
      <c r="V501">
        <v>242733</v>
      </c>
      <c r="W501">
        <v>4</v>
      </c>
      <c r="X501">
        <v>242733</v>
      </c>
      <c r="Y501" t="s">
        <v>17</v>
      </c>
      <c r="Z501" t="str">
        <f>LOOKUP(B501,{0,1083,124200,681950},{"1st","2nd","3rd","4th"})&amp;" Quartile"</f>
        <v>2nd Quartile</v>
      </c>
    </row>
    <row r="502" spans="1:26">
      <c r="A502">
        <v>2022</v>
      </c>
      <c r="B502">
        <v>99500</v>
      </c>
      <c r="C502" t="s">
        <v>1318</v>
      </c>
      <c r="D502" t="s">
        <v>166</v>
      </c>
      <c r="E502">
        <v>82</v>
      </c>
      <c r="F502" t="s">
        <v>1318</v>
      </c>
      <c r="G502">
        <v>81</v>
      </c>
      <c r="H502">
        <v>0.436</v>
      </c>
      <c r="I502">
        <v>0.65500000000000003</v>
      </c>
      <c r="J502">
        <v>-8.3699999999999992</v>
      </c>
      <c r="K502">
        <v>0</v>
      </c>
      <c r="L502">
        <v>1</v>
      </c>
      <c r="M502">
        <v>5.8299999999999998E-2</v>
      </c>
      <c r="N502">
        <v>0.499</v>
      </c>
      <c r="O502">
        <v>8.1000000000000004E-6</v>
      </c>
      <c r="P502">
        <v>0.68799999999999994</v>
      </c>
      <c r="Q502">
        <v>0.41199999999999998</v>
      </c>
      <c r="R502">
        <v>121.002</v>
      </c>
      <c r="S502">
        <v>4</v>
      </c>
      <c r="T502">
        <v>279204</v>
      </c>
      <c r="U502">
        <v>4</v>
      </c>
      <c r="V502">
        <v>279204</v>
      </c>
      <c r="W502">
        <v>4</v>
      </c>
      <c r="X502">
        <v>279204</v>
      </c>
      <c r="Y502" t="s">
        <v>17</v>
      </c>
      <c r="Z502" t="str">
        <f>LOOKUP(B502,{0,1083,124200,681950},{"1st","2nd","3rd","4th"})&amp;" Quartile"</f>
        <v>2nd Quartile</v>
      </c>
    </row>
    <row r="503" spans="1:26">
      <c r="A503">
        <v>2021</v>
      </c>
      <c r="B503">
        <v>99400</v>
      </c>
      <c r="C503" t="s">
        <v>1346</v>
      </c>
      <c r="D503" t="s">
        <v>1345</v>
      </c>
      <c r="E503">
        <v>85</v>
      </c>
      <c r="F503" t="s">
        <v>1344</v>
      </c>
      <c r="G503">
        <v>80</v>
      </c>
      <c r="H503">
        <v>0.79900000000000004</v>
      </c>
      <c r="I503">
        <v>0.53900000000000003</v>
      </c>
      <c r="J503">
        <v>-6.351</v>
      </c>
      <c r="K503">
        <v>1</v>
      </c>
      <c r="L503">
        <v>1</v>
      </c>
      <c r="M503">
        <v>4.2099999999999999E-2</v>
      </c>
      <c r="N503">
        <v>0.19900000000000001</v>
      </c>
      <c r="O503">
        <v>1.66E-5</v>
      </c>
      <c r="P503">
        <v>0.16500000000000001</v>
      </c>
      <c r="Q503">
        <v>0.39400000000000002</v>
      </c>
      <c r="R503">
        <v>136.94800000000001</v>
      </c>
      <c r="S503">
        <v>4</v>
      </c>
      <c r="T503">
        <v>202547</v>
      </c>
      <c r="U503">
        <v>4</v>
      </c>
      <c r="V503">
        <v>202547</v>
      </c>
      <c r="W503">
        <v>4</v>
      </c>
      <c r="X503">
        <v>202547</v>
      </c>
      <c r="Y503" t="s">
        <v>17</v>
      </c>
      <c r="Z503" t="str">
        <f>LOOKUP(B503,{0,1083,124200,681950},{"1st","2nd","3rd","4th"})&amp;" Quartile"</f>
        <v>2nd Quartile</v>
      </c>
    </row>
    <row r="504" spans="1:26">
      <c r="A504">
        <v>2021</v>
      </c>
      <c r="B504">
        <v>99400</v>
      </c>
      <c r="C504" t="s">
        <v>1318</v>
      </c>
      <c r="D504" t="s">
        <v>166</v>
      </c>
      <c r="E504">
        <v>82</v>
      </c>
      <c r="F504" t="s">
        <v>1318</v>
      </c>
      <c r="G504">
        <v>81</v>
      </c>
      <c r="H504">
        <v>0.436</v>
      </c>
      <c r="I504">
        <v>0.65500000000000003</v>
      </c>
      <c r="J504">
        <v>-8.3699999999999992</v>
      </c>
      <c r="K504">
        <v>0</v>
      </c>
      <c r="L504">
        <v>1</v>
      </c>
      <c r="M504">
        <v>5.8299999999999998E-2</v>
      </c>
      <c r="N504">
        <v>0.499</v>
      </c>
      <c r="O504">
        <v>8.1000000000000004E-6</v>
      </c>
      <c r="P504">
        <v>0.68799999999999994</v>
      </c>
      <c r="Q504">
        <v>0.41199999999999998</v>
      </c>
      <c r="R504">
        <v>121.002</v>
      </c>
      <c r="S504">
        <v>4</v>
      </c>
      <c r="T504">
        <v>279204</v>
      </c>
      <c r="U504">
        <v>4</v>
      </c>
      <c r="V504">
        <v>279204</v>
      </c>
      <c r="W504">
        <v>4</v>
      </c>
      <c r="X504">
        <v>279204</v>
      </c>
      <c r="Y504" t="s">
        <v>17</v>
      </c>
      <c r="Z504" t="str">
        <f>LOOKUP(B504,{0,1083,124200,681950},{"1st","2nd","3rd","4th"})&amp;" Quartile"</f>
        <v>2nd Quartile</v>
      </c>
    </row>
    <row r="505" spans="1:26">
      <c r="A505">
        <v>2020</v>
      </c>
      <c r="B505">
        <v>99200</v>
      </c>
      <c r="C505" t="s">
        <v>892</v>
      </c>
      <c r="D505" t="s">
        <v>158</v>
      </c>
      <c r="E505">
        <v>76</v>
      </c>
      <c r="F505" t="s">
        <v>891</v>
      </c>
      <c r="G505">
        <v>69</v>
      </c>
      <c r="H505">
        <v>0.72899999999999998</v>
      </c>
      <c r="I505">
        <v>0.67500000000000004</v>
      </c>
      <c r="J505">
        <v>-5.2919999999999998</v>
      </c>
      <c r="K505">
        <v>0</v>
      </c>
      <c r="L505">
        <v>5</v>
      </c>
      <c r="M505">
        <v>2.86E-2</v>
      </c>
      <c r="N505">
        <v>4.1399999999999997E-5</v>
      </c>
      <c r="O505">
        <v>1.2600000000000001E-3</v>
      </c>
      <c r="P505">
        <v>8.6699999999999999E-2</v>
      </c>
      <c r="Q505">
        <v>0.74</v>
      </c>
      <c r="R505">
        <v>125.036</v>
      </c>
      <c r="S505">
        <v>4</v>
      </c>
      <c r="T505">
        <v>215200</v>
      </c>
      <c r="U505">
        <v>4</v>
      </c>
      <c r="V505">
        <v>215200</v>
      </c>
      <c r="W505">
        <v>4</v>
      </c>
      <c r="X505">
        <v>215200</v>
      </c>
      <c r="Y505" t="s">
        <v>17</v>
      </c>
      <c r="Z505" t="str">
        <f>LOOKUP(B505,{0,1083,124200,681950},{"1st","2nd","3rd","4th"})&amp;" Quartile"</f>
        <v>2nd Quartile</v>
      </c>
    </row>
    <row r="506" spans="1:26">
      <c r="A506">
        <v>2020</v>
      </c>
      <c r="B506">
        <v>97800</v>
      </c>
      <c r="C506" t="s">
        <v>660</v>
      </c>
      <c r="D506" t="s">
        <v>659</v>
      </c>
      <c r="E506">
        <v>64</v>
      </c>
      <c r="F506" t="s">
        <v>658</v>
      </c>
      <c r="G506">
        <v>69</v>
      </c>
      <c r="H506">
        <v>0.72099999999999997</v>
      </c>
      <c r="I506">
        <v>0.88</v>
      </c>
      <c r="J506">
        <v>-3.8959999999999999</v>
      </c>
      <c r="K506">
        <v>0</v>
      </c>
      <c r="L506">
        <v>9</v>
      </c>
      <c r="M506">
        <v>4.5400000000000003E-2</v>
      </c>
      <c r="N506">
        <v>0.191</v>
      </c>
      <c r="O506">
        <v>0</v>
      </c>
      <c r="P506">
        <v>7.6899999999999996E-2</v>
      </c>
      <c r="Q506">
        <v>0.65500000000000003</v>
      </c>
      <c r="R506">
        <v>110.021</v>
      </c>
      <c r="S506">
        <v>4</v>
      </c>
      <c r="T506">
        <v>202907</v>
      </c>
      <c r="U506">
        <v>4</v>
      </c>
      <c r="V506">
        <v>202907</v>
      </c>
      <c r="W506">
        <v>4</v>
      </c>
      <c r="X506">
        <v>202907</v>
      </c>
      <c r="Y506" t="s">
        <v>17</v>
      </c>
      <c r="Z506" t="str">
        <f>LOOKUP(B506,{0,1083,124200,681950},{"1st","2nd","3rd","4th"})&amp;" Quartile"</f>
        <v>2nd Quartile</v>
      </c>
    </row>
    <row r="507" spans="1:26">
      <c r="A507">
        <v>2022</v>
      </c>
      <c r="B507">
        <v>97700</v>
      </c>
      <c r="C507" t="s">
        <v>1794</v>
      </c>
      <c r="D507" t="s">
        <v>1135</v>
      </c>
      <c r="E507">
        <v>82</v>
      </c>
      <c r="F507" t="s">
        <v>1793</v>
      </c>
      <c r="G507">
        <v>83</v>
      </c>
      <c r="H507">
        <v>0.75600000000000001</v>
      </c>
      <c r="I507">
        <v>0.69699999999999995</v>
      </c>
      <c r="J507">
        <v>-6.3769999999999998</v>
      </c>
      <c r="K507">
        <v>1</v>
      </c>
      <c r="L507">
        <v>8</v>
      </c>
      <c r="M507">
        <v>4.0099999999999997E-2</v>
      </c>
      <c r="N507">
        <v>0.182</v>
      </c>
      <c r="O507">
        <v>0</v>
      </c>
      <c r="P507">
        <v>0.33300000000000002</v>
      </c>
      <c r="Q507">
        <v>0.95599999999999996</v>
      </c>
      <c r="R507">
        <v>94.995999999999995</v>
      </c>
      <c r="S507">
        <v>4</v>
      </c>
      <c r="T507">
        <v>206071</v>
      </c>
      <c r="U507">
        <v>4</v>
      </c>
      <c r="V507">
        <v>206071</v>
      </c>
      <c r="W507">
        <v>4</v>
      </c>
      <c r="X507">
        <v>206071</v>
      </c>
      <c r="Y507" t="s">
        <v>17</v>
      </c>
      <c r="Z507" t="str">
        <f>LOOKUP(B507,{0,1083,124200,681950},{"1st","2nd","3rd","4th"})&amp;" Quartile"</f>
        <v>2nd Quartile</v>
      </c>
    </row>
    <row r="508" spans="1:26">
      <c r="A508">
        <v>2020</v>
      </c>
      <c r="B508">
        <v>97300</v>
      </c>
      <c r="C508" t="s">
        <v>806</v>
      </c>
      <c r="D508" t="s">
        <v>367</v>
      </c>
      <c r="E508">
        <v>90</v>
      </c>
      <c r="F508" t="s">
        <v>805</v>
      </c>
      <c r="G508">
        <v>83</v>
      </c>
      <c r="H508">
        <v>0.36699999999999999</v>
      </c>
      <c r="I508">
        <v>0.66500000000000004</v>
      </c>
      <c r="J508">
        <v>-2.8210000000000002</v>
      </c>
      <c r="K508">
        <v>1</v>
      </c>
      <c r="L508">
        <v>1</v>
      </c>
      <c r="M508">
        <v>4.65E-2</v>
      </c>
      <c r="N508">
        <v>0.14499999999999999</v>
      </c>
      <c r="O508">
        <v>0</v>
      </c>
      <c r="P508">
        <v>0.113</v>
      </c>
      <c r="Q508">
        <v>0.31</v>
      </c>
      <c r="R508">
        <v>148.91300000000001</v>
      </c>
      <c r="S508">
        <v>4</v>
      </c>
      <c r="T508">
        <v>229147</v>
      </c>
      <c r="U508">
        <v>4</v>
      </c>
      <c r="V508">
        <v>229147</v>
      </c>
      <c r="W508">
        <v>4</v>
      </c>
      <c r="X508">
        <v>229147</v>
      </c>
      <c r="Y508" t="s">
        <v>17</v>
      </c>
      <c r="Z508" t="str">
        <f>LOOKUP(B508,{0,1083,124200,681950},{"1st","2nd","3rd","4th"})&amp;" Quartile"</f>
        <v>2nd Quartile</v>
      </c>
    </row>
    <row r="509" spans="1:26">
      <c r="A509">
        <v>2019</v>
      </c>
      <c r="B509">
        <v>97100</v>
      </c>
      <c r="C509" t="s">
        <v>266</v>
      </c>
      <c r="D509" t="s">
        <v>265</v>
      </c>
      <c r="E509">
        <v>67</v>
      </c>
      <c r="F509" t="s">
        <v>264</v>
      </c>
      <c r="G509">
        <v>52</v>
      </c>
      <c r="H509">
        <v>0.86299999999999999</v>
      </c>
      <c r="I509">
        <v>0.51200000000000001</v>
      </c>
      <c r="J509">
        <v>-6.9550000000000001</v>
      </c>
      <c r="K509">
        <v>1</v>
      </c>
      <c r="L509">
        <v>0</v>
      </c>
      <c r="M509">
        <v>3.6299999999999999E-2</v>
      </c>
      <c r="N509">
        <v>0.59899999999999998</v>
      </c>
      <c r="O509">
        <v>1.37E-4</v>
      </c>
      <c r="P509">
        <v>0.10299999999999999</v>
      </c>
      <c r="Q509">
        <v>0.73499999999999999</v>
      </c>
      <c r="R509">
        <v>129.04499999999999</v>
      </c>
      <c r="S509">
        <v>4</v>
      </c>
      <c r="T509">
        <v>244885</v>
      </c>
      <c r="U509">
        <v>4</v>
      </c>
      <c r="V509">
        <v>244885</v>
      </c>
      <c r="W509">
        <v>4</v>
      </c>
      <c r="X509">
        <v>244885</v>
      </c>
      <c r="Y509" t="s">
        <v>17</v>
      </c>
      <c r="Z509" t="str">
        <f>LOOKUP(B509,{0,1083,124200,681950},{"1st","2nd","3rd","4th"})&amp;" Quartile"</f>
        <v>2nd Quartile</v>
      </c>
    </row>
    <row r="510" spans="1:26">
      <c r="A510">
        <v>2021</v>
      </c>
      <c r="B510">
        <v>96800</v>
      </c>
      <c r="C510" t="s">
        <v>1210</v>
      </c>
      <c r="D510" t="s">
        <v>1211</v>
      </c>
      <c r="E510">
        <v>77</v>
      </c>
      <c r="F510" t="s">
        <v>1210</v>
      </c>
      <c r="G510">
        <v>76</v>
      </c>
      <c r="H510">
        <v>0.8</v>
      </c>
      <c r="I510">
        <v>0.83699999999999997</v>
      </c>
      <c r="J510">
        <v>-2.8069999999999999</v>
      </c>
      <c r="K510">
        <v>0</v>
      </c>
      <c r="L510">
        <v>6</v>
      </c>
      <c r="M510">
        <v>4.9099999999999998E-2</v>
      </c>
      <c r="N510">
        <v>4.0600000000000002E-3</v>
      </c>
      <c r="O510">
        <v>3.13E-3</v>
      </c>
      <c r="P510">
        <v>9.0399999999999994E-2</v>
      </c>
      <c r="Q510">
        <v>0.70199999999999996</v>
      </c>
      <c r="R510">
        <v>100.015</v>
      </c>
      <c r="S510">
        <v>4</v>
      </c>
      <c r="T510">
        <v>225600</v>
      </c>
      <c r="U510">
        <v>4</v>
      </c>
      <c r="V510">
        <v>225600</v>
      </c>
      <c r="W510">
        <v>4</v>
      </c>
      <c r="X510">
        <v>225600</v>
      </c>
      <c r="Y510" t="s">
        <v>17</v>
      </c>
      <c r="Z510" t="str">
        <f>LOOKUP(B510,{0,1083,124200,681950},{"1st","2nd","3rd","4th"})&amp;" Quartile"</f>
        <v>2nd Quartile</v>
      </c>
    </row>
    <row r="511" spans="1:26">
      <c r="A511">
        <v>2022</v>
      </c>
      <c r="B511">
        <v>89500</v>
      </c>
      <c r="C511" t="s">
        <v>1543</v>
      </c>
      <c r="D511" t="s">
        <v>606</v>
      </c>
      <c r="E511">
        <v>82</v>
      </c>
      <c r="F511" t="s">
        <v>939</v>
      </c>
      <c r="G511">
        <v>76</v>
      </c>
      <c r="H511">
        <v>0.76900000000000002</v>
      </c>
      <c r="I511">
        <v>0.78700000000000003</v>
      </c>
      <c r="J511">
        <v>-3.9089999999999998</v>
      </c>
      <c r="K511">
        <v>1</v>
      </c>
      <c r="L511">
        <v>11</v>
      </c>
      <c r="M511">
        <v>0.36699999999999999</v>
      </c>
      <c r="N511">
        <v>0.189</v>
      </c>
      <c r="O511">
        <v>0</v>
      </c>
      <c r="P511">
        <v>0.129</v>
      </c>
      <c r="Q511">
        <v>0.83599999999999997</v>
      </c>
      <c r="R511">
        <v>126.77</v>
      </c>
      <c r="S511">
        <v>4</v>
      </c>
      <c r="T511">
        <v>159715</v>
      </c>
      <c r="U511">
        <v>4</v>
      </c>
      <c r="V511">
        <v>159715</v>
      </c>
      <c r="W511">
        <v>4</v>
      </c>
      <c r="X511">
        <v>159715</v>
      </c>
      <c r="Y511" t="s">
        <v>17</v>
      </c>
      <c r="Z511" t="str">
        <f>LOOKUP(B511,{0,1083,124200,681950},{"1st","2nd","3rd","4th"})&amp;" Quartile"</f>
        <v>2nd Quartile</v>
      </c>
    </row>
    <row r="512" spans="1:26">
      <c r="A512">
        <v>2021</v>
      </c>
      <c r="B512">
        <v>88300</v>
      </c>
      <c r="C512" t="s">
        <v>1401</v>
      </c>
      <c r="D512" t="s">
        <v>1400</v>
      </c>
      <c r="E512">
        <v>74</v>
      </c>
      <c r="F512" t="s">
        <v>1399</v>
      </c>
      <c r="G512">
        <v>77</v>
      </c>
      <c r="H512">
        <v>0.72699999999999998</v>
      </c>
      <c r="I512">
        <v>0.55200000000000005</v>
      </c>
      <c r="J512">
        <v>-8.0739999999999998</v>
      </c>
      <c r="K512">
        <v>0</v>
      </c>
      <c r="L512">
        <v>2</v>
      </c>
      <c r="M512">
        <v>0.14000000000000001</v>
      </c>
      <c r="N512">
        <v>0.22700000000000001</v>
      </c>
      <c r="O512">
        <v>1.64E-4</v>
      </c>
      <c r="P512">
        <v>0.19800000000000001</v>
      </c>
      <c r="Q512">
        <v>0.60699999999999998</v>
      </c>
      <c r="R512">
        <v>168.18899999999999</v>
      </c>
      <c r="S512">
        <v>4</v>
      </c>
      <c r="T512">
        <v>289160</v>
      </c>
      <c r="U512">
        <v>4</v>
      </c>
      <c r="V512">
        <v>289160</v>
      </c>
      <c r="W512">
        <v>4</v>
      </c>
      <c r="X512">
        <v>289160</v>
      </c>
      <c r="Y512" t="s">
        <v>17</v>
      </c>
      <c r="Z512" t="str">
        <f>LOOKUP(B512,{0,1083,124200,681950},{"1st","2nd","3rd","4th"})&amp;" Quartile"</f>
        <v>2nd Quartile</v>
      </c>
    </row>
    <row r="513" spans="1:26">
      <c r="A513">
        <v>2020</v>
      </c>
      <c r="B513">
        <v>87500</v>
      </c>
      <c r="C513" t="s">
        <v>630</v>
      </c>
      <c r="D513" t="s">
        <v>396</v>
      </c>
      <c r="E513">
        <v>81</v>
      </c>
      <c r="F513" t="s">
        <v>533</v>
      </c>
      <c r="G513">
        <v>68</v>
      </c>
      <c r="H513">
        <v>0.70599999999999996</v>
      </c>
      <c r="I513">
        <v>0.67900000000000005</v>
      </c>
      <c r="J513">
        <v>-5.6139999999999999</v>
      </c>
      <c r="K513">
        <v>1</v>
      </c>
      <c r="L513">
        <v>9</v>
      </c>
      <c r="M513">
        <v>3.2399999999999998E-2</v>
      </c>
      <c r="N513">
        <v>0.13900000000000001</v>
      </c>
      <c r="O513">
        <v>6.9800000000000003E-5</v>
      </c>
      <c r="P513">
        <v>0.46500000000000002</v>
      </c>
      <c r="Q513">
        <v>0.65700000000000003</v>
      </c>
      <c r="R513">
        <v>140.08099999999999</v>
      </c>
      <c r="S513">
        <v>4</v>
      </c>
      <c r="T513">
        <v>158707</v>
      </c>
      <c r="U513">
        <v>4</v>
      </c>
      <c r="V513">
        <v>158707</v>
      </c>
      <c r="W513">
        <v>4</v>
      </c>
      <c r="X513">
        <v>158707</v>
      </c>
      <c r="Y513" t="s">
        <v>17</v>
      </c>
      <c r="Z513" t="str">
        <f>LOOKUP(B513,{0,1083,124200,681950},{"1st","2nd","3rd","4th"})&amp;" Quartile"</f>
        <v>2nd Quartile</v>
      </c>
    </row>
    <row r="514" spans="1:26">
      <c r="A514">
        <v>2022</v>
      </c>
      <c r="B514">
        <v>87200</v>
      </c>
      <c r="C514" t="s">
        <v>1694</v>
      </c>
      <c r="D514" t="s">
        <v>1231</v>
      </c>
      <c r="E514">
        <v>82</v>
      </c>
      <c r="F514" t="s">
        <v>1694</v>
      </c>
      <c r="G514">
        <v>87</v>
      </c>
      <c r="H514">
        <v>0.754</v>
      </c>
      <c r="I514">
        <v>0.76300000000000001</v>
      </c>
      <c r="J514">
        <v>-4.6269999999999998</v>
      </c>
      <c r="K514">
        <v>0</v>
      </c>
      <c r="L514">
        <v>7</v>
      </c>
      <c r="M514">
        <v>4.3499999999999997E-2</v>
      </c>
      <c r="N514">
        <v>3.0099999999999998E-2</v>
      </c>
      <c r="O514">
        <v>2.23E-5</v>
      </c>
      <c r="P514">
        <v>9.01E-2</v>
      </c>
      <c r="Q514">
        <v>0.46400000000000002</v>
      </c>
      <c r="R514">
        <v>117.953</v>
      </c>
      <c r="S514">
        <v>4</v>
      </c>
      <c r="T514">
        <v>164819</v>
      </c>
      <c r="U514">
        <v>4</v>
      </c>
      <c r="V514">
        <v>164819</v>
      </c>
      <c r="W514">
        <v>4</v>
      </c>
      <c r="X514">
        <v>164819</v>
      </c>
      <c r="Y514" t="s">
        <v>17</v>
      </c>
      <c r="Z514" t="str">
        <f>LOOKUP(B514,{0,1083,124200,681950},{"1st","2nd","3rd","4th"})&amp;" Quartile"</f>
        <v>2nd Quartile</v>
      </c>
    </row>
    <row r="515" spans="1:26">
      <c r="A515">
        <v>2021</v>
      </c>
      <c r="B515">
        <v>84800</v>
      </c>
      <c r="C515" t="s">
        <v>804</v>
      </c>
      <c r="D515" t="s">
        <v>803</v>
      </c>
      <c r="E515">
        <v>75</v>
      </c>
      <c r="F515" t="s">
        <v>803</v>
      </c>
      <c r="G515">
        <v>79</v>
      </c>
      <c r="H515">
        <v>0.60199999999999998</v>
      </c>
      <c r="I515">
        <v>0.92300000000000004</v>
      </c>
      <c r="J515">
        <v>-3.7629999999999999</v>
      </c>
      <c r="K515">
        <v>1</v>
      </c>
      <c r="L515">
        <v>5</v>
      </c>
      <c r="M515">
        <v>4.3999999999999997E-2</v>
      </c>
      <c r="N515">
        <v>9.7999999999999997E-3</v>
      </c>
      <c r="O515">
        <v>0</v>
      </c>
      <c r="P515">
        <v>5.6099999999999997E-2</v>
      </c>
      <c r="Q515">
        <v>0.76500000000000001</v>
      </c>
      <c r="R515">
        <v>136.01</v>
      </c>
      <c r="S515">
        <v>4</v>
      </c>
      <c r="T515">
        <v>216013</v>
      </c>
      <c r="U515">
        <v>4</v>
      </c>
      <c r="V515">
        <v>216013</v>
      </c>
      <c r="W515">
        <v>4</v>
      </c>
      <c r="X515">
        <v>216013</v>
      </c>
      <c r="Y515" t="s">
        <v>17</v>
      </c>
      <c r="Z515" t="str">
        <f>LOOKUP(B515,{0,1083,124200,681950},{"1st","2nd","3rd","4th"})&amp;" Quartile"</f>
        <v>2nd Quartile</v>
      </c>
    </row>
    <row r="516" spans="1:26">
      <c r="A516">
        <v>2020</v>
      </c>
      <c r="B516">
        <v>84800</v>
      </c>
      <c r="C516" t="s">
        <v>804</v>
      </c>
      <c r="D516" t="s">
        <v>803</v>
      </c>
      <c r="E516">
        <v>75</v>
      </c>
      <c r="F516" t="s">
        <v>803</v>
      </c>
      <c r="G516">
        <v>79</v>
      </c>
      <c r="H516">
        <v>0.60199999999999998</v>
      </c>
      <c r="I516">
        <v>0.92300000000000004</v>
      </c>
      <c r="J516">
        <v>-3.7629999999999999</v>
      </c>
      <c r="K516">
        <v>1</v>
      </c>
      <c r="L516">
        <v>5</v>
      </c>
      <c r="M516">
        <v>4.3999999999999997E-2</v>
      </c>
      <c r="N516">
        <v>9.7999999999999997E-3</v>
      </c>
      <c r="O516">
        <v>0</v>
      </c>
      <c r="P516">
        <v>5.6099999999999997E-2</v>
      </c>
      <c r="Q516">
        <v>0.76500000000000001</v>
      </c>
      <c r="R516">
        <v>136.01</v>
      </c>
      <c r="S516">
        <v>4</v>
      </c>
      <c r="T516">
        <v>216013</v>
      </c>
      <c r="U516">
        <v>4</v>
      </c>
      <c r="V516">
        <v>216013</v>
      </c>
      <c r="W516">
        <v>4</v>
      </c>
      <c r="X516">
        <v>216013</v>
      </c>
      <c r="Y516" t="s">
        <v>17</v>
      </c>
      <c r="Z516" t="str">
        <f>LOOKUP(B516,{0,1083,124200,681950},{"1st","2nd","3rd","4th"})&amp;" Quartile"</f>
        <v>2nd Quartile</v>
      </c>
    </row>
    <row r="517" spans="1:26">
      <c r="A517">
        <v>2020</v>
      </c>
      <c r="B517">
        <v>83400</v>
      </c>
      <c r="C517" t="s">
        <v>957</v>
      </c>
      <c r="D517" t="s">
        <v>958</v>
      </c>
      <c r="E517">
        <v>24</v>
      </c>
      <c r="F517" t="s">
        <v>957</v>
      </c>
      <c r="G517">
        <v>39</v>
      </c>
      <c r="H517">
        <v>0.89300000000000002</v>
      </c>
      <c r="I517">
        <v>0.29599999999999999</v>
      </c>
      <c r="J517">
        <v>-15.773999999999999</v>
      </c>
      <c r="K517">
        <v>1</v>
      </c>
      <c r="L517">
        <v>1</v>
      </c>
      <c r="M517">
        <v>0.90700000000000003</v>
      </c>
      <c r="N517">
        <v>3.48E-3</v>
      </c>
      <c r="O517">
        <v>0</v>
      </c>
      <c r="P517">
        <v>0.17599999999999999</v>
      </c>
      <c r="Q517">
        <v>0.32100000000000001</v>
      </c>
      <c r="R517">
        <v>130.14500000000001</v>
      </c>
      <c r="S517">
        <v>4</v>
      </c>
      <c r="T517">
        <v>147697</v>
      </c>
      <c r="U517">
        <v>4</v>
      </c>
      <c r="V517">
        <v>147697</v>
      </c>
      <c r="W517">
        <v>4</v>
      </c>
      <c r="X517">
        <v>147697</v>
      </c>
      <c r="Y517" t="s">
        <v>17</v>
      </c>
      <c r="Z517" t="str">
        <f>LOOKUP(B517,{0,1083,124200,681950},{"1st","2nd","3rd","4th"})&amp;" Quartile"</f>
        <v>2nd Quartile</v>
      </c>
    </row>
    <row r="518" spans="1:26">
      <c r="A518">
        <v>2019</v>
      </c>
      <c r="B518">
        <v>83200</v>
      </c>
      <c r="C518" t="s">
        <v>510</v>
      </c>
      <c r="D518" t="s">
        <v>509</v>
      </c>
      <c r="E518">
        <v>45</v>
      </c>
      <c r="F518" t="s">
        <v>508</v>
      </c>
      <c r="G518">
        <v>53</v>
      </c>
      <c r="H518">
        <v>0.73799999999999999</v>
      </c>
      <c r="I518">
        <v>0.84099999999999997</v>
      </c>
      <c r="J518">
        <v>-5.3520000000000003</v>
      </c>
      <c r="K518">
        <v>1</v>
      </c>
      <c r="L518">
        <v>9</v>
      </c>
      <c r="M518">
        <v>9.2399999999999996E-2</v>
      </c>
      <c r="N518">
        <v>4.5199999999999997E-2</v>
      </c>
      <c r="O518">
        <v>1.0500000000000001E-2</v>
      </c>
      <c r="P518">
        <v>0.03</v>
      </c>
      <c r="Q518">
        <v>0.83599999999999997</v>
      </c>
      <c r="R518">
        <v>163.91300000000001</v>
      </c>
      <c r="S518">
        <v>4</v>
      </c>
      <c r="T518">
        <v>130467</v>
      </c>
      <c r="U518">
        <v>4</v>
      </c>
      <c r="V518">
        <v>130467</v>
      </c>
      <c r="W518">
        <v>4</v>
      </c>
      <c r="X518">
        <v>130467</v>
      </c>
      <c r="Y518" t="s">
        <v>17</v>
      </c>
      <c r="Z518" t="str">
        <f>LOOKUP(B518,{0,1083,124200,681950},{"1st","2nd","3rd","4th"})&amp;" Quartile"</f>
        <v>2nd Quartile</v>
      </c>
    </row>
    <row r="519" spans="1:26">
      <c r="A519">
        <v>2021</v>
      </c>
      <c r="B519">
        <v>82700</v>
      </c>
      <c r="C519" t="s">
        <v>1163</v>
      </c>
      <c r="D519" t="s">
        <v>815</v>
      </c>
      <c r="E519">
        <v>93</v>
      </c>
      <c r="F519" t="s">
        <v>1162</v>
      </c>
      <c r="G519">
        <v>84</v>
      </c>
      <c r="H519">
        <v>0.65</v>
      </c>
      <c r="I519">
        <v>0.82499999999999996</v>
      </c>
      <c r="J519">
        <v>-4.6449999999999996</v>
      </c>
      <c r="K519">
        <v>1</v>
      </c>
      <c r="L519">
        <v>0</v>
      </c>
      <c r="M519">
        <v>3.2500000000000001E-2</v>
      </c>
      <c r="N519">
        <v>2.1499999999999998E-2</v>
      </c>
      <c r="O519">
        <v>2.44E-5</v>
      </c>
      <c r="P519">
        <v>9.3600000000000003E-2</v>
      </c>
      <c r="Q519">
        <v>0.59299999999999997</v>
      </c>
      <c r="R519">
        <v>118.09099999999999</v>
      </c>
      <c r="S519">
        <v>4</v>
      </c>
      <c r="T519">
        <v>191014</v>
      </c>
      <c r="U519">
        <v>4</v>
      </c>
      <c r="V519">
        <v>191014</v>
      </c>
      <c r="W519">
        <v>4</v>
      </c>
      <c r="X519">
        <v>191014</v>
      </c>
      <c r="Y519" t="s">
        <v>17</v>
      </c>
      <c r="Z519" t="str">
        <f>LOOKUP(B519,{0,1083,124200,681950},{"1st","2nd","3rd","4th"})&amp;" Quartile"</f>
        <v>2nd Quartile</v>
      </c>
    </row>
    <row r="520" spans="1:26">
      <c r="A520">
        <v>2020</v>
      </c>
      <c r="B520">
        <v>81700</v>
      </c>
      <c r="C520" t="s">
        <v>991</v>
      </c>
      <c r="D520" t="s">
        <v>849</v>
      </c>
      <c r="E520">
        <v>91</v>
      </c>
      <c r="F520" t="s">
        <v>990</v>
      </c>
      <c r="G520">
        <v>73</v>
      </c>
      <c r="H520">
        <v>0.75800000000000001</v>
      </c>
      <c r="I520">
        <v>0.436</v>
      </c>
      <c r="J520">
        <v>-7.2690000000000001</v>
      </c>
      <c r="K520">
        <v>1</v>
      </c>
      <c r="L520">
        <v>0</v>
      </c>
      <c r="M520">
        <v>4.1799999999999997E-2</v>
      </c>
      <c r="N520">
        <v>0.61799999999999999</v>
      </c>
      <c r="O520">
        <v>1.6099999999999998E-5</v>
      </c>
      <c r="P520">
        <v>0.33500000000000002</v>
      </c>
      <c r="Q520">
        <v>0.60499999999999998</v>
      </c>
      <c r="R520">
        <v>104.959</v>
      </c>
      <c r="S520">
        <v>4</v>
      </c>
      <c r="T520">
        <v>192080</v>
      </c>
      <c r="U520">
        <v>4</v>
      </c>
      <c r="V520">
        <v>192080</v>
      </c>
      <c r="W520">
        <v>4</v>
      </c>
      <c r="X520">
        <v>192080</v>
      </c>
      <c r="Y520" t="s">
        <v>17</v>
      </c>
      <c r="Z520" t="str">
        <f>LOOKUP(B520,{0,1083,124200,681950},{"1st","2nd","3rd","4th"})&amp;" Quartile"</f>
        <v>2nd Quartile</v>
      </c>
    </row>
    <row r="521" spans="1:26">
      <c r="A521">
        <v>2020</v>
      </c>
      <c r="B521">
        <v>81500</v>
      </c>
      <c r="C521" t="s">
        <v>866</v>
      </c>
      <c r="D521" t="s">
        <v>863</v>
      </c>
      <c r="E521">
        <v>86</v>
      </c>
      <c r="F521" t="s">
        <v>865</v>
      </c>
      <c r="G521">
        <v>77</v>
      </c>
      <c r="H521">
        <v>0.755</v>
      </c>
      <c r="I521">
        <v>0.57799999999999996</v>
      </c>
      <c r="J521">
        <v>-8.9320000000000004</v>
      </c>
      <c r="K521">
        <v>0</v>
      </c>
      <c r="L521">
        <v>0</v>
      </c>
      <c r="M521">
        <v>0.14499999999999999</v>
      </c>
      <c r="N521">
        <v>0.316</v>
      </c>
      <c r="O521">
        <v>0</v>
      </c>
      <c r="P521">
        <v>0.25</v>
      </c>
      <c r="Q521">
        <v>0.58099999999999996</v>
      </c>
      <c r="R521">
        <v>94.147999999999996</v>
      </c>
      <c r="S521">
        <v>4</v>
      </c>
      <c r="T521">
        <v>176960</v>
      </c>
      <c r="U521">
        <v>4</v>
      </c>
      <c r="V521">
        <v>176960</v>
      </c>
      <c r="W521">
        <v>4</v>
      </c>
      <c r="X521">
        <v>176960</v>
      </c>
      <c r="Y521" t="s">
        <v>17</v>
      </c>
      <c r="Z521" t="str">
        <f>LOOKUP(B521,{0,1083,124200,681950},{"1st","2nd","3rd","4th"})&amp;" Quartile"</f>
        <v>2nd Quartile</v>
      </c>
    </row>
    <row r="522" spans="1:26">
      <c r="A522">
        <v>2022</v>
      </c>
      <c r="B522">
        <v>79000</v>
      </c>
      <c r="C522" t="s">
        <v>1575</v>
      </c>
      <c r="D522" t="s">
        <v>1576</v>
      </c>
      <c r="E522">
        <v>58</v>
      </c>
      <c r="F522" t="s">
        <v>1575</v>
      </c>
      <c r="G522">
        <v>64</v>
      </c>
      <c r="H522">
        <v>0.82599999999999996</v>
      </c>
      <c r="I522">
        <v>0.61499999999999999</v>
      </c>
      <c r="J522">
        <v>-4.7290000000000001</v>
      </c>
      <c r="K522">
        <v>0</v>
      </c>
      <c r="L522">
        <v>1</v>
      </c>
      <c r="M522">
        <v>0.13700000000000001</v>
      </c>
      <c r="N522">
        <v>0.435</v>
      </c>
      <c r="O522">
        <v>6.3099999999999996E-3</v>
      </c>
      <c r="P522">
        <v>0.33400000000000002</v>
      </c>
      <c r="Q522">
        <v>0.84099999999999997</v>
      </c>
      <c r="R522">
        <v>102.999</v>
      </c>
      <c r="S522">
        <v>4</v>
      </c>
      <c r="T522">
        <v>175884</v>
      </c>
      <c r="U522">
        <v>4</v>
      </c>
      <c r="V522">
        <v>175884</v>
      </c>
      <c r="W522">
        <v>4</v>
      </c>
      <c r="X522">
        <v>175884</v>
      </c>
      <c r="Y522" t="s">
        <v>17</v>
      </c>
      <c r="Z522" t="str">
        <f>LOOKUP(B522,{0,1083,124200,681950},{"1st","2nd","3rd","4th"})&amp;" Quartile"</f>
        <v>2nd Quartile</v>
      </c>
    </row>
    <row r="523" spans="1:26">
      <c r="A523">
        <v>2020</v>
      </c>
      <c r="B523">
        <v>78400</v>
      </c>
      <c r="C523" t="s">
        <v>641</v>
      </c>
      <c r="D523" t="s">
        <v>642</v>
      </c>
      <c r="E523">
        <v>83</v>
      </c>
      <c r="F523" t="s">
        <v>641</v>
      </c>
      <c r="G523">
        <v>59</v>
      </c>
      <c r="H523">
        <v>0.90100000000000002</v>
      </c>
      <c r="I523">
        <v>0.49</v>
      </c>
      <c r="J523">
        <v>-9.0990000000000002</v>
      </c>
      <c r="K523">
        <v>0</v>
      </c>
      <c r="L523">
        <v>5</v>
      </c>
      <c r="M523">
        <v>0.129</v>
      </c>
      <c r="N523">
        <v>1.55E-2</v>
      </c>
      <c r="O523">
        <v>0</v>
      </c>
      <c r="P523">
        <v>0.109</v>
      </c>
      <c r="Q523">
        <v>0.39700000000000002</v>
      </c>
      <c r="R523">
        <v>135.01499999999999</v>
      </c>
      <c r="S523">
        <v>4</v>
      </c>
      <c r="T523">
        <v>163574</v>
      </c>
      <c r="U523">
        <v>4</v>
      </c>
      <c r="V523">
        <v>163574</v>
      </c>
      <c r="W523">
        <v>4</v>
      </c>
      <c r="X523">
        <v>163574</v>
      </c>
      <c r="Y523" t="s">
        <v>17</v>
      </c>
      <c r="Z523" t="str">
        <f>LOOKUP(B523,{0,1083,124200,681950},{"1st","2nd","3rd","4th"})&amp;" Quartile"</f>
        <v>2nd Quartile</v>
      </c>
    </row>
    <row r="524" spans="1:26">
      <c r="A524">
        <v>2019</v>
      </c>
      <c r="B524">
        <v>78400</v>
      </c>
      <c r="C524" t="s">
        <v>76</v>
      </c>
      <c r="D524" t="s">
        <v>75</v>
      </c>
      <c r="E524">
        <v>93</v>
      </c>
      <c r="F524" t="s">
        <v>74</v>
      </c>
      <c r="G524">
        <v>76</v>
      </c>
      <c r="H524">
        <v>0.77100000000000002</v>
      </c>
      <c r="I524">
        <v>0.67100000000000004</v>
      </c>
      <c r="J524">
        <v>-5.617</v>
      </c>
      <c r="K524">
        <v>1</v>
      </c>
      <c r="L524">
        <v>2</v>
      </c>
      <c r="M524">
        <v>5.5300000000000002E-2</v>
      </c>
      <c r="N524">
        <v>9.2899999999999996E-3</v>
      </c>
      <c r="O524">
        <v>0</v>
      </c>
      <c r="P524">
        <v>6.3700000000000007E-2</v>
      </c>
      <c r="Q524">
        <v>0.71399999999999997</v>
      </c>
      <c r="R524">
        <v>85.025999999999996</v>
      </c>
      <c r="S524">
        <v>4</v>
      </c>
      <c r="T524">
        <v>171360</v>
      </c>
      <c r="U524">
        <v>4</v>
      </c>
      <c r="V524">
        <v>171360</v>
      </c>
      <c r="W524">
        <v>4</v>
      </c>
      <c r="X524">
        <v>171360</v>
      </c>
      <c r="Y524" t="s">
        <v>17</v>
      </c>
      <c r="Z524" t="str">
        <f>LOOKUP(B524,{0,1083,124200,681950},{"1st","2nd","3rd","4th"})&amp;" Quartile"</f>
        <v>2nd Quartile</v>
      </c>
    </row>
    <row r="525" spans="1:26">
      <c r="A525">
        <v>2022</v>
      </c>
      <c r="B525">
        <v>78300</v>
      </c>
      <c r="C525" t="s">
        <v>1551</v>
      </c>
      <c r="D525" t="s">
        <v>1552</v>
      </c>
      <c r="E525">
        <v>87</v>
      </c>
      <c r="F525" t="s">
        <v>1551</v>
      </c>
      <c r="G525">
        <v>77</v>
      </c>
      <c r="H525">
        <v>0.67600000000000005</v>
      </c>
      <c r="I525">
        <v>0.60899999999999999</v>
      </c>
      <c r="J525">
        <v>-5.8310000000000004</v>
      </c>
      <c r="K525">
        <v>0</v>
      </c>
      <c r="L525">
        <v>2</v>
      </c>
      <c r="M525">
        <v>0.48099999999999998</v>
      </c>
      <c r="N525">
        <v>7.0599999999999996E-2</v>
      </c>
      <c r="O525">
        <v>0</v>
      </c>
      <c r="P525">
        <v>0.152</v>
      </c>
      <c r="Q525">
        <v>0.50800000000000001</v>
      </c>
      <c r="R525">
        <v>142.03700000000001</v>
      </c>
      <c r="S525">
        <v>4</v>
      </c>
      <c r="T525">
        <v>237735</v>
      </c>
      <c r="U525">
        <v>4</v>
      </c>
      <c r="V525">
        <v>237735</v>
      </c>
      <c r="W525">
        <v>4</v>
      </c>
      <c r="X525">
        <v>237735</v>
      </c>
      <c r="Y525" t="s">
        <v>17</v>
      </c>
      <c r="Z525" t="str">
        <f>LOOKUP(B525,{0,1083,124200,681950},{"1st","2nd","3rd","4th"})&amp;" Quartile"</f>
        <v>2nd Quartile</v>
      </c>
    </row>
    <row r="526" spans="1:26">
      <c r="A526">
        <v>2021</v>
      </c>
      <c r="B526">
        <v>77300</v>
      </c>
      <c r="C526" t="s">
        <v>1168</v>
      </c>
      <c r="D526" t="s">
        <v>319</v>
      </c>
      <c r="E526">
        <v>90</v>
      </c>
      <c r="F526" t="s">
        <v>1167</v>
      </c>
      <c r="G526">
        <v>89</v>
      </c>
      <c r="H526">
        <v>0.60099999999999998</v>
      </c>
      <c r="I526">
        <v>0.74099999999999999</v>
      </c>
      <c r="J526">
        <v>-5.569</v>
      </c>
      <c r="K526">
        <v>1</v>
      </c>
      <c r="L526">
        <v>2</v>
      </c>
      <c r="M526">
        <v>4.7800000000000002E-2</v>
      </c>
      <c r="N526">
        <v>0.185</v>
      </c>
      <c r="O526">
        <v>2.9099999999999999E-5</v>
      </c>
      <c r="P526">
        <v>0.41499999999999998</v>
      </c>
      <c r="Q526">
        <v>0.441</v>
      </c>
      <c r="R526">
        <v>153.96</v>
      </c>
      <c r="S526">
        <v>4</v>
      </c>
      <c r="T526">
        <v>153190</v>
      </c>
      <c r="U526">
        <v>4</v>
      </c>
      <c r="V526">
        <v>153190</v>
      </c>
      <c r="W526">
        <v>4</v>
      </c>
      <c r="X526">
        <v>153190</v>
      </c>
      <c r="Y526" t="s">
        <v>17</v>
      </c>
      <c r="Z526" t="str">
        <f>LOOKUP(B526,{0,1083,124200,681950},{"1st","2nd","3rd","4th"})&amp;" Quartile"</f>
        <v>2nd Quartile</v>
      </c>
    </row>
    <row r="527" spans="1:26">
      <c r="A527">
        <v>2019</v>
      </c>
      <c r="B527">
        <v>75500</v>
      </c>
      <c r="C527" t="s">
        <v>470</v>
      </c>
      <c r="D527" t="s">
        <v>432</v>
      </c>
      <c r="E527">
        <v>81</v>
      </c>
      <c r="F527" t="s">
        <v>431</v>
      </c>
      <c r="G527">
        <v>40</v>
      </c>
      <c r="H527">
        <v>0.89200000000000002</v>
      </c>
      <c r="I527">
        <v>0.58799999999999997</v>
      </c>
      <c r="J527">
        <v>-4.2869999999999999</v>
      </c>
      <c r="K527">
        <v>0</v>
      </c>
      <c r="L527">
        <v>1</v>
      </c>
      <c r="M527">
        <v>0.11</v>
      </c>
      <c r="N527">
        <v>3.1900000000000001E-3</v>
      </c>
      <c r="O527">
        <v>1.6200000000000001E-4</v>
      </c>
      <c r="P527">
        <v>4.9799999999999997E-2</v>
      </c>
      <c r="Q527">
        <v>0.753</v>
      </c>
      <c r="R527">
        <v>120.042</v>
      </c>
      <c r="S527">
        <v>4</v>
      </c>
      <c r="T527">
        <v>172630</v>
      </c>
      <c r="U527">
        <v>4</v>
      </c>
      <c r="V527">
        <v>172630</v>
      </c>
      <c r="W527">
        <v>4</v>
      </c>
      <c r="X527">
        <v>172630</v>
      </c>
      <c r="Y527" t="s">
        <v>17</v>
      </c>
      <c r="Z527" t="str">
        <f>LOOKUP(B527,{0,1083,124200,681950},{"1st","2nd","3rd","4th"})&amp;" Quartile"</f>
        <v>2nd Quartile</v>
      </c>
    </row>
    <row r="528" spans="1:26">
      <c r="A528">
        <v>2022</v>
      </c>
      <c r="B528">
        <v>74200</v>
      </c>
      <c r="C528" t="s">
        <v>369</v>
      </c>
      <c r="D528" t="s">
        <v>370</v>
      </c>
      <c r="E528">
        <v>90</v>
      </c>
      <c r="F528" t="s">
        <v>369</v>
      </c>
      <c r="G528">
        <v>78</v>
      </c>
      <c r="H528">
        <v>0.79800000000000004</v>
      </c>
      <c r="I528">
        <v>0.67500000000000004</v>
      </c>
      <c r="J528">
        <v>-5.0410000000000004</v>
      </c>
      <c r="K528">
        <v>1</v>
      </c>
      <c r="L528">
        <v>6</v>
      </c>
      <c r="M528">
        <v>4.4200000000000003E-2</v>
      </c>
      <c r="N528">
        <v>9.1200000000000003E-2</v>
      </c>
      <c r="O528">
        <v>0</v>
      </c>
      <c r="P528">
        <v>8.9399999999999993E-2</v>
      </c>
      <c r="Q528">
        <v>0.84199999999999997</v>
      </c>
      <c r="R528">
        <v>101.956</v>
      </c>
      <c r="S528">
        <v>4</v>
      </c>
      <c r="T528">
        <v>219947</v>
      </c>
      <c r="U528">
        <v>4</v>
      </c>
      <c r="V528">
        <v>219947</v>
      </c>
      <c r="W528">
        <v>4</v>
      </c>
      <c r="X528">
        <v>219947</v>
      </c>
      <c r="Y528" t="s">
        <v>17</v>
      </c>
      <c r="Z528" t="str">
        <f>LOOKUP(B528,{0,1083,124200,681950},{"1st","2nd","3rd","4th"})&amp;" Quartile"</f>
        <v>2nd Quartile</v>
      </c>
    </row>
    <row r="529" spans="1:26">
      <c r="A529">
        <v>2019</v>
      </c>
      <c r="B529">
        <v>70300</v>
      </c>
      <c r="C529" t="s">
        <v>579</v>
      </c>
      <c r="D529" t="s">
        <v>580</v>
      </c>
      <c r="E529">
        <v>43</v>
      </c>
      <c r="F529" t="s">
        <v>579</v>
      </c>
      <c r="G529">
        <v>58</v>
      </c>
      <c r="H529">
        <v>0.73599999999999999</v>
      </c>
      <c r="I529">
        <v>0.81</v>
      </c>
      <c r="J529">
        <v>-6.3540000000000001</v>
      </c>
      <c r="K529">
        <v>1</v>
      </c>
      <c r="L529">
        <v>5</v>
      </c>
      <c r="M529">
        <v>9.06E-2</v>
      </c>
      <c r="N529">
        <v>7.6999999999999999E-2</v>
      </c>
      <c r="O529">
        <v>0</v>
      </c>
      <c r="P529">
        <v>5.2299999999999999E-2</v>
      </c>
      <c r="Q529">
        <v>0.38700000000000001</v>
      </c>
      <c r="R529">
        <v>125.011</v>
      </c>
      <c r="S529">
        <v>4</v>
      </c>
      <c r="T529">
        <v>154448</v>
      </c>
      <c r="U529">
        <v>4</v>
      </c>
      <c r="V529">
        <v>154448</v>
      </c>
      <c r="W529">
        <v>4</v>
      </c>
      <c r="X529">
        <v>154448</v>
      </c>
      <c r="Y529" t="s">
        <v>17</v>
      </c>
      <c r="Z529" t="str">
        <f>LOOKUP(B529,{0,1083,124200,681950},{"1st","2nd","3rd","4th"})&amp;" Quartile"</f>
        <v>2nd Quartile</v>
      </c>
    </row>
    <row r="530" spans="1:26">
      <c r="A530">
        <v>2020</v>
      </c>
      <c r="B530">
        <v>69800</v>
      </c>
      <c r="C530" t="s">
        <v>493</v>
      </c>
      <c r="D530" t="s">
        <v>494</v>
      </c>
      <c r="E530">
        <v>52</v>
      </c>
      <c r="F530" t="s">
        <v>493</v>
      </c>
      <c r="G530">
        <v>59</v>
      </c>
      <c r="H530">
        <v>0.92800000000000005</v>
      </c>
      <c r="I530">
        <v>0.69599999999999995</v>
      </c>
      <c r="J530">
        <v>-4.9720000000000004</v>
      </c>
      <c r="K530">
        <v>0</v>
      </c>
      <c r="L530">
        <v>4</v>
      </c>
      <c r="M530">
        <v>8.6599999999999996E-2</v>
      </c>
      <c r="N530">
        <v>0.33100000000000002</v>
      </c>
      <c r="O530">
        <v>1.1900000000000001E-4</v>
      </c>
      <c r="P530">
        <v>0.121</v>
      </c>
      <c r="Q530">
        <v>0.39600000000000002</v>
      </c>
      <c r="R530">
        <v>94.994</v>
      </c>
      <c r="S530">
        <v>4</v>
      </c>
      <c r="T530">
        <v>165938</v>
      </c>
      <c r="U530">
        <v>4</v>
      </c>
      <c r="V530">
        <v>165938</v>
      </c>
      <c r="W530">
        <v>4</v>
      </c>
      <c r="X530">
        <v>165938</v>
      </c>
      <c r="Y530" t="s">
        <v>17</v>
      </c>
      <c r="Z530" t="str">
        <f>LOOKUP(B530,{0,1083,124200,681950},{"1st","2nd","3rd","4th"})&amp;" Quartile"</f>
        <v>2nd Quartile</v>
      </c>
    </row>
    <row r="531" spans="1:26">
      <c r="A531">
        <v>2019</v>
      </c>
      <c r="B531">
        <v>69800</v>
      </c>
      <c r="C531" t="s">
        <v>493</v>
      </c>
      <c r="D531" t="s">
        <v>494</v>
      </c>
      <c r="E531">
        <v>52</v>
      </c>
      <c r="F531" t="s">
        <v>493</v>
      </c>
      <c r="G531">
        <v>59</v>
      </c>
      <c r="H531">
        <v>0.92800000000000005</v>
      </c>
      <c r="I531">
        <v>0.69599999999999995</v>
      </c>
      <c r="J531">
        <v>-4.9720000000000004</v>
      </c>
      <c r="K531">
        <v>0</v>
      </c>
      <c r="L531">
        <v>4</v>
      </c>
      <c r="M531">
        <v>8.6599999999999996E-2</v>
      </c>
      <c r="N531">
        <v>0.33100000000000002</v>
      </c>
      <c r="O531">
        <v>1.1900000000000001E-4</v>
      </c>
      <c r="P531">
        <v>0.121</v>
      </c>
      <c r="Q531">
        <v>0.39600000000000002</v>
      </c>
      <c r="R531">
        <v>94.994</v>
      </c>
      <c r="S531">
        <v>4</v>
      </c>
      <c r="T531">
        <v>165938</v>
      </c>
      <c r="U531">
        <v>4</v>
      </c>
      <c r="V531">
        <v>165938</v>
      </c>
      <c r="W531">
        <v>4</v>
      </c>
      <c r="X531">
        <v>165938</v>
      </c>
      <c r="Y531" t="s">
        <v>17</v>
      </c>
      <c r="Z531" t="str">
        <f>LOOKUP(B531,{0,1083,124200,681950},{"1st","2nd","3rd","4th"})&amp;" Quartile"</f>
        <v>2nd Quartile</v>
      </c>
    </row>
    <row r="532" spans="1:26">
      <c r="A532">
        <v>2022</v>
      </c>
      <c r="B532">
        <v>68100</v>
      </c>
      <c r="C532" t="s">
        <v>1544</v>
      </c>
      <c r="D532" t="s">
        <v>779</v>
      </c>
      <c r="E532">
        <v>85</v>
      </c>
      <c r="F532" t="s">
        <v>1544</v>
      </c>
      <c r="G532">
        <v>62</v>
      </c>
      <c r="H532">
        <v>0.71899999999999997</v>
      </c>
      <c r="I532">
        <v>0.61099999999999999</v>
      </c>
      <c r="J532">
        <v>-5.01</v>
      </c>
      <c r="K532">
        <v>0</v>
      </c>
      <c r="L532">
        <v>7</v>
      </c>
      <c r="M532">
        <v>4.0300000000000002E-2</v>
      </c>
      <c r="N532">
        <v>5.8200000000000002E-2</v>
      </c>
      <c r="O532">
        <v>0</v>
      </c>
      <c r="P532">
        <v>0.155</v>
      </c>
      <c r="Q532">
        <v>0.48899999999999999</v>
      </c>
      <c r="R532">
        <v>129.96199999999999</v>
      </c>
      <c r="S532">
        <v>4</v>
      </c>
      <c r="T532">
        <v>212354</v>
      </c>
      <c r="U532">
        <v>4</v>
      </c>
      <c r="V532">
        <v>212354</v>
      </c>
      <c r="W532">
        <v>4</v>
      </c>
      <c r="X532">
        <v>212354</v>
      </c>
      <c r="Y532" t="s">
        <v>17</v>
      </c>
      <c r="Z532" t="str">
        <f>LOOKUP(B532,{0,1083,124200,681950},{"1st","2nd","3rd","4th"})&amp;" Quartile"</f>
        <v>2nd Quartile</v>
      </c>
    </row>
    <row r="533" spans="1:26">
      <c r="A533">
        <v>2020</v>
      </c>
      <c r="B533">
        <v>67900</v>
      </c>
      <c r="C533" t="s">
        <v>1047</v>
      </c>
      <c r="D533" t="s">
        <v>788</v>
      </c>
      <c r="E533">
        <v>70</v>
      </c>
      <c r="F533" t="s">
        <v>1046</v>
      </c>
      <c r="G533">
        <v>62</v>
      </c>
      <c r="H533">
        <v>0.92300000000000004</v>
      </c>
      <c r="I533">
        <v>0.79500000000000004</v>
      </c>
      <c r="J533">
        <v>-3.61</v>
      </c>
      <c r="K533">
        <v>0</v>
      </c>
      <c r="L533">
        <v>11</v>
      </c>
      <c r="M533">
        <v>0.11700000000000001</v>
      </c>
      <c r="N533">
        <v>3.9399999999999998E-2</v>
      </c>
      <c r="O533">
        <v>5.6499999999999996E-4</v>
      </c>
      <c r="P533">
        <v>0.10100000000000001</v>
      </c>
      <c r="Q533">
        <v>0.58799999999999997</v>
      </c>
      <c r="R533">
        <v>123.021</v>
      </c>
      <c r="S533">
        <v>4</v>
      </c>
      <c r="T533">
        <v>242133</v>
      </c>
      <c r="U533">
        <v>4</v>
      </c>
      <c r="V533">
        <v>242133</v>
      </c>
      <c r="W533">
        <v>4</v>
      </c>
      <c r="X533">
        <v>242133</v>
      </c>
      <c r="Y533" t="s">
        <v>17</v>
      </c>
      <c r="Z533" t="str">
        <f>LOOKUP(B533,{0,1083,124200,681950},{"1st","2nd","3rd","4th"})&amp;" Quartile"</f>
        <v>2nd Quartile</v>
      </c>
    </row>
    <row r="534" spans="1:26">
      <c r="A534">
        <v>2020</v>
      </c>
      <c r="B534">
        <v>66700</v>
      </c>
      <c r="C534" t="s">
        <v>1002</v>
      </c>
      <c r="D534" t="s">
        <v>1003</v>
      </c>
      <c r="E534">
        <v>81</v>
      </c>
      <c r="F534" t="s">
        <v>1002</v>
      </c>
      <c r="G534">
        <v>70</v>
      </c>
      <c r="H534">
        <v>0.55100000000000005</v>
      </c>
      <c r="I534">
        <v>0.75600000000000001</v>
      </c>
      <c r="J534">
        <v>-4.9480000000000004</v>
      </c>
      <c r="K534">
        <v>1</v>
      </c>
      <c r="L534">
        <v>2</v>
      </c>
      <c r="M534">
        <v>6.5199999999999994E-2</v>
      </c>
      <c r="N534">
        <v>5.11E-2</v>
      </c>
      <c r="O534">
        <v>0</v>
      </c>
      <c r="P534">
        <v>7.6499999999999999E-2</v>
      </c>
      <c r="Q534">
        <v>0.61799999999999999</v>
      </c>
      <c r="R534">
        <v>175.98400000000001</v>
      </c>
      <c r="S534">
        <v>4</v>
      </c>
      <c r="T534">
        <v>205733</v>
      </c>
      <c r="U534">
        <v>4</v>
      </c>
      <c r="V534">
        <v>205733</v>
      </c>
      <c r="W534">
        <v>4</v>
      </c>
      <c r="X534">
        <v>205733</v>
      </c>
      <c r="Y534" t="s">
        <v>17</v>
      </c>
      <c r="Z534" t="str">
        <f>LOOKUP(B534,{0,1083,124200,681950},{"1st","2nd","3rd","4th"})&amp;" Quartile"</f>
        <v>2nd Quartile</v>
      </c>
    </row>
    <row r="535" spans="1:26">
      <c r="A535">
        <v>2020</v>
      </c>
      <c r="B535">
        <v>65900</v>
      </c>
      <c r="C535" t="s">
        <v>1123</v>
      </c>
      <c r="D535" t="s">
        <v>1122</v>
      </c>
      <c r="E535">
        <v>71</v>
      </c>
      <c r="F535" t="s">
        <v>1121</v>
      </c>
      <c r="G535">
        <v>66</v>
      </c>
      <c r="H535">
        <v>0.375</v>
      </c>
      <c r="I535">
        <v>0.46100000000000002</v>
      </c>
      <c r="J535">
        <v>-6.202</v>
      </c>
      <c r="K535">
        <v>1</v>
      </c>
      <c r="L535">
        <v>9</v>
      </c>
      <c r="M535">
        <v>2.7900000000000001E-2</v>
      </c>
      <c r="N535">
        <v>0.627</v>
      </c>
      <c r="O535">
        <v>0</v>
      </c>
      <c r="P535">
        <v>0.38600000000000001</v>
      </c>
      <c r="Q535">
        <v>0.23300000000000001</v>
      </c>
      <c r="R535">
        <v>75.216999999999999</v>
      </c>
      <c r="S535">
        <v>4</v>
      </c>
      <c r="T535">
        <v>223270</v>
      </c>
      <c r="U535">
        <v>4</v>
      </c>
      <c r="V535">
        <v>223270</v>
      </c>
      <c r="W535">
        <v>4</v>
      </c>
      <c r="X535">
        <v>223270</v>
      </c>
      <c r="Y535" t="s">
        <v>17</v>
      </c>
      <c r="Z535" t="str">
        <f>LOOKUP(B535,{0,1083,124200,681950},{"1st","2nd","3rd","4th"})&amp;" Quartile"</f>
        <v>2nd Quartile</v>
      </c>
    </row>
    <row r="536" spans="1:26">
      <c r="A536">
        <v>2019</v>
      </c>
      <c r="B536">
        <v>62900</v>
      </c>
      <c r="C536" t="s">
        <v>507</v>
      </c>
      <c r="D536" t="s">
        <v>506</v>
      </c>
      <c r="E536">
        <v>75</v>
      </c>
      <c r="F536" t="s">
        <v>505</v>
      </c>
      <c r="G536">
        <v>75</v>
      </c>
      <c r="H536">
        <v>0.93500000000000005</v>
      </c>
      <c r="I536">
        <v>0.55200000000000005</v>
      </c>
      <c r="J536">
        <v>-9.3729999999999993</v>
      </c>
      <c r="K536">
        <v>0</v>
      </c>
      <c r="L536">
        <v>10</v>
      </c>
      <c r="M536">
        <v>0.33500000000000002</v>
      </c>
      <c r="N536">
        <v>0.111</v>
      </c>
      <c r="O536">
        <v>0</v>
      </c>
      <c r="P536">
        <v>9.5200000000000007E-2</v>
      </c>
      <c r="Q536">
        <v>0.61499999999999999</v>
      </c>
      <c r="R536">
        <v>99.992999999999995</v>
      </c>
      <c r="S536">
        <v>4</v>
      </c>
      <c r="T536">
        <v>145627</v>
      </c>
      <c r="U536">
        <v>4</v>
      </c>
      <c r="V536">
        <v>145627</v>
      </c>
      <c r="W536">
        <v>4</v>
      </c>
      <c r="X536">
        <v>145627</v>
      </c>
      <c r="Y536" t="s">
        <v>17</v>
      </c>
      <c r="Z536" t="str">
        <f>LOOKUP(B536,{0,1083,124200,681950},{"1st","2nd","3rd","4th"})&amp;" Quartile"</f>
        <v>2nd Quartile</v>
      </c>
    </row>
    <row r="537" spans="1:26">
      <c r="A537">
        <v>2022</v>
      </c>
      <c r="B537">
        <v>61100</v>
      </c>
      <c r="C537" t="s">
        <v>1317</v>
      </c>
      <c r="D537" t="s">
        <v>175</v>
      </c>
      <c r="E537">
        <v>88</v>
      </c>
      <c r="F537" t="s">
        <v>1316</v>
      </c>
      <c r="G537">
        <v>84</v>
      </c>
      <c r="H537">
        <v>0.82799999999999996</v>
      </c>
      <c r="I537">
        <v>0.621</v>
      </c>
      <c r="J537">
        <v>-6.4139999999999997</v>
      </c>
      <c r="K537">
        <v>1</v>
      </c>
      <c r="L537">
        <v>8</v>
      </c>
      <c r="M537">
        <v>5.6500000000000002E-2</v>
      </c>
      <c r="N537">
        <v>1.6400000000000001E-2</v>
      </c>
      <c r="O537">
        <v>2.33E-3</v>
      </c>
      <c r="P537">
        <v>8.4500000000000006E-2</v>
      </c>
      <c r="Q537">
        <v>0.436</v>
      </c>
      <c r="R537">
        <v>128.98599999999999</v>
      </c>
      <c r="S537">
        <v>4</v>
      </c>
      <c r="T537">
        <v>186173</v>
      </c>
      <c r="U537">
        <v>4</v>
      </c>
      <c r="V537">
        <v>186173</v>
      </c>
      <c r="W537">
        <v>4</v>
      </c>
      <c r="X537">
        <v>186173</v>
      </c>
      <c r="Y537" t="s">
        <v>17</v>
      </c>
      <c r="Z537" t="str">
        <f>LOOKUP(B537,{0,1083,124200,681950},{"1st","2nd","3rd","4th"})&amp;" Quartile"</f>
        <v>2nd Quartile</v>
      </c>
    </row>
    <row r="538" spans="1:26">
      <c r="A538">
        <v>2021</v>
      </c>
      <c r="B538">
        <v>61100</v>
      </c>
      <c r="C538" t="s">
        <v>1317</v>
      </c>
      <c r="D538" t="s">
        <v>175</v>
      </c>
      <c r="E538">
        <v>88</v>
      </c>
      <c r="F538" t="s">
        <v>1316</v>
      </c>
      <c r="G538">
        <v>84</v>
      </c>
      <c r="H538">
        <v>0.82799999999999996</v>
      </c>
      <c r="I538">
        <v>0.621</v>
      </c>
      <c r="J538">
        <v>-6.4139999999999997</v>
      </c>
      <c r="K538">
        <v>1</v>
      </c>
      <c r="L538">
        <v>8</v>
      </c>
      <c r="M538">
        <v>5.6500000000000002E-2</v>
      </c>
      <c r="N538">
        <v>1.6400000000000001E-2</v>
      </c>
      <c r="O538">
        <v>2.33E-3</v>
      </c>
      <c r="P538">
        <v>8.4500000000000006E-2</v>
      </c>
      <c r="Q538">
        <v>0.436</v>
      </c>
      <c r="R538">
        <v>128.98599999999999</v>
      </c>
      <c r="S538">
        <v>4</v>
      </c>
      <c r="T538">
        <v>186173</v>
      </c>
      <c r="U538">
        <v>4</v>
      </c>
      <c r="V538">
        <v>186173</v>
      </c>
      <c r="W538">
        <v>4</v>
      </c>
      <c r="X538">
        <v>186173</v>
      </c>
      <c r="Y538" t="s">
        <v>17</v>
      </c>
      <c r="Z538" t="str">
        <f>LOOKUP(B538,{0,1083,124200,681950},{"1st","2nd","3rd","4th"})&amp;" Quartile"</f>
        <v>2nd Quartile</v>
      </c>
    </row>
    <row r="539" spans="1:26">
      <c r="A539">
        <v>2020</v>
      </c>
      <c r="B539">
        <v>61000</v>
      </c>
      <c r="C539" t="s">
        <v>707</v>
      </c>
      <c r="D539" t="s">
        <v>708</v>
      </c>
      <c r="E539">
        <v>61</v>
      </c>
      <c r="F539" t="s">
        <v>707</v>
      </c>
      <c r="G539">
        <v>73</v>
      </c>
      <c r="H539">
        <v>0.71199999999999997</v>
      </c>
      <c r="I539">
        <v>0.56399999999999995</v>
      </c>
      <c r="J539">
        <v>-6.5270000000000001</v>
      </c>
      <c r="K539">
        <v>1</v>
      </c>
      <c r="L539">
        <v>8</v>
      </c>
      <c r="M539">
        <v>4.7E-2</v>
      </c>
      <c r="N539">
        <v>2.6599999999999999E-2</v>
      </c>
      <c r="O539">
        <v>0</v>
      </c>
      <c r="P539">
        <v>8.7400000000000005E-2</v>
      </c>
      <c r="Q539">
        <v>0.41099999999999998</v>
      </c>
      <c r="R539">
        <v>95.95</v>
      </c>
      <c r="S539">
        <v>4</v>
      </c>
      <c r="T539">
        <v>207747</v>
      </c>
      <c r="U539">
        <v>4</v>
      </c>
      <c r="V539">
        <v>207747</v>
      </c>
      <c r="W539">
        <v>4</v>
      </c>
      <c r="X539">
        <v>207747</v>
      </c>
      <c r="Y539" t="s">
        <v>17</v>
      </c>
      <c r="Z539" t="str">
        <f>LOOKUP(B539,{0,1083,124200,681950},{"1st","2nd","3rd","4th"})&amp;" Quartile"</f>
        <v>2nd Quartile</v>
      </c>
    </row>
    <row r="540" spans="1:26">
      <c r="A540">
        <v>2022</v>
      </c>
      <c r="B540">
        <v>60100</v>
      </c>
      <c r="C540" t="s">
        <v>1654</v>
      </c>
      <c r="D540" t="s">
        <v>1620</v>
      </c>
      <c r="E540">
        <v>54</v>
      </c>
      <c r="F540" t="s">
        <v>1654</v>
      </c>
      <c r="G540">
        <v>55</v>
      </c>
      <c r="H540">
        <v>0.755</v>
      </c>
      <c r="I540">
        <v>0.83499999999999996</v>
      </c>
      <c r="J540">
        <v>-6.7270000000000003</v>
      </c>
      <c r="K540">
        <v>1</v>
      </c>
      <c r="L540">
        <v>9</v>
      </c>
      <c r="M540">
        <v>5.3699999999999998E-2</v>
      </c>
      <c r="N540">
        <v>2.0199999999999999E-2</v>
      </c>
      <c r="O540">
        <v>9.990000000000001E-4</v>
      </c>
      <c r="P540">
        <v>0.14499999999999999</v>
      </c>
      <c r="Q540">
        <v>0.47099999999999997</v>
      </c>
      <c r="R540">
        <v>125.005</v>
      </c>
      <c r="S540">
        <v>4</v>
      </c>
      <c r="T540">
        <v>143040</v>
      </c>
      <c r="U540">
        <v>4</v>
      </c>
      <c r="V540">
        <v>143040</v>
      </c>
      <c r="W540">
        <v>4</v>
      </c>
      <c r="X540">
        <v>143040</v>
      </c>
      <c r="Y540" t="s">
        <v>17</v>
      </c>
      <c r="Z540" t="str">
        <f>LOOKUP(B540,{0,1083,124200,681950},{"1st","2nd","3rd","4th"})&amp;" Quartile"</f>
        <v>2nd Quartile</v>
      </c>
    </row>
    <row r="541" spans="1:26">
      <c r="A541">
        <v>2021</v>
      </c>
      <c r="B541">
        <v>59900</v>
      </c>
      <c r="C541" t="s">
        <v>1226</v>
      </c>
      <c r="D541" t="s">
        <v>1180</v>
      </c>
      <c r="E541">
        <v>83</v>
      </c>
      <c r="F541" t="s">
        <v>1225</v>
      </c>
      <c r="G541">
        <v>75</v>
      </c>
      <c r="H541">
        <v>0.79100000000000004</v>
      </c>
      <c r="I541">
        <v>0.754</v>
      </c>
      <c r="J541">
        <v>-3.7290000000000001</v>
      </c>
      <c r="K541">
        <v>1</v>
      </c>
      <c r="L541">
        <v>0</v>
      </c>
      <c r="M541">
        <v>5.6899999999999999E-2</v>
      </c>
      <c r="N541">
        <v>4.4600000000000004E-3</v>
      </c>
      <c r="O541">
        <v>0</v>
      </c>
      <c r="P541">
        <v>0.16300000000000001</v>
      </c>
      <c r="Q541">
        <v>0.42499999999999999</v>
      </c>
      <c r="R541">
        <v>125.014</v>
      </c>
      <c r="S541">
        <v>4</v>
      </c>
      <c r="T541">
        <v>234653</v>
      </c>
      <c r="U541">
        <v>4</v>
      </c>
      <c r="V541">
        <v>234653</v>
      </c>
      <c r="W541">
        <v>4</v>
      </c>
      <c r="X541">
        <v>234653</v>
      </c>
      <c r="Y541" t="s">
        <v>17</v>
      </c>
      <c r="Z541" t="str">
        <f>LOOKUP(B541,{0,1083,124200,681950},{"1st","2nd","3rd","4th"})&amp;" Quartile"</f>
        <v>2nd Quartile</v>
      </c>
    </row>
    <row r="542" spans="1:26">
      <c r="A542">
        <v>2019</v>
      </c>
      <c r="B542">
        <v>59100</v>
      </c>
      <c r="C542" t="s">
        <v>356</v>
      </c>
      <c r="D542" t="s">
        <v>357</v>
      </c>
      <c r="E542">
        <v>68</v>
      </c>
      <c r="F542" t="s">
        <v>356</v>
      </c>
      <c r="G542">
        <v>52</v>
      </c>
      <c r="H542">
        <v>0.81899999999999995</v>
      </c>
      <c r="I542">
        <v>0.66400000000000003</v>
      </c>
      <c r="J542">
        <v>-5.6120000000000001</v>
      </c>
      <c r="K542">
        <v>1</v>
      </c>
      <c r="L542">
        <v>7</v>
      </c>
      <c r="M542">
        <v>8.2799999999999999E-2</v>
      </c>
      <c r="N542">
        <v>9.5799999999999996E-2</v>
      </c>
      <c r="O542">
        <v>1.75E-6</v>
      </c>
      <c r="P542">
        <v>0.26300000000000001</v>
      </c>
      <c r="Q542">
        <v>0.71</v>
      </c>
      <c r="R542">
        <v>144.988</v>
      </c>
      <c r="S542">
        <v>4</v>
      </c>
      <c r="T542">
        <v>173473</v>
      </c>
      <c r="U542">
        <v>4</v>
      </c>
      <c r="V542">
        <v>173473</v>
      </c>
      <c r="W542">
        <v>4</v>
      </c>
      <c r="X542">
        <v>173473</v>
      </c>
      <c r="Y542" t="s">
        <v>17</v>
      </c>
      <c r="Z542" t="str">
        <f>LOOKUP(B542,{0,1083,124200,681950},{"1st","2nd","3rd","4th"})&amp;" Quartile"</f>
        <v>2nd Quartile</v>
      </c>
    </row>
    <row r="543" spans="1:26">
      <c r="A543">
        <v>2020</v>
      </c>
      <c r="B543">
        <v>58800</v>
      </c>
      <c r="C543" t="s">
        <v>786</v>
      </c>
      <c r="D543" t="s">
        <v>785</v>
      </c>
      <c r="E543">
        <v>74</v>
      </c>
      <c r="F543" t="s">
        <v>784</v>
      </c>
      <c r="G543">
        <v>77</v>
      </c>
      <c r="H543">
        <v>0.76300000000000001</v>
      </c>
      <c r="I543">
        <v>0.80300000000000005</v>
      </c>
      <c r="J543">
        <v>-3.7130000000000001</v>
      </c>
      <c r="K543">
        <v>1</v>
      </c>
      <c r="L543">
        <v>1</v>
      </c>
      <c r="M543">
        <v>3.5099999999999999E-2</v>
      </c>
      <c r="N543">
        <v>7.0900000000000005E-2</v>
      </c>
      <c r="O543">
        <v>0.28499999999999998</v>
      </c>
      <c r="P543">
        <v>0.34799999999999998</v>
      </c>
      <c r="Q543">
        <v>0.56100000000000005</v>
      </c>
      <c r="R543">
        <v>103.04</v>
      </c>
      <c r="S543">
        <v>3</v>
      </c>
      <c r="T543">
        <v>229640</v>
      </c>
      <c r="U543">
        <v>3</v>
      </c>
      <c r="V543">
        <v>229640</v>
      </c>
      <c r="W543">
        <v>3</v>
      </c>
      <c r="X543">
        <v>229640</v>
      </c>
      <c r="Y543" t="s">
        <v>17</v>
      </c>
      <c r="Z543" t="str">
        <f>LOOKUP(B543,{0,1083,124200,681950},{"1st","2nd","3rd","4th"})&amp;" Quartile"</f>
        <v>2nd Quartile</v>
      </c>
    </row>
    <row r="544" spans="1:26">
      <c r="A544">
        <v>2020</v>
      </c>
      <c r="B544">
        <v>57800</v>
      </c>
      <c r="C544" t="s">
        <v>637</v>
      </c>
      <c r="D544" t="s">
        <v>110</v>
      </c>
      <c r="E544">
        <v>75</v>
      </c>
      <c r="F544" t="s">
        <v>637</v>
      </c>
      <c r="G544">
        <v>62</v>
      </c>
      <c r="H544">
        <v>0.80100000000000005</v>
      </c>
      <c r="I544">
        <v>0.69799999999999995</v>
      </c>
      <c r="J544">
        <v>-8.9979999999999993</v>
      </c>
      <c r="K544">
        <v>0</v>
      </c>
      <c r="L544">
        <v>0</v>
      </c>
      <c r="M544">
        <v>0.33</v>
      </c>
      <c r="N544">
        <v>4.7699999999999999E-2</v>
      </c>
      <c r="O544">
        <v>1.46E-6</v>
      </c>
      <c r="P544">
        <v>0.184</v>
      </c>
      <c r="Q544">
        <v>0.502</v>
      </c>
      <c r="R544">
        <v>76.5</v>
      </c>
      <c r="S544">
        <v>4</v>
      </c>
      <c r="T544">
        <v>169020</v>
      </c>
      <c r="U544">
        <v>4</v>
      </c>
      <c r="V544">
        <v>169020</v>
      </c>
      <c r="W544">
        <v>4</v>
      </c>
      <c r="X544">
        <v>169020</v>
      </c>
      <c r="Y544" t="s">
        <v>17</v>
      </c>
      <c r="Z544" t="str">
        <f>LOOKUP(B544,{0,1083,124200,681950},{"1st","2nd","3rd","4th"})&amp;" Quartile"</f>
        <v>2nd Quartile</v>
      </c>
    </row>
    <row r="545" spans="1:26">
      <c r="A545">
        <v>2020</v>
      </c>
      <c r="B545">
        <v>57200</v>
      </c>
      <c r="C545" t="s">
        <v>875</v>
      </c>
      <c r="D545" t="s">
        <v>876</v>
      </c>
      <c r="E545">
        <v>53</v>
      </c>
      <c r="F545" t="s">
        <v>875</v>
      </c>
      <c r="G545">
        <v>70</v>
      </c>
      <c r="H545">
        <v>0.86599999999999999</v>
      </c>
      <c r="I545">
        <v>0.21099999999999999</v>
      </c>
      <c r="J545">
        <v>-12.676</v>
      </c>
      <c r="K545">
        <v>0</v>
      </c>
      <c r="L545">
        <v>11</v>
      </c>
      <c r="M545">
        <v>4.0399999999999998E-2</v>
      </c>
      <c r="N545">
        <v>0.97399999999999998</v>
      </c>
      <c r="O545">
        <v>0</v>
      </c>
      <c r="P545">
        <v>9.8699999999999996E-2</v>
      </c>
      <c r="Q545">
        <v>0.19800000000000001</v>
      </c>
      <c r="R545">
        <v>101.295</v>
      </c>
      <c r="S545">
        <v>4</v>
      </c>
      <c r="T545">
        <v>163902</v>
      </c>
      <c r="U545">
        <v>4</v>
      </c>
      <c r="V545">
        <v>163902</v>
      </c>
      <c r="W545">
        <v>4</v>
      </c>
      <c r="X545">
        <v>163902</v>
      </c>
      <c r="Y545" t="s">
        <v>17</v>
      </c>
      <c r="Z545" t="str">
        <f>LOOKUP(B545,{0,1083,124200,681950},{"1st","2nd","3rd","4th"})&amp;" Quartile"</f>
        <v>2nd Quartile</v>
      </c>
    </row>
    <row r="546" spans="1:26">
      <c r="A546">
        <v>2022</v>
      </c>
      <c r="B546">
        <v>55500</v>
      </c>
      <c r="C546" t="s">
        <v>744</v>
      </c>
      <c r="D546" t="s">
        <v>745</v>
      </c>
      <c r="E546">
        <v>39</v>
      </c>
      <c r="F546" t="s">
        <v>744</v>
      </c>
      <c r="G546">
        <v>2</v>
      </c>
      <c r="H546">
        <v>0.71399999999999997</v>
      </c>
      <c r="I546">
        <v>0.59399999999999997</v>
      </c>
      <c r="J546">
        <v>-10.63</v>
      </c>
      <c r="K546">
        <v>1</v>
      </c>
      <c r="L546">
        <v>0</v>
      </c>
      <c r="M546">
        <v>0.43</v>
      </c>
      <c r="N546">
        <v>0.96499999999999997</v>
      </c>
      <c r="O546">
        <v>0.255</v>
      </c>
      <c r="P546">
        <v>0.129</v>
      </c>
      <c r="Q546">
        <v>0.45</v>
      </c>
      <c r="R546">
        <v>169.83699999999999</v>
      </c>
      <c r="S546">
        <v>4</v>
      </c>
      <c r="T546">
        <v>158436</v>
      </c>
      <c r="U546">
        <v>4</v>
      </c>
      <c r="V546">
        <v>158436</v>
      </c>
      <c r="W546">
        <v>4</v>
      </c>
      <c r="X546">
        <v>158436</v>
      </c>
      <c r="Y546" t="s">
        <v>17</v>
      </c>
      <c r="Z546" t="str">
        <f>LOOKUP(B546,{0,1083,124200,681950},{"1st","2nd","3rd","4th"})&amp;" Quartile"</f>
        <v>2nd Quartile</v>
      </c>
    </row>
    <row r="547" spans="1:26">
      <c r="A547">
        <v>2020</v>
      </c>
      <c r="B547">
        <v>55400</v>
      </c>
      <c r="C547" t="s">
        <v>744</v>
      </c>
      <c r="D547" t="s">
        <v>745</v>
      </c>
      <c r="E547">
        <v>39</v>
      </c>
      <c r="F547" t="s">
        <v>744</v>
      </c>
      <c r="G547">
        <v>2</v>
      </c>
      <c r="H547">
        <v>0.71399999999999997</v>
      </c>
      <c r="I547">
        <v>0.59399999999999997</v>
      </c>
      <c r="J547">
        <v>-10.63</v>
      </c>
      <c r="K547">
        <v>1</v>
      </c>
      <c r="L547">
        <v>0</v>
      </c>
      <c r="M547">
        <v>0.43</v>
      </c>
      <c r="N547">
        <v>0.96499999999999997</v>
      </c>
      <c r="O547">
        <v>0.255</v>
      </c>
      <c r="P547">
        <v>0.129</v>
      </c>
      <c r="Q547">
        <v>0.45</v>
      </c>
      <c r="R547">
        <v>169.83699999999999</v>
      </c>
      <c r="S547">
        <v>4</v>
      </c>
      <c r="T547">
        <v>158436</v>
      </c>
      <c r="U547">
        <v>4</v>
      </c>
      <c r="V547">
        <v>158436</v>
      </c>
      <c r="W547">
        <v>4</v>
      </c>
      <c r="X547">
        <v>158436</v>
      </c>
      <c r="Y547" t="s">
        <v>17</v>
      </c>
      <c r="Z547" t="str">
        <f>LOOKUP(B547,{0,1083,124200,681950},{"1st","2nd","3rd","4th"})&amp;" Quartile"</f>
        <v>2nd Quartile</v>
      </c>
    </row>
    <row r="548" spans="1:26">
      <c r="A548">
        <v>2021</v>
      </c>
      <c r="B548">
        <v>54200</v>
      </c>
      <c r="C548" t="s">
        <v>1289</v>
      </c>
      <c r="D548" t="s">
        <v>1288</v>
      </c>
      <c r="E548">
        <v>85</v>
      </c>
      <c r="F548" t="s">
        <v>1287</v>
      </c>
      <c r="G548">
        <v>68</v>
      </c>
      <c r="H548">
        <v>0.74199999999999999</v>
      </c>
      <c r="I548">
        <v>0.71299999999999997</v>
      </c>
      <c r="J548">
        <v>-5.5220000000000002</v>
      </c>
      <c r="K548">
        <v>0</v>
      </c>
      <c r="L548">
        <v>1</v>
      </c>
      <c r="M548">
        <v>3.0300000000000001E-2</v>
      </c>
      <c r="N548">
        <v>2.0500000000000001E-2</v>
      </c>
      <c r="O548">
        <v>0</v>
      </c>
      <c r="P548">
        <v>5.8999999999999997E-2</v>
      </c>
      <c r="Q548">
        <v>0.879</v>
      </c>
      <c r="R548">
        <v>120.032</v>
      </c>
      <c r="S548">
        <v>4</v>
      </c>
      <c r="T548">
        <v>189960</v>
      </c>
      <c r="U548">
        <v>4</v>
      </c>
      <c r="V548">
        <v>189960</v>
      </c>
      <c r="W548">
        <v>4</v>
      </c>
      <c r="X548">
        <v>189960</v>
      </c>
      <c r="Y548" t="s">
        <v>17</v>
      </c>
      <c r="Z548" t="str">
        <f>LOOKUP(B548,{0,1083,124200,681950},{"1st","2nd","3rd","4th"})&amp;" Quartile"</f>
        <v>2nd Quartile</v>
      </c>
    </row>
    <row r="549" spans="1:26">
      <c r="A549">
        <v>2020</v>
      </c>
      <c r="B549">
        <v>52600</v>
      </c>
      <c r="C549" t="s">
        <v>725</v>
      </c>
      <c r="D549" t="s">
        <v>726</v>
      </c>
      <c r="E549">
        <v>54</v>
      </c>
      <c r="F549" t="s">
        <v>725</v>
      </c>
      <c r="G549">
        <v>70</v>
      </c>
      <c r="H549">
        <v>0.47</v>
      </c>
      <c r="I549">
        <v>0.436</v>
      </c>
      <c r="J549">
        <v>-10.228</v>
      </c>
      <c r="K549">
        <v>1</v>
      </c>
      <c r="L549">
        <v>0</v>
      </c>
      <c r="M549">
        <v>3.5099999999999999E-2</v>
      </c>
      <c r="N549">
        <v>0.67</v>
      </c>
      <c r="O549">
        <v>0.26300000000000001</v>
      </c>
      <c r="P549">
        <v>0.29399999999999998</v>
      </c>
      <c r="Q549">
        <v>3.8899999999999997E-2</v>
      </c>
      <c r="R549">
        <v>81.971999999999994</v>
      </c>
      <c r="S549">
        <v>3</v>
      </c>
      <c r="T549">
        <v>248056</v>
      </c>
      <c r="U549">
        <v>3</v>
      </c>
      <c r="V549">
        <v>248056</v>
      </c>
      <c r="W549">
        <v>3</v>
      </c>
      <c r="X549">
        <v>248056</v>
      </c>
      <c r="Y549" t="s">
        <v>17</v>
      </c>
      <c r="Z549" t="str">
        <f>LOOKUP(B549,{0,1083,124200,681950},{"1st","2nd","3rd","4th"})&amp;" Quartile"</f>
        <v>2nd Quartile</v>
      </c>
    </row>
    <row r="550" spans="1:26">
      <c r="A550">
        <v>2020</v>
      </c>
      <c r="B550">
        <v>51600</v>
      </c>
      <c r="C550" t="s">
        <v>663</v>
      </c>
      <c r="D550" t="s">
        <v>662</v>
      </c>
      <c r="E550">
        <v>95</v>
      </c>
      <c r="F550" t="s">
        <v>661</v>
      </c>
      <c r="G550">
        <v>71</v>
      </c>
      <c r="H550">
        <v>0.78100000000000003</v>
      </c>
      <c r="I550">
        <v>0.72099999999999997</v>
      </c>
      <c r="J550">
        <v>-9.1329999999999991</v>
      </c>
      <c r="K550">
        <v>0</v>
      </c>
      <c r="L550">
        <v>5</v>
      </c>
      <c r="M550">
        <v>5.1400000000000001E-2</v>
      </c>
      <c r="N550">
        <v>9.4500000000000001E-2</v>
      </c>
      <c r="O550">
        <v>0.39100000000000001</v>
      </c>
      <c r="P550">
        <v>0.104</v>
      </c>
      <c r="Q550">
        <v>0.84899999999999998</v>
      </c>
      <c r="R550">
        <v>123.011</v>
      </c>
      <c r="S550">
        <v>4</v>
      </c>
      <c r="T550">
        <v>250337</v>
      </c>
      <c r="U550">
        <v>4</v>
      </c>
      <c r="V550">
        <v>250337</v>
      </c>
      <c r="W550">
        <v>4</v>
      </c>
      <c r="X550">
        <v>250337</v>
      </c>
      <c r="Y550" t="s">
        <v>17</v>
      </c>
      <c r="Z550" t="str">
        <f>LOOKUP(B550,{0,1083,124200,681950},{"1st","2nd","3rd","4th"})&amp;" Quartile"</f>
        <v>2nd Quartile</v>
      </c>
    </row>
    <row r="551" spans="1:26">
      <c r="A551">
        <v>2019</v>
      </c>
      <c r="B551">
        <v>47400</v>
      </c>
      <c r="C551" t="s">
        <v>249</v>
      </c>
      <c r="D551" t="s">
        <v>248</v>
      </c>
      <c r="E551">
        <v>75</v>
      </c>
      <c r="F551" t="s">
        <v>247</v>
      </c>
      <c r="G551">
        <v>74</v>
      </c>
      <c r="H551">
        <v>0.67900000000000005</v>
      </c>
      <c r="I551">
        <v>0.71499999999999997</v>
      </c>
      <c r="J551">
        <v>-6.383</v>
      </c>
      <c r="K551">
        <v>1</v>
      </c>
      <c r="L551">
        <v>9</v>
      </c>
      <c r="M551">
        <v>4.07E-2</v>
      </c>
      <c r="N551">
        <v>7.5499999999999998E-2</v>
      </c>
      <c r="O551">
        <v>0</v>
      </c>
      <c r="P551">
        <v>0.27100000000000002</v>
      </c>
      <c r="Q551">
        <v>0.57099999999999995</v>
      </c>
      <c r="R551">
        <v>127.435</v>
      </c>
      <c r="S551">
        <v>4</v>
      </c>
      <c r="T551">
        <v>214148</v>
      </c>
      <c r="U551">
        <v>4</v>
      </c>
      <c r="V551">
        <v>214148</v>
      </c>
      <c r="W551">
        <v>4</v>
      </c>
      <c r="X551">
        <v>214148</v>
      </c>
      <c r="Y551" t="s">
        <v>17</v>
      </c>
      <c r="Z551" t="str">
        <f>LOOKUP(B551,{0,1083,124200,681950},{"1st","2nd","3rd","4th"})&amp;" Quartile"</f>
        <v>2nd Quartile</v>
      </c>
    </row>
    <row r="552" spans="1:26">
      <c r="A552">
        <v>2020</v>
      </c>
      <c r="B552">
        <v>47000</v>
      </c>
      <c r="C552" t="s">
        <v>631</v>
      </c>
      <c r="D552" t="s">
        <v>632</v>
      </c>
      <c r="E552">
        <v>68</v>
      </c>
      <c r="F552" t="s">
        <v>631</v>
      </c>
      <c r="G552">
        <v>71</v>
      </c>
      <c r="H552">
        <v>0.74</v>
      </c>
      <c r="I552">
        <v>0.41499999999999998</v>
      </c>
      <c r="J552">
        <v>-8.9139999999999997</v>
      </c>
      <c r="K552">
        <v>1</v>
      </c>
      <c r="L552">
        <v>0</v>
      </c>
      <c r="M552">
        <v>7.0699999999999999E-2</v>
      </c>
      <c r="N552">
        <v>0.24199999999999999</v>
      </c>
      <c r="O552">
        <v>1.56E-4</v>
      </c>
      <c r="P552">
        <v>0.31900000000000001</v>
      </c>
      <c r="Q552">
        <v>0.156</v>
      </c>
      <c r="R552">
        <v>136.029</v>
      </c>
      <c r="S552">
        <v>4</v>
      </c>
      <c r="T552">
        <v>180161</v>
      </c>
      <c r="U552">
        <v>4</v>
      </c>
      <c r="V552">
        <v>180161</v>
      </c>
      <c r="W552">
        <v>4</v>
      </c>
      <c r="X552">
        <v>180161</v>
      </c>
      <c r="Y552" t="s">
        <v>17</v>
      </c>
      <c r="Z552" t="str">
        <f>LOOKUP(B552,{0,1083,124200,681950},{"1st","2nd","3rd","4th"})&amp;" Quartile"</f>
        <v>2nd Quartile</v>
      </c>
    </row>
    <row r="553" spans="1:26">
      <c r="A553">
        <v>2019</v>
      </c>
      <c r="B553">
        <v>46000</v>
      </c>
      <c r="C553" t="s">
        <v>443</v>
      </c>
      <c r="D553" t="s">
        <v>442</v>
      </c>
      <c r="E553">
        <v>72</v>
      </c>
      <c r="F553" t="s">
        <v>441</v>
      </c>
      <c r="G553">
        <v>61</v>
      </c>
      <c r="H553">
        <v>0.96499999999999997</v>
      </c>
      <c r="I553">
        <v>0.78300000000000003</v>
      </c>
      <c r="J553">
        <v>-6.8979999999999997</v>
      </c>
      <c r="K553">
        <v>0</v>
      </c>
      <c r="L553">
        <v>6</v>
      </c>
      <c r="M553">
        <v>9.8000000000000004E-2</v>
      </c>
      <c r="N553">
        <v>0.14099999999999999</v>
      </c>
      <c r="O553">
        <v>2.31E-4</v>
      </c>
      <c r="P553">
        <v>0.109</v>
      </c>
      <c r="Q553">
        <v>0.86299999999999999</v>
      </c>
      <c r="R553">
        <v>119.94</v>
      </c>
      <c r="S553">
        <v>4</v>
      </c>
      <c r="T553">
        <v>201640</v>
      </c>
      <c r="U553">
        <v>4</v>
      </c>
      <c r="V553">
        <v>201640</v>
      </c>
      <c r="W553">
        <v>4</v>
      </c>
      <c r="X553">
        <v>201640</v>
      </c>
      <c r="Y553" t="s">
        <v>17</v>
      </c>
      <c r="Z553" t="str">
        <f>LOOKUP(B553,{0,1083,124200,681950},{"1st","2nd","3rd","4th"})&amp;" Quartile"</f>
        <v>2nd Quartile</v>
      </c>
    </row>
    <row r="554" spans="1:26">
      <c r="A554">
        <v>2020</v>
      </c>
      <c r="B554">
        <v>45700</v>
      </c>
      <c r="C554" t="s">
        <v>752</v>
      </c>
      <c r="D554" t="s">
        <v>751</v>
      </c>
      <c r="E554">
        <v>86</v>
      </c>
      <c r="F554" t="s">
        <v>750</v>
      </c>
      <c r="G554">
        <v>78</v>
      </c>
      <c r="H554">
        <v>0.64600000000000002</v>
      </c>
      <c r="I554">
        <v>0.82299999999999995</v>
      </c>
      <c r="J554">
        <v>-4.1230000000000002</v>
      </c>
      <c r="K554">
        <v>0</v>
      </c>
      <c r="L554">
        <v>2</v>
      </c>
      <c r="M554">
        <v>3.9399999999999998E-2</v>
      </c>
      <c r="N554">
        <v>0.21299999999999999</v>
      </c>
      <c r="O554">
        <v>0</v>
      </c>
      <c r="P554">
        <v>0.32200000000000001</v>
      </c>
      <c r="Q554">
        <v>0.41799999999999998</v>
      </c>
      <c r="R554">
        <v>128.035</v>
      </c>
      <c r="S554">
        <v>4</v>
      </c>
      <c r="T554">
        <v>227267</v>
      </c>
      <c r="U554">
        <v>4</v>
      </c>
      <c r="V554">
        <v>227267</v>
      </c>
      <c r="W554">
        <v>4</v>
      </c>
      <c r="X554">
        <v>227267</v>
      </c>
      <c r="Y554" t="s">
        <v>17</v>
      </c>
      <c r="Z554" t="str">
        <f>LOOKUP(B554,{0,1083,124200,681950},{"1st","2nd","3rd","4th"})&amp;" Quartile"</f>
        <v>2nd Quartile</v>
      </c>
    </row>
    <row r="555" spans="1:26">
      <c r="A555">
        <v>2019</v>
      </c>
      <c r="B555">
        <v>45500</v>
      </c>
      <c r="C555" t="s">
        <v>310</v>
      </c>
      <c r="D555" t="s">
        <v>311</v>
      </c>
      <c r="E555">
        <v>79</v>
      </c>
      <c r="F555" t="s">
        <v>310</v>
      </c>
      <c r="G555">
        <v>79</v>
      </c>
      <c r="H555">
        <v>0.57499999999999996</v>
      </c>
      <c r="I555">
        <v>0.71399999999999997</v>
      </c>
      <c r="J555">
        <v>-5.2469999999999999</v>
      </c>
      <c r="K555">
        <v>1</v>
      </c>
      <c r="L555">
        <v>6</v>
      </c>
      <c r="M555">
        <v>5.96E-2</v>
      </c>
      <c r="N555">
        <v>0.39500000000000002</v>
      </c>
      <c r="O555">
        <v>0</v>
      </c>
      <c r="P555">
        <v>0.115</v>
      </c>
      <c r="Q555">
        <v>0.32</v>
      </c>
      <c r="R555">
        <v>144.982</v>
      </c>
      <c r="S555">
        <v>4</v>
      </c>
      <c r="T555">
        <v>262231</v>
      </c>
      <c r="U555">
        <v>4</v>
      </c>
      <c r="V555">
        <v>262231</v>
      </c>
      <c r="W555">
        <v>4</v>
      </c>
      <c r="X555">
        <v>262231</v>
      </c>
      <c r="Y555" t="s">
        <v>17</v>
      </c>
      <c r="Z555" t="str">
        <f>LOOKUP(B555,{0,1083,124200,681950},{"1st","2nd","3rd","4th"})&amp;" Quartile"</f>
        <v>2nd Quartile</v>
      </c>
    </row>
    <row r="556" spans="1:26">
      <c r="A556">
        <v>2021</v>
      </c>
      <c r="B556">
        <v>45100</v>
      </c>
      <c r="C556" t="s">
        <v>1509</v>
      </c>
      <c r="D556" t="s">
        <v>1122</v>
      </c>
      <c r="E556">
        <v>71</v>
      </c>
      <c r="F556" t="s">
        <v>1509</v>
      </c>
      <c r="G556">
        <v>78</v>
      </c>
      <c r="H556">
        <v>0.38600000000000001</v>
      </c>
      <c r="I556">
        <v>0.42599999999999999</v>
      </c>
      <c r="J556">
        <v>-6.6420000000000003</v>
      </c>
      <c r="K556">
        <v>1</v>
      </c>
      <c r="L556">
        <v>3</v>
      </c>
      <c r="M556">
        <v>3.6299999999999999E-2</v>
      </c>
      <c r="N556">
        <v>0.80700000000000005</v>
      </c>
      <c r="O556">
        <v>0</v>
      </c>
      <c r="P556">
        <v>0.14000000000000001</v>
      </c>
      <c r="Q556">
        <v>0.26100000000000001</v>
      </c>
      <c r="R556">
        <v>180.10400000000001</v>
      </c>
      <c r="S556">
        <v>3</v>
      </c>
      <c r="T556">
        <v>203385</v>
      </c>
      <c r="U556">
        <v>3</v>
      </c>
      <c r="V556">
        <v>203385</v>
      </c>
      <c r="W556">
        <v>3</v>
      </c>
      <c r="X556">
        <v>203385</v>
      </c>
      <c r="Y556" t="s">
        <v>17</v>
      </c>
      <c r="Z556" t="str">
        <f>LOOKUP(B556,{0,1083,124200,681950},{"1st","2nd","3rd","4th"})&amp;" Quartile"</f>
        <v>2nd Quartile</v>
      </c>
    </row>
    <row r="557" spans="1:26">
      <c r="A557">
        <v>2020</v>
      </c>
      <c r="B557">
        <v>43100</v>
      </c>
      <c r="C557" t="s">
        <v>897</v>
      </c>
      <c r="D557" t="s">
        <v>367</v>
      </c>
      <c r="E557">
        <v>90</v>
      </c>
      <c r="F557" t="s">
        <v>896</v>
      </c>
      <c r="G557">
        <v>20</v>
      </c>
      <c r="H557">
        <v>0.61699999999999999</v>
      </c>
      <c r="I557">
        <v>0.71699999999999997</v>
      </c>
      <c r="J557">
        <v>-7.8579999999999997</v>
      </c>
      <c r="K557">
        <v>0</v>
      </c>
      <c r="L557">
        <v>10</v>
      </c>
      <c r="M557">
        <v>0.153</v>
      </c>
      <c r="N557">
        <v>5.64E-3</v>
      </c>
      <c r="O557">
        <v>0</v>
      </c>
      <c r="P557">
        <v>0.40799999999999997</v>
      </c>
      <c r="Q557">
        <v>0.49</v>
      </c>
      <c r="R557">
        <v>103.992</v>
      </c>
      <c r="S557">
        <v>4</v>
      </c>
      <c r="T557">
        <v>311867</v>
      </c>
      <c r="U557">
        <v>4</v>
      </c>
      <c r="V557">
        <v>311867</v>
      </c>
      <c r="W557">
        <v>4</v>
      </c>
      <c r="X557">
        <v>311867</v>
      </c>
      <c r="Y557" t="s">
        <v>17</v>
      </c>
      <c r="Z557" t="str">
        <f>LOOKUP(B557,{0,1083,124200,681950},{"1st","2nd","3rd","4th"})&amp;" Quartile"</f>
        <v>2nd Quartile</v>
      </c>
    </row>
    <row r="558" spans="1:26">
      <c r="A558">
        <v>2022</v>
      </c>
      <c r="B558">
        <v>42500</v>
      </c>
      <c r="C558" t="s">
        <v>1549</v>
      </c>
      <c r="D558" t="s">
        <v>1550</v>
      </c>
      <c r="E558">
        <v>41</v>
      </c>
      <c r="F558" t="s">
        <v>1549</v>
      </c>
      <c r="G558">
        <v>44</v>
      </c>
      <c r="H558">
        <v>0.71199999999999997</v>
      </c>
      <c r="I558">
        <v>0.80300000000000005</v>
      </c>
      <c r="J558">
        <v>-7.2060000000000004</v>
      </c>
      <c r="K558">
        <v>1</v>
      </c>
      <c r="L558">
        <v>7</v>
      </c>
      <c r="M558">
        <v>2.76E-2</v>
      </c>
      <c r="N558">
        <v>5.3699999999999998E-3</v>
      </c>
      <c r="O558">
        <v>9.8099999999999999E-5</v>
      </c>
      <c r="P558">
        <v>0.307</v>
      </c>
      <c r="Q558">
        <v>0.308</v>
      </c>
      <c r="R558">
        <v>120.018</v>
      </c>
      <c r="S558">
        <v>4</v>
      </c>
      <c r="T558">
        <v>201005</v>
      </c>
      <c r="U558">
        <v>4</v>
      </c>
      <c r="V558">
        <v>201005</v>
      </c>
      <c r="W558">
        <v>4</v>
      </c>
      <c r="X558">
        <v>201005</v>
      </c>
      <c r="Y558" t="s">
        <v>17</v>
      </c>
      <c r="Z558" t="str">
        <f>LOOKUP(B558,{0,1083,124200,681950},{"1st","2nd","3rd","4th"})&amp;" Quartile"</f>
        <v>2nd Quartile</v>
      </c>
    </row>
    <row r="559" spans="1:26">
      <c r="A559">
        <v>2020</v>
      </c>
      <c r="B559">
        <v>42400</v>
      </c>
      <c r="C559" t="s">
        <v>1038</v>
      </c>
      <c r="D559" t="s">
        <v>175</v>
      </c>
      <c r="E559">
        <v>88</v>
      </c>
      <c r="F559" t="s">
        <v>174</v>
      </c>
      <c r="G559">
        <v>73</v>
      </c>
      <c r="H559">
        <v>0.78500000000000003</v>
      </c>
      <c r="I559">
        <v>0.65200000000000002</v>
      </c>
      <c r="J559">
        <v>-2.6070000000000002</v>
      </c>
      <c r="K559">
        <v>1</v>
      </c>
      <c r="L559">
        <v>0</v>
      </c>
      <c r="M559">
        <v>6.6799999999999998E-2</v>
      </c>
      <c r="N559">
        <v>0.10199999999999999</v>
      </c>
      <c r="O559">
        <v>0</v>
      </c>
      <c r="P559">
        <v>6.9699999999999998E-2</v>
      </c>
      <c r="Q559">
        <v>0.48399999999999999</v>
      </c>
      <c r="R559">
        <v>170.024</v>
      </c>
      <c r="S559">
        <v>4</v>
      </c>
      <c r="T559">
        <v>203093</v>
      </c>
      <c r="U559">
        <v>4</v>
      </c>
      <c r="V559">
        <v>203093</v>
      </c>
      <c r="W559">
        <v>4</v>
      </c>
      <c r="X559">
        <v>203093</v>
      </c>
      <c r="Y559" t="s">
        <v>17</v>
      </c>
      <c r="Z559" t="str">
        <f>LOOKUP(B559,{0,1083,124200,681950},{"1st","2nd","3rd","4th"})&amp;" Quartile"</f>
        <v>2nd Quartile</v>
      </c>
    </row>
    <row r="560" spans="1:26">
      <c r="A560">
        <v>2019</v>
      </c>
      <c r="B560">
        <v>42100</v>
      </c>
      <c r="C560" t="s">
        <v>492</v>
      </c>
      <c r="D560" t="s">
        <v>469</v>
      </c>
      <c r="E560">
        <v>42</v>
      </c>
      <c r="F560" t="s">
        <v>492</v>
      </c>
      <c r="G560">
        <v>31</v>
      </c>
      <c r="H560">
        <v>0.746</v>
      </c>
      <c r="I560">
        <v>0.41899999999999998</v>
      </c>
      <c r="J560">
        <v>-9.0830000000000002</v>
      </c>
      <c r="K560">
        <v>1</v>
      </c>
      <c r="L560">
        <v>5</v>
      </c>
      <c r="M560">
        <v>0.47799999999999998</v>
      </c>
      <c r="N560">
        <v>8.2799999999999999E-2</v>
      </c>
      <c r="O560">
        <v>4.5700000000000003E-3</v>
      </c>
      <c r="P560">
        <v>0.56100000000000005</v>
      </c>
      <c r="Q560">
        <v>0.42099999999999999</v>
      </c>
      <c r="R560">
        <v>145.059</v>
      </c>
      <c r="S560">
        <v>4</v>
      </c>
      <c r="T560">
        <v>43427</v>
      </c>
      <c r="U560">
        <v>4</v>
      </c>
      <c r="V560">
        <v>43427</v>
      </c>
      <c r="W560">
        <v>4</v>
      </c>
      <c r="X560">
        <v>43427</v>
      </c>
      <c r="Y560" t="s">
        <v>17</v>
      </c>
      <c r="Z560" t="str">
        <f>LOOKUP(B560,{0,1083,124200,681950},{"1st","2nd","3rd","4th"})&amp;" Quartile"</f>
        <v>2nd Quartile</v>
      </c>
    </row>
    <row r="561" spans="1:26">
      <c r="A561">
        <v>2019</v>
      </c>
      <c r="B561">
        <v>42100</v>
      </c>
      <c r="C561" t="s">
        <v>270</v>
      </c>
      <c r="D561" t="s">
        <v>271</v>
      </c>
      <c r="E561">
        <v>33</v>
      </c>
      <c r="F561" t="s">
        <v>270</v>
      </c>
      <c r="G561">
        <v>50</v>
      </c>
      <c r="H561">
        <v>0.878</v>
      </c>
      <c r="I561">
        <v>0.41399999999999998</v>
      </c>
      <c r="J561">
        <v>-11.881</v>
      </c>
      <c r="K561">
        <v>1</v>
      </c>
      <c r="L561">
        <v>8</v>
      </c>
      <c r="M561">
        <v>0.66300000000000003</v>
      </c>
      <c r="N561">
        <v>1.3899999999999999E-2</v>
      </c>
      <c r="O561">
        <v>4.1099999999999996E-6</v>
      </c>
      <c r="P561">
        <v>9.35E-2</v>
      </c>
      <c r="Q561">
        <v>0.13900000000000001</v>
      </c>
      <c r="R561">
        <v>154.83099999999999</v>
      </c>
      <c r="S561">
        <v>4</v>
      </c>
      <c r="T561">
        <v>113502</v>
      </c>
      <c r="U561">
        <v>4</v>
      </c>
      <c r="V561">
        <v>113502</v>
      </c>
      <c r="W561">
        <v>4</v>
      </c>
      <c r="X561">
        <v>113502</v>
      </c>
      <c r="Y561" t="s">
        <v>17</v>
      </c>
      <c r="Z561" t="str">
        <f>LOOKUP(B561,{0,1083,124200,681950},{"1st","2nd","3rd","4th"})&amp;" Quartile"</f>
        <v>2nd Quartile</v>
      </c>
    </row>
    <row r="562" spans="1:26">
      <c r="A562">
        <v>2020</v>
      </c>
      <c r="B562">
        <v>40100</v>
      </c>
      <c r="C562" t="s">
        <v>807</v>
      </c>
      <c r="D562" t="s">
        <v>808</v>
      </c>
      <c r="E562">
        <v>79</v>
      </c>
      <c r="F562" t="s">
        <v>807</v>
      </c>
      <c r="G562">
        <v>53</v>
      </c>
      <c r="H562">
        <v>0.92800000000000005</v>
      </c>
      <c r="I562">
        <v>0.372</v>
      </c>
      <c r="J562">
        <v>-10.393000000000001</v>
      </c>
      <c r="K562">
        <v>1</v>
      </c>
      <c r="L562">
        <v>1</v>
      </c>
      <c r="M562">
        <v>0.32100000000000001</v>
      </c>
      <c r="N562">
        <v>2.0199999999999999E-2</v>
      </c>
      <c r="O562">
        <v>9.5999999999999996E-6</v>
      </c>
      <c r="P562">
        <v>9.4799999999999995E-2</v>
      </c>
      <c r="Q562">
        <v>0.73199999999999998</v>
      </c>
      <c r="R562">
        <v>112.458</v>
      </c>
      <c r="S562">
        <v>4</v>
      </c>
      <c r="T562">
        <v>174933</v>
      </c>
      <c r="U562">
        <v>4</v>
      </c>
      <c r="V562">
        <v>174933</v>
      </c>
      <c r="W562">
        <v>4</v>
      </c>
      <c r="X562">
        <v>174933</v>
      </c>
      <c r="Y562" t="s">
        <v>17</v>
      </c>
      <c r="Z562" t="str">
        <f>LOOKUP(B562,{0,1083,124200,681950},{"1st","2nd","3rd","4th"})&amp;" Quartile"</f>
        <v>2nd Quartile</v>
      </c>
    </row>
    <row r="563" spans="1:26">
      <c r="A563">
        <v>2019</v>
      </c>
      <c r="B563">
        <v>38100</v>
      </c>
      <c r="C563" t="s">
        <v>66</v>
      </c>
      <c r="D563" t="s">
        <v>67</v>
      </c>
      <c r="E563">
        <v>69</v>
      </c>
      <c r="F563" t="s">
        <v>66</v>
      </c>
      <c r="G563">
        <v>74</v>
      </c>
      <c r="H563">
        <v>0.72</v>
      </c>
      <c r="I563">
        <v>0.60699999999999998</v>
      </c>
      <c r="J563">
        <v>-4.1680000000000001</v>
      </c>
      <c r="K563">
        <v>1</v>
      </c>
      <c r="L563">
        <v>1</v>
      </c>
      <c r="M563">
        <v>3.2199999999999999E-2</v>
      </c>
      <c r="N563">
        <v>5.4300000000000001E-2</v>
      </c>
      <c r="O563">
        <v>0</v>
      </c>
      <c r="P563">
        <v>0.113</v>
      </c>
      <c r="Q563">
        <v>0.82799999999999996</v>
      </c>
      <c r="R563">
        <v>121.223</v>
      </c>
      <c r="S563">
        <v>4</v>
      </c>
      <c r="T563">
        <v>201947</v>
      </c>
      <c r="U563">
        <v>4</v>
      </c>
      <c r="V563">
        <v>201947</v>
      </c>
      <c r="W563">
        <v>4</v>
      </c>
      <c r="X563">
        <v>201947</v>
      </c>
      <c r="Y563" t="s">
        <v>17</v>
      </c>
      <c r="Z563" t="str">
        <f>LOOKUP(B563,{0,1083,124200,681950},{"1st","2nd","3rd","4th"})&amp;" Quartile"</f>
        <v>2nd Quartile</v>
      </c>
    </row>
    <row r="564" spans="1:26">
      <c r="A564">
        <v>2022</v>
      </c>
      <c r="B564">
        <v>36600</v>
      </c>
      <c r="C564" t="s">
        <v>1671</v>
      </c>
      <c r="D564" t="s">
        <v>1672</v>
      </c>
      <c r="E564">
        <v>51</v>
      </c>
      <c r="F564" t="s">
        <v>1671</v>
      </c>
      <c r="G564">
        <v>66</v>
      </c>
      <c r="H564">
        <v>0.79900000000000004</v>
      </c>
      <c r="I564">
        <v>0.54300000000000004</v>
      </c>
      <c r="J564">
        <v>-6.0940000000000003</v>
      </c>
      <c r="K564">
        <v>0</v>
      </c>
      <c r="L564">
        <v>10</v>
      </c>
      <c r="M564">
        <v>0.24</v>
      </c>
      <c r="N564">
        <v>5.1200000000000002E-2</v>
      </c>
      <c r="O564">
        <v>4.2500000000000003E-2</v>
      </c>
      <c r="P564">
        <v>0.13400000000000001</v>
      </c>
      <c r="Q564">
        <v>0.25</v>
      </c>
      <c r="R564">
        <v>187.90600000000001</v>
      </c>
      <c r="S564">
        <v>4</v>
      </c>
      <c r="T564">
        <v>85742</v>
      </c>
      <c r="U564">
        <v>4</v>
      </c>
      <c r="V564">
        <v>85742</v>
      </c>
      <c r="W564">
        <v>4</v>
      </c>
      <c r="X564">
        <v>85742</v>
      </c>
      <c r="Y564" t="s">
        <v>17</v>
      </c>
      <c r="Z564" t="str">
        <f>LOOKUP(B564,{0,1083,124200,681950},{"1st","2nd","3rd","4th"})&amp;" Quartile"</f>
        <v>2nd Quartile</v>
      </c>
    </row>
    <row r="565" spans="1:26">
      <c r="A565">
        <v>2020</v>
      </c>
      <c r="B565">
        <v>34700</v>
      </c>
      <c r="C565" t="s">
        <v>680</v>
      </c>
      <c r="D565" t="s">
        <v>679</v>
      </c>
      <c r="E565">
        <v>78</v>
      </c>
      <c r="F565" t="s">
        <v>678</v>
      </c>
      <c r="G565">
        <v>74</v>
      </c>
      <c r="H565">
        <v>0.60199999999999998</v>
      </c>
      <c r="I565">
        <v>0.88100000000000001</v>
      </c>
      <c r="J565">
        <v>-5.875</v>
      </c>
      <c r="K565">
        <v>0</v>
      </c>
      <c r="L565">
        <v>1</v>
      </c>
      <c r="M565">
        <v>4.4299999999999999E-2</v>
      </c>
      <c r="N565">
        <v>4.62E-3</v>
      </c>
      <c r="O565">
        <v>2.6599999999999999E-2</v>
      </c>
      <c r="P565">
        <v>0.111</v>
      </c>
      <c r="Q565">
        <v>0.57699999999999996</v>
      </c>
      <c r="R565">
        <v>125.012</v>
      </c>
      <c r="S565">
        <v>4</v>
      </c>
      <c r="T565">
        <v>467587</v>
      </c>
      <c r="U565">
        <v>4</v>
      </c>
      <c r="V565">
        <v>467587</v>
      </c>
      <c r="W565">
        <v>4</v>
      </c>
      <c r="X565">
        <v>467587</v>
      </c>
      <c r="Y565" t="s">
        <v>17</v>
      </c>
      <c r="Z565" t="str">
        <f>LOOKUP(B565,{0,1083,124200,681950},{"1st","2nd","3rd","4th"})&amp;" Quartile"</f>
        <v>2nd Quartile</v>
      </c>
    </row>
    <row r="566" spans="1:26">
      <c r="A566">
        <v>2020</v>
      </c>
      <c r="B566">
        <v>32000</v>
      </c>
      <c r="C566" t="s">
        <v>1138</v>
      </c>
      <c r="D566" t="s">
        <v>328</v>
      </c>
      <c r="E566">
        <v>84</v>
      </c>
      <c r="F566" t="s">
        <v>1137</v>
      </c>
      <c r="G566">
        <v>66</v>
      </c>
      <c r="H566">
        <v>0.65800000000000003</v>
      </c>
      <c r="I566">
        <v>0.878</v>
      </c>
      <c r="J566">
        <v>-3.875</v>
      </c>
      <c r="K566">
        <v>1</v>
      </c>
      <c r="L566">
        <v>1</v>
      </c>
      <c r="M566">
        <v>0.123</v>
      </c>
      <c r="N566">
        <v>7.92E-3</v>
      </c>
      <c r="O566">
        <v>0</v>
      </c>
      <c r="P566">
        <v>0.94399999999999995</v>
      </c>
      <c r="Q566">
        <v>0.68300000000000005</v>
      </c>
      <c r="R566">
        <v>122.015</v>
      </c>
      <c r="S566">
        <v>4</v>
      </c>
      <c r="T566">
        <v>186653</v>
      </c>
      <c r="U566">
        <v>4</v>
      </c>
      <c r="V566">
        <v>186653</v>
      </c>
      <c r="W566">
        <v>4</v>
      </c>
      <c r="X566">
        <v>186653</v>
      </c>
      <c r="Y566" t="s">
        <v>17</v>
      </c>
      <c r="Z566" t="str">
        <f>LOOKUP(B566,{0,1083,124200,681950},{"1st","2nd","3rd","4th"})&amp;" Quartile"</f>
        <v>2nd Quartile</v>
      </c>
    </row>
    <row r="567" spans="1:26">
      <c r="A567">
        <v>2022</v>
      </c>
      <c r="B567">
        <v>31600</v>
      </c>
      <c r="C567" t="s">
        <v>686</v>
      </c>
      <c r="D567" t="s">
        <v>1710</v>
      </c>
      <c r="E567">
        <v>39</v>
      </c>
      <c r="F567" t="s">
        <v>686</v>
      </c>
      <c r="G567">
        <v>50</v>
      </c>
      <c r="H567">
        <v>0.76400000000000001</v>
      </c>
      <c r="I567">
        <v>0.79300000000000004</v>
      </c>
      <c r="J567">
        <v>-6.5060000000000002</v>
      </c>
      <c r="K567">
        <v>0</v>
      </c>
      <c r="L567">
        <v>5</v>
      </c>
      <c r="M567">
        <v>7.0900000000000005E-2</v>
      </c>
      <c r="N567">
        <v>1.32E-2</v>
      </c>
      <c r="O567">
        <v>9.7999999999999997E-4</v>
      </c>
      <c r="P567">
        <v>0.31900000000000001</v>
      </c>
      <c r="Q567">
        <v>0.127</v>
      </c>
      <c r="R567">
        <v>124.084</v>
      </c>
      <c r="S567">
        <v>4</v>
      </c>
      <c r="T567">
        <v>129677</v>
      </c>
      <c r="U567">
        <v>4</v>
      </c>
      <c r="V567">
        <v>129677</v>
      </c>
      <c r="W567">
        <v>4</v>
      </c>
      <c r="X567">
        <v>129677</v>
      </c>
      <c r="Y567" t="s">
        <v>17</v>
      </c>
      <c r="Z567" t="str">
        <f>LOOKUP(B567,{0,1083,124200,681950},{"1st","2nd","3rd","4th"})&amp;" Quartile"</f>
        <v>2nd Quartile</v>
      </c>
    </row>
    <row r="568" spans="1:26">
      <c r="A568">
        <v>2021</v>
      </c>
      <c r="B568">
        <v>31400</v>
      </c>
      <c r="C568" t="s">
        <v>1506</v>
      </c>
      <c r="D568" t="s">
        <v>1505</v>
      </c>
      <c r="E568">
        <v>54</v>
      </c>
      <c r="F568" t="s">
        <v>1504</v>
      </c>
      <c r="G568">
        <v>39</v>
      </c>
      <c r="H568">
        <v>0.65100000000000002</v>
      </c>
      <c r="I568">
        <v>0.59499999999999997</v>
      </c>
      <c r="J568">
        <v>-6.8890000000000002</v>
      </c>
      <c r="K568">
        <v>1</v>
      </c>
      <c r="L568">
        <v>8</v>
      </c>
      <c r="M568">
        <v>0.17899999999999999</v>
      </c>
      <c r="N568">
        <v>0.27900000000000003</v>
      </c>
      <c r="O568">
        <v>0</v>
      </c>
      <c r="P568">
        <v>0.24099999999999999</v>
      </c>
      <c r="Q568">
        <v>0.81599999999999995</v>
      </c>
      <c r="R568">
        <v>116.92</v>
      </c>
      <c r="S568">
        <v>5</v>
      </c>
      <c r="T568">
        <v>190080</v>
      </c>
      <c r="U568">
        <v>5</v>
      </c>
      <c r="V568">
        <v>190080</v>
      </c>
      <c r="W568">
        <v>5</v>
      </c>
      <c r="X568">
        <v>190080</v>
      </c>
      <c r="Y568" t="s">
        <v>17</v>
      </c>
      <c r="Z568" t="str">
        <f>LOOKUP(B568,{0,1083,124200,681950},{"1st","2nd","3rd","4th"})&amp;" Quartile"</f>
        <v>2nd Quartile</v>
      </c>
    </row>
    <row r="569" spans="1:26">
      <c r="A569">
        <v>2022</v>
      </c>
      <c r="B569">
        <v>31100</v>
      </c>
      <c r="C569" t="s">
        <v>1517</v>
      </c>
      <c r="D569" t="s">
        <v>1518</v>
      </c>
      <c r="E569">
        <v>72</v>
      </c>
      <c r="F569" t="s">
        <v>1517</v>
      </c>
      <c r="G569">
        <v>77</v>
      </c>
      <c r="H569">
        <v>0.81499999999999995</v>
      </c>
      <c r="I569">
        <v>0.84799999999999998</v>
      </c>
      <c r="J569">
        <v>-4.7039999999999997</v>
      </c>
      <c r="K569">
        <v>0</v>
      </c>
      <c r="L569">
        <v>4</v>
      </c>
      <c r="M569">
        <v>0.115</v>
      </c>
      <c r="N569">
        <v>2.3E-2</v>
      </c>
      <c r="O569">
        <v>1.6200000000000001E-4</v>
      </c>
      <c r="P569">
        <v>2.6499999999999999E-2</v>
      </c>
      <c r="Q569">
        <v>0.68400000000000005</v>
      </c>
      <c r="R569">
        <v>106.032</v>
      </c>
      <c r="S569">
        <v>4</v>
      </c>
      <c r="T569">
        <v>133707</v>
      </c>
      <c r="U569">
        <v>4</v>
      </c>
      <c r="V569">
        <v>133707</v>
      </c>
      <c r="W569">
        <v>4</v>
      </c>
      <c r="X569">
        <v>133707</v>
      </c>
      <c r="Y569" t="s">
        <v>17</v>
      </c>
      <c r="Z569" t="str">
        <f>LOOKUP(B569,{0,1083,124200,681950},{"1st","2nd","3rd","4th"})&amp;" Quartile"</f>
        <v>2nd Quartile</v>
      </c>
    </row>
    <row r="570" spans="1:26">
      <c r="A570">
        <v>2021</v>
      </c>
      <c r="B570">
        <v>31100</v>
      </c>
      <c r="C570" t="s">
        <v>1517</v>
      </c>
      <c r="D570" t="s">
        <v>1518</v>
      </c>
      <c r="E570">
        <v>72</v>
      </c>
      <c r="F570" t="s">
        <v>1517</v>
      </c>
      <c r="G570">
        <v>77</v>
      </c>
      <c r="H570">
        <v>0.81499999999999995</v>
      </c>
      <c r="I570">
        <v>0.84799999999999998</v>
      </c>
      <c r="J570">
        <v>-4.7039999999999997</v>
      </c>
      <c r="K570">
        <v>0</v>
      </c>
      <c r="L570">
        <v>4</v>
      </c>
      <c r="M570">
        <v>0.115</v>
      </c>
      <c r="N570">
        <v>2.3E-2</v>
      </c>
      <c r="O570">
        <v>1.6200000000000001E-4</v>
      </c>
      <c r="P570">
        <v>2.6499999999999999E-2</v>
      </c>
      <c r="Q570">
        <v>0.68400000000000005</v>
      </c>
      <c r="R570">
        <v>106.032</v>
      </c>
      <c r="S570">
        <v>4</v>
      </c>
      <c r="T570">
        <v>133707</v>
      </c>
      <c r="U570">
        <v>4</v>
      </c>
      <c r="V570">
        <v>133707</v>
      </c>
      <c r="W570">
        <v>4</v>
      </c>
      <c r="X570">
        <v>133707</v>
      </c>
      <c r="Y570" t="s">
        <v>17</v>
      </c>
      <c r="Z570" t="str">
        <f>LOOKUP(B570,{0,1083,124200,681950},{"1st","2nd","3rd","4th"})&amp;" Quartile"</f>
        <v>2nd Quartile</v>
      </c>
    </row>
    <row r="571" spans="1:26">
      <c r="A571">
        <v>2022</v>
      </c>
      <c r="B571">
        <v>30500</v>
      </c>
      <c r="C571" t="s">
        <v>1309</v>
      </c>
      <c r="D571" t="s">
        <v>124</v>
      </c>
      <c r="E571">
        <v>87</v>
      </c>
      <c r="F571" t="s">
        <v>1268</v>
      </c>
      <c r="G571">
        <v>80</v>
      </c>
      <c r="H571">
        <v>0.83</v>
      </c>
      <c r="I571">
        <v>0.58499999999999996</v>
      </c>
      <c r="J571">
        <v>-6.476</v>
      </c>
      <c r="K571">
        <v>1</v>
      </c>
      <c r="L571">
        <v>0</v>
      </c>
      <c r="M571">
        <v>9.4E-2</v>
      </c>
      <c r="N571">
        <v>0.23699999999999999</v>
      </c>
      <c r="O571">
        <v>0</v>
      </c>
      <c r="P571">
        <v>0.248</v>
      </c>
      <c r="Q571">
        <v>0.48499999999999999</v>
      </c>
      <c r="R571">
        <v>109.97799999999999</v>
      </c>
      <c r="S571">
        <v>4</v>
      </c>
      <c r="T571">
        <v>173711</v>
      </c>
      <c r="U571">
        <v>4</v>
      </c>
      <c r="V571">
        <v>173711</v>
      </c>
      <c r="W571">
        <v>4</v>
      </c>
      <c r="X571">
        <v>173711</v>
      </c>
      <c r="Y571" t="s">
        <v>17</v>
      </c>
      <c r="Z571" t="str">
        <f>LOOKUP(B571,{0,1083,124200,681950},{"1st","2nd","3rd","4th"})&amp;" Quartile"</f>
        <v>2nd Quartile</v>
      </c>
    </row>
    <row r="572" spans="1:26">
      <c r="A572">
        <v>2021</v>
      </c>
      <c r="B572">
        <v>30400</v>
      </c>
      <c r="C572" t="s">
        <v>1309</v>
      </c>
      <c r="D572" t="s">
        <v>124</v>
      </c>
      <c r="E572">
        <v>87</v>
      </c>
      <c r="F572" t="s">
        <v>1268</v>
      </c>
      <c r="G572">
        <v>80</v>
      </c>
      <c r="H572">
        <v>0.83</v>
      </c>
      <c r="I572">
        <v>0.58499999999999996</v>
      </c>
      <c r="J572">
        <v>-6.476</v>
      </c>
      <c r="K572">
        <v>1</v>
      </c>
      <c r="L572">
        <v>0</v>
      </c>
      <c r="M572">
        <v>9.4E-2</v>
      </c>
      <c r="N572">
        <v>0.23699999999999999</v>
      </c>
      <c r="O572">
        <v>0</v>
      </c>
      <c r="P572">
        <v>0.248</v>
      </c>
      <c r="Q572">
        <v>0.48499999999999999</v>
      </c>
      <c r="R572">
        <v>109.97799999999999</v>
      </c>
      <c r="S572">
        <v>4</v>
      </c>
      <c r="T572">
        <v>173711</v>
      </c>
      <c r="U572">
        <v>4</v>
      </c>
      <c r="V572">
        <v>173711</v>
      </c>
      <c r="W572">
        <v>4</v>
      </c>
      <c r="X572">
        <v>173711</v>
      </c>
      <c r="Y572" t="s">
        <v>17</v>
      </c>
      <c r="Z572" t="str">
        <f>LOOKUP(B572,{0,1083,124200,681950},{"1st","2nd","3rd","4th"})&amp;" Quartile"</f>
        <v>2nd Quartile</v>
      </c>
    </row>
    <row r="573" spans="1:26">
      <c r="A573">
        <v>2020</v>
      </c>
      <c r="B573">
        <v>29700</v>
      </c>
      <c r="C573" t="s">
        <v>844</v>
      </c>
      <c r="D573" t="s">
        <v>175</v>
      </c>
      <c r="E573">
        <v>88</v>
      </c>
      <c r="F573" t="s">
        <v>174</v>
      </c>
      <c r="G573">
        <v>71</v>
      </c>
      <c r="H573">
        <v>0.91700000000000004</v>
      </c>
      <c r="I573">
        <v>0.65700000000000003</v>
      </c>
      <c r="J573">
        <v>-5.7160000000000002</v>
      </c>
      <c r="K573">
        <v>1</v>
      </c>
      <c r="L573">
        <v>8</v>
      </c>
      <c r="M573">
        <v>9.2100000000000001E-2</v>
      </c>
      <c r="N573">
        <v>0.318</v>
      </c>
      <c r="O573">
        <v>3.6200000000000001E-6</v>
      </c>
      <c r="P573">
        <v>7.5399999999999995E-2</v>
      </c>
      <c r="Q573">
        <v>0.81799999999999995</v>
      </c>
      <c r="R573">
        <v>131.03</v>
      </c>
      <c r="S573">
        <v>4</v>
      </c>
      <c r="T573">
        <v>165733</v>
      </c>
      <c r="U573">
        <v>4</v>
      </c>
      <c r="V573">
        <v>165733</v>
      </c>
      <c r="W573">
        <v>4</v>
      </c>
      <c r="X573">
        <v>165733</v>
      </c>
      <c r="Y573" t="s">
        <v>17</v>
      </c>
      <c r="Z573" t="str">
        <f>LOOKUP(B573,{0,1083,124200,681950},{"1st","2nd","3rd","4th"})&amp;" Quartile"</f>
        <v>2nd Quartile</v>
      </c>
    </row>
    <row r="574" spans="1:26">
      <c r="A574">
        <v>2019</v>
      </c>
      <c r="B574">
        <v>29600</v>
      </c>
      <c r="C574" t="s">
        <v>219</v>
      </c>
      <c r="D574" t="s">
        <v>218</v>
      </c>
      <c r="E574">
        <v>62</v>
      </c>
      <c r="F574" t="s">
        <v>217</v>
      </c>
      <c r="G574">
        <v>60</v>
      </c>
      <c r="H574">
        <v>0.77100000000000002</v>
      </c>
      <c r="I574">
        <v>0.64900000000000002</v>
      </c>
      <c r="J574">
        <v>-10.375</v>
      </c>
      <c r="K574">
        <v>1</v>
      </c>
      <c r="L574">
        <v>0</v>
      </c>
      <c r="M574">
        <v>4.3400000000000001E-2</v>
      </c>
      <c r="N574">
        <v>1.37E-2</v>
      </c>
      <c r="O574">
        <v>1.1100000000000001E-3</v>
      </c>
      <c r="P574">
        <v>0.32400000000000001</v>
      </c>
      <c r="Q574">
        <v>0.65300000000000002</v>
      </c>
      <c r="R574">
        <v>116.286</v>
      </c>
      <c r="S574">
        <v>4</v>
      </c>
      <c r="T574">
        <v>197573</v>
      </c>
      <c r="U574">
        <v>4</v>
      </c>
      <c r="V574">
        <v>197573</v>
      </c>
      <c r="W574">
        <v>4</v>
      </c>
      <c r="X574">
        <v>197573</v>
      </c>
      <c r="Y574" t="s">
        <v>17</v>
      </c>
      <c r="Z574" t="str">
        <f>LOOKUP(B574,{0,1083,124200,681950},{"1st","2nd","3rd","4th"})&amp;" Quartile"</f>
        <v>2nd Quartile</v>
      </c>
    </row>
    <row r="575" spans="1:26">
      <c r="A575">
        <v>2019</v>
      </c>
      <c r="B575">
        <v>29500</v>
      </c>
      <c r="C575" t="s">
        <v>402</v>
      </c>
      <c r="D575" t="s">
        <v>401</v>
      </c>
      <c r="E575">
        <v>63</v>
      </c>
      <c r="F575" t="s">
        <v>400</v>
      </c>
      <c r="G575">
        <v>1</v>
      </c>
      <c r="H575">
        <v>0.83099999999999996</v>
      </c>
      <c r="I575">
        <v>0.79500000000000004</v>
      </c>
      <c r="J575">
        <v>-6.1859999999999999</v>
      </c>
      <c r="K575">
        <v>1</v>
      </c>
      <c r="L575">
        <v>1</v>
      </c>
      <c r="M575">
        <v>0.26400000000000001</v>
      </c>
      <c r="N575">
        <v>0.221</v>
      </c>
      <c r="O575">
        <v>0</v>
      </c>
      <c r="P575">
        <v>0.29099999999999998</v>
      </c>
      <c r="Q575">
        <v>0.74399999999999999</v>
      </c>
      <c r="R575">
        <v>160.06299999999999</v>
      </c>
      <c r="S575">
        <v>4</v>
      </c>
      <c r="T575">
        <v>96064</v>
      </c>
      <c r="U575">
        <v>4</v>
      </c>
      <c r="V575">
        <v>96064</v>
      </c>
      <c r="W575">
        <v>4</v>
      </c>
      <c r="X575">
        <v>96064</v>
      </c>
      <c r="Y575" t="s">
        <v>17</v>
      </c>
      <c r="Z575" t="str">
        <f>LOOKUP(B575,{0,1083,124200,681950},{"1st","2nd","3rd","4th"})&amp;" Quartile"</f>
        <v>2nd Quartile</v>
      </c>
    </row>
    <row r="576" spans="1:26">
      <c r="A576">
        <v>2022</v>
      </c>
      <c r="B576">
        <v>27300</v>
      </c>
      <c r="C576" t="s">
        <v>1683</v>
      </c>
      <c r="D576" t="s">
        <v>1288</v>
      </c>
      <c r="E576">
        <v>85</v>
      </c>
      <c r="F576" t="s">
        <v>1682</v>
      </c>
      <c r="G576">
        <v>82</v>
      </c>
      <c r="H576">
        <v>0.71299999999999997</v>
      </c>
      <c r="I576">
        <v>0.67600000000000005</v>
      </c>
      <c r="J576">
        <v>-5.4829999999999997</v>
      </c>
      <c r="K576">
        <v>1</v>
      </c>
      <c r="L576">
        <v>10</v>
      </c>
      <c r="M576">
        <v>2.7E-2</v>
      </c>
      <c r="N576">
        <v>3.7699999999999997E-2</v>
      </c>
      <c r="O576">
        <v>0</v>
      </c>
      <c r="P576">
        <v>0.154</v>
      </c>
      <c r="Q576">
        <v>0.72099999999999997</v>
      </c>
      <c r="R576">
        <v>99.048000000000002</v>
      </c>
      <c r="S576">
        <v>4</v>
      </c>
      <c r="T576">
        <v>227395</v>
      </c>
      <c r="U576">
        <v>4</v>
      </c>
      <c r="V576">
        <v>227395</v>
      </c>
      <c r="W576">
        <v>4</v>
      </c>
      <c r="X576">
        <v>227395</v>
      </c>
      <c r="Y576" t="s">
        <v>17</v>
      </c>
      <c r="Z576" t="str">
        <f>LOOKUP(B576,{0,1083,124200,681950},{"1st","2nd","3rd","4th"})&amp;" Quartile"</f>
        <v>2nd Quartile</v>
      </c>
    </row>
    <row r="577" spans="1:26">
      <c r="A577">
        <v>2019</v>
      </c>
      <c r="B577">
        <v>26900</v>
      </c>
      <c r="C577" t="s">
        <v>73</v>
      </c>
      <c r="D577" t="s">
        <v>72</v>
      </c>
      <c r="E577">
        <v>49</v>
      </c>
      <c r="F577" t="s">
        <v>71</v>
      </c>
      <c r="G577">
        <v>59</v>
      </c>
      <c r="H577">
        <v>0.67600000000000005</v>
      </c>
      <c r="I577">
        <v>0.72399999999999998</v>
      </c>
      <c r="J577">
        <v>-5.9409999999999998</v>
      </c>
      <c r="K577">
        <v>0</v>
      </c>
      <c r="L577">
        <v>5</v>
      </c>
      <c r="M577">
        <v>3.9E-2</v>
      </c>
      <c r="N577">
        <v>6.8099999999999994E-2</v>
      </c>
      <c r="O577">
        <v>9.2899999999999995E-5</v>
      </c>
      <c r="P577">
        <v>0.13900000000000001</v>
      </c>
      <c r="Q577">
        <v>0.67600000000000005</v>
      </c>
      <c r="R577">
        <v>132.05600000000001</v>
      </c>
      <c r="S577">
        <v>4</v>
      </c>
      <c r="T577">
        <v>221373</v>
      </c>
      <c r="U577">
        <v>4</v>
      </c>
      <c r="V577">
        <v>221373</v>
      </c>
      <c r="W577">
        <v>4</v>
      </c>
      <c r="X577">
        <v>221373</v>
      </c>
      <c r="Y577" t="s">
        <v>17</v>
      </c>
      <c r="Z577" t="str">
        <f>LOOKUP(B577,{0,1083,124200,681950},{"1st","2nd","3rd","4th"})&amp;" Quartile"</f>
        <v>2nd Quartile</v>
      </c>
    </row>
    <row r="578" spans="1:26">
      <c r="A578">
        <v>2021</v>
      </c>
      <c r="B578">
        <v>26300</v>
      </c>
      <c r="C578" t="s">
        <v>1181</v>
      </c>
      <c r="D578" t="s">
        <v>1182</v>
      </c>
      <c r="E578">
        <v>75</v>
      </c>
      <c r="F578" t="s">
        <v>1181</v>
      </c>
      <c r="G578">
        <v>71</v>
      </c>
      <c r="H578">
        <v>0.75700000000000001</v>
      </c>
      <c r="I578">
        <v>0.67800000000000005</v>
      </c>
      <c r="J578">
        <v>-5.5289999999999999</v>
      </c>
      <c r="K578">
        <v>0</v>
      </c>
      <c r="L578">
        <v>8</v>
      </c>
      <c r="M578">
        <v>0.23300000000000001</v>
      </c>
      <c r="N578">
        <v>4.7199999999999999E-2</v>
      </c>
      <c r="O578">
        <v>9.1400000000000006E-6</v>
      </c>
      <c r="P578">
        <v>6.54E-2</v>
      </c>
      <c r="Q578">
        <v>0.82</v>
      </c>
      <c r="R578">
        <v>120.075</v>
      </c>
      <c r="S578">
        <v>4</v>
      </c>
      <c r="T578">
        <v>218235</v>
      </c>
      <c r="U578">
        <v>4</v>
      </c>
      <c r="V578">
        <v>218235</v>
      </c>
      <c r="W578">
        <v>4</v>
      </c>
      <c r="X578">
        <v>218235</v>
      </c>
      <c r="Y578" t="s">
        <v>17</v>
      </c>
      <c r="Z578" t="str">
        <f>LOOKUP(B578,{0,1083,124200,681950},{"1st","2nd","3rd","4th"})&amp;" Quartile"</f>
        <v>2nd Quartile</v>
      </c>
    </row>
    <row r="579" spans="1:26">
      <c r="A579">
        <v>2019</v>
      </c>
      <c r="B579">
        <v>26300</v>
      </c>
      <c r="C579" t="s">
        <v>405</v>
      </c>
      <c r="D579" t="s">
        <v>406</v>
      </c>
      <c r="E579">
        <v>55</v>
      </c>
      <c r="F579" t="s">
        <v>405</v>
      </c>
      <c r="G579">
        <v>72</v>
      </c>
      <c r="H579">
        <v>0.57799999999999996</v>
      </c>
      <c r="I579">
        <v>0.72399999999999998</v>
      </c>
      <c r="J579">
        <v>-7.02</v>
      </c>
      <c r="K579">
        <v>0</v>
      </c>
      <c r="L579">
        <v>6</v>
      </c>
      <c r="M579">
        <v>8.6499999999999994E-2</v>
      </c>
      <c r="N579">
        <v>0.192</v>
      </c>
      <c r="O579">
        <v>2.3799999999999999E-5</v>
      </c>
      <c r="P579">
        <v>0.23499999999999999</v>
      </c>
      <c r="Q579">
        <v>0.46500000000000002</v>
      </c>
      <c r="R579">
        <v>169.827</v>
      </c>
      <c r="S579">
        <v>4</v>
      </c>
      <c r="T579">
        <v>217412</v>
      </c>
      <c r="U579">
        <v>4</v>
      </c>
      <c r="V579">
        <v>217412</v>
      </c>
      <c r="W579">
        <v>4</v>
      </c>
      <c r="X579">
        <v>217412</v>
      </c>
      <c r="Y579" t="s">
        <v>17</v>
      </c>
      <c r="Z579" t="str">
        <f>LOOKUP(B579,{0,1083,124200,681950},{"1st","2nd","3rd","4th"})&amp;" Quartile"</f>
        <v>2nd Quartile</v>
      </c>
    </row>
    <row r="580" spans="1:26">
      <c r="A580">
        <v>2020</v>
      </c>
      <c r="B580">
        <v>26200</v>
      </c>
      <c r="C580" t="s">
        <v>840</v>
      </c>
      <c r="D580" t="s">
        <v>839</v>
      </c>
      <c r="E580">
        <v>88</v>
      </c>
      <c r="F580" t="s">
        <v>838</v>
      </c>
      <c r="G580">
        <v>82</v>
      </c>
      <c r="H580">
        <v>0.69799999999999995</v>
      </c>
      <c r="I580">
        <v>0.63300000000000001</v>
      </c>
      <c r="J580">
        <v>-4.9459999999999997</v>
      </c>
      <c r="K580">
        <v>1</v>
      </c>
      <c r="L580">
        <v>8</v>
      </c>
      <c r="M580">
        <v>5.9700000000000003E-2</v>
      </c>
      <c r="N580">
        <v>6.0499999999999998E-2</v>
      </c>
      <c r="O580">
        <v>1.94E-4</v>
      </c>
      <c r="P580">
        <v>9.2600000000000002E-2</v>
      </c>
      <c r="Q580">
        <v>0.55200000000000005</v>
      </c>
      <c r="R580">
        <v>96.924000000000007</v>
      </c>
      <c r="S580">
        <v>4</v>
      </c>
      <c r="T580">
        <v>232187</v>
      </c>
      <c r="U580">
        <v>4</v>
      </c>
      <c r="V580">
        <v>232187</v>
      </c>
      <c r="W580">
        <v>4</v>
      </c>
      <c r="X580">
        <v>232187</v>
      </c>
      <c r="Y580" t="s">
        <v>17</v>
      </c>
      <c r="Z580" t="str">
        <f>LOOKUP(B580,{0,1083,124200,681950},{"1st","2nd","3rd","4th"})&amp;" Quartile"</f>
        <v>2nd Quartile</v>
      </c>
    </row>
    <row r="581" spans="1:26">
      <c r="A581">
        <v>2020</v>
      </c>
      <c r="B581">
        <v>26000</v>
      </c>
      <c r="C581" t="s">
        <v>1120</v>
      </c>
      <c r="D581" t="s">
        <v>1119</v>
      </c>
      <c r="E581">
        <v>48</v>
      </c>
      <c r="F581" t="s">
        <v>1118</v>
      </c>
      <c r="G581">
        <v>57</v>
      </c>
      <c r="H581">
        <v>0.501</v>
      </c>
      <c r="I581">
        <v>0.16800000000000001</v>
      </c>
      <c r="J581">
        <v>-13.682</v>
      </c>
      <c r="K581">
        <v>0</v>
      </c>
      <c r="L581">
        <v>4</v>
      </c>
      <c r="M581">
        <v>0.30399999999999999</v>
      </c>
      <c r="N581">
        <v>0.90100000000000002</v>
      </c>
      <c r="O581">
        <v>0</v>
      </c>
      <c r="P581">
        <v>0.13400000000000001</v>
      </c>
      <c r="Q581">
        <v>0.51400000000000001</v>
      </c>
      <c r="R581">
        <v>82.573999999999998</v>
      </c>
      <c r="S581">
        <v>4</v>
      </c>
      <c r="T581">
        <v>193208</v>
      </c>
      <c r="U581">
        <v>4</v>
      </c>
      <c r="V581">
        <v>193208</v>
      </c>
      <c r="W581">
        <v>4</v>
      </c>
      <c r="X581">
        <v>193208</v>
      </c>
      <c r="Y581" t="s">
        <v>17</v>
      </c>
      <c r="Z581" t="str">
        <f>LOOKUP(B581,{0,1083,124200,681950},{"1st","2nd","3rd","4th"})&amp;" Quartile"</f>
        <v>2nd Quartile</v>
      </c>
    </row>
    <row r="582" spans="1:26">
      <c r="A582">
        <v>2021</v>
      </c>
      <c r="B582">
        <v>25600</v>
      </c>
      <c r="C582" t="s">
        <v>1315</v>
      </c>
      <c r="D582" t="s">
        <v>133</v>
      </c>
      <c r="E582">
        <v>80</v>
      </c>
      <c r="F582" t="s">
        <v>1260</v>
      </c>
      <c r="G582">
        <v>75</v>
      </c>
      <c r="H582">
        <v>0.63</v>
      </c>
      <c r="I582">
        <v>0.5</v>
      </c>
      <c r="J582">
        <v>-8.7550000000000008</v>
      </c>
      <c r="K582">
        <v>0</v>
      </c>
      <c r="L582">
        <v>1</v>
      </c>
      <c r="M582">
        <v>6.1100000000000002E-2</v>
      </c>
      <c r="N582">
        <v>0.61099999999999999</v>
      </c>
      <c r="O582">
        <v>4.0399999999999999E-5</v>
      </c>
      <c r="P582">
        <v>0.114</v>
      </c>
      <c r="Q582">
        <v>0.315</v>
      </c>
      <c r="R582">
        <v>144.87100000000001</v>
      </c>
      <c r="S582">
        <v>4</v>
      </c>
      <c r="T582">
        <v>245172</v>
      </c>
      <c r="U582">
        <v>4</v>
      </c>
      <c r="V582">
        <v>245172</v>
      </c>
      <c r="W582">
        <v>4</v>
      </c>
      <c r="X582">
        <v>245172</v>
      </c>
      <c r="Y582" t="s">
        <v>17</v>
      </c>
      <c r="Z582" t="str">
        <f>LOOKUP(B582,{0,1083,124200,681950},{"1st","2nd","3rd","4th"})&amp;" Quartile"</f>
        <v>2nd Quartile</v>
      </c>
    </row>
    <row r="583" spans="1:26">
      <c r="A583">
        <v>2019</v>
      </c>
      <c r="B583">
        <v>25100</v>
      </c>
      <c r="C583" t="s">
        <v>103</v>
      </c>
      <c r="D583" t="s">
        <v>102</v>
      </c>
      <c r="E583">
        <v>63</v>
      </c>
      <c r="F583" t="s">
        <v>101</v>
      </c>
      <c r="G583">
        <v>62</v>
      </c>
      <c r="H583">
        <v>0.87</v>
      </c>
      <c r="I583">
        <v>0.84099999999999997</v>
      </c>
      <c r="J583">
        <v>-5.0839999999999996</v>
      </c>
      <c r="K583">
        <v>0</v>
      </c>
      <c r="L583">
        <v>11</v>
      </c>
      <c r="M583">
        <v>9.4799999999999995E-2</v>
      </c>
      <c r="N583">
        <v>1.9300000000000001E-2</v>
      </c>
      <c r="O583">
        <v>7.7100000000000004E-5</v>
      </c>
      <c r="P583">
        <v>0.33300000000000002</v>
      </c>
      <c r="Q583">
        <v>0.85699999999999998</v>
      </c>
      <c r="R583">
        <v>92.176000000000002</v>
      </c>
      <c r="S583">
        <v>4</v>
      </c>
      <c r="T583">
        <v>261173</v>
      </c>
      <c r="U583">
        <v>4</v>
      </c>
      <c r="V583">
        <v>261173</v>
      </c>
      <c r="W583">
        <v>4</v>
      </c>
      <c r="X583">
        <v>261173</v>
      </c>
      <c r="Y583" t="s">
        <v>17</v>
      </c>
      <c r="Z583" t="str">
        <f>LOOKUP(B583,{0,1083,124200,681950},{"1st","2nd","3rd","4th"})&amp;" Quartile"</f>
        <v>2nd Quartile</v>
      </c>
    </row>
    <row r="584" spans="1:26">
      <c r="A584">
        <v>2020</v>
      </c>
      <c r="B584">
        <v>24400</v>
      </c>
      <c r="C584" t="s">
        <v>615</v>
      </c>
      <c r="D584" t="s">
        <v>515</v>
      </c>
      <c r="E584">
        <v>78</v>
      </c>
      <c r="F584" t="s">
        <v>614</v>
      </c>
      <c r="G584">
        <v>66</v>
      </c>
      <c r="H584">
        <v>0.76500000000000001</v>
      </c>
      <c r="I584">
        <v>0.79100000000000004</v>
      </c>
      <c r="J584">
        <v>-5.7069999999999999</v>
      </c>
      <c r="K584">
        <v>1</v>
      </c>
      <c r="L584">
        <v>8</v>
      </c>
      <c r="M584">
        <v>3.1699999999999999E-2</v>
      </c>
      <c r="N584">
        <v>0.26200000000000001</v>
      </c>
      <c r="O584">
        <v>1.54E-4</v>
      </c>
      <c r="P584">
        <v>6.6900000000000001E-2</v>
      </c>
      <c r="Q584">
        <v>0.96599999999999997</v>
      </c>
      <c r="R584">
        <v>95.025999999999996</v>
      </c>
      <c r="S584">
        <v>4</v>
      </c>
      <c r="T584">
        <v>206227</v>
      </c>
      <c r="U584">
        <v>4</v>
      </c>
      <c r="V584">
        <v>206227</v>
      </c>
      <c r="W584">
        <v>4</v>
      </c>
      <c r="X584">
        <v>206227</v>
      </c>
      <c r="Y584" t="s">
        <v>17</v>
      </c>
      <c r="Z584" t="str">
        <f>LOOKUP(B584,{0,1083,124200,681950},{"1st","2nd","3rd","4th"})&amp;" Quartile"</f>
        <v>2nd Quartile</v>
      </c>
    </row>
    <row r="585" spans="1:26">
      <c r="A585">
        <v>2019</v>
      </c>
      <c r="B585">
        <v>24000</v>
      </c>
      <c r="C585" t="s">
        <v>62</v>
      </c>
      <c r="D585" t="s">
        <v>61</v>
      </c>
      <c r="E585">
        <v>48</v>
      </c>
      <c r="F585" t="s">
        <v>60</v>
      </c>
      <c r="G585">
        <v>63</v>
      </c>
      <c r="H585">
        <v>0.622</v>
      </c>
      <c r="I585">
        <v>0.54200000000000004</v>
      </c>
      <c r="J585">
        <v>-6.2149999999999999</v>
      </c>
      <c r="K585">
        <v>0</v>
      </c>
      <c r="L585">
        <v>7</v>
      </c>
      <c r="M585">
        <v>5.0999999999999997E-2</v>
      </c>
      <c r="N585">
        <v>0.38700000000000001</v>
      </c>
      <c r="O585">
        <v>0</v>
      </c>
      <c r="P585">
        <v>0.114</v>
      </c>
      <c r="Q585">
        <v>0.93899999999999995</v>
      </c>
      <c r="R585">
        <v>174.494</v>
      </c>
      <c r="S585">
        <v>4</v>
      </c>
      <c r="T585">
        <v>136200</v>
      </c>
      <c r="U585">
        <v>4</v>
      </c>
      <c r="V585">
        <v>136200</v>
      </c>
      <c r="W585">
        <v>4</v>
      </c>
      <c r="X585">
        <v>136200</v>
      </c>
      <c r="Y585" t="s">
        <v>17</v>
      </c>
      <c r="Z585" t="str">
        <f>LOOKUP(B585,{0,1083,124200,681950},{"1st","2nd","3rd","4th"})&amp;" Quartile"</f>
        <v>2nd Quartile</v>
      </c>
    </row>
    <row r="586" spans="1:26">
      <c r="A586">
        <v>2020</v>
      </c>
      <c r="B586">
        <v>23900</v>
      </c>
      <c r="C586" t="s">
        <v>621</v>
      </c>
      <c r="D586" t="s">
        <v>172</v>
      </c>
      <c r="E586">
        <v>68</v>
      </c>
      <c r="F586" t="s">
        <v>620</v>
      </c>
      <c r="G586">
        <v>61</v>
      </c>
      <c r="H586">
        <v>0.52700000000000002</v>
      </c>
      <c r="I586">
        <v>0.69599999999999995</v>
      </c>
      <c r="J586">
        <v>-6.0149999999999997</v>
      </c>
      <c r="K586">
        <v>0</v>
      </c>
      <c r="L586">
        <v>1</v>
      </c>
      <c r="M586">
        <v>0.36099999999999999</v>
      </c>
      <c r="N586">
        <v>0.20899999999999999</v>
      </c>
      <c r="O586">
        <v>0</v>
      </c>
      <c r="P586">
        <v>5.16E-2</v>
      </c>
      <c r="Q586">
        <v>0.499</v>
      </c>
      <c r="R586">
        <v>100.614</v>
      </c>
      <c r="S586">
        <v>4</v>
      </c>
      <c r="T586">
        <v>244760</v>
      </c>
      <c r="U586">
        <v>4</v>
      </c>
      <c r="V586">
        <v>244760</v>
      </c>
      <c r="W586">
        <v>4</v>
      </c>
      <c r="X586">
        <v>244760</v>
      </c>
      <c r="Y586" t="s">
        <v>17</v>
      </c>
      <c r="Z586" t="str">
        <f>LOOKUP(B586,{0,1083,124200,681950},{"1st","2nd","3rd","4th"})&amp;" Quartile"</f>
        <v>2nd Quartile</v>
      </c>
    </row>
    <row r="587" spans="1:26">
      <c r="A587">
        <v>2021</v>
      </c>
      <c r="B587">
        <v>23100</v>
      </c>
      <c r="C587" t="s">
        <v>1221</v>
      </c>
      <c r="D587" t="s">
        <v>319</v>
      </c>
      <c r="E587">
        <v>90</v>
      </c>
      <c r="F587" t="s">
        <v>1172</v>
      </c>
      <c r="G587">
        <v>70</v>
      </c>
      <c r="H587">
        <v>0.69099999999999995</v>
      </c>
      <c r="I587">
        <v>0.85299999999999998</v>
      </c>
      <c r="J587">
        <v>-2.528</v>
      </c>
      <c r="K587">
        <v>0</v>
      </c>
      <c r="L587">
        <v>1</v>
      </c>
      <c r="M587">
        <v>3.7199999999999997E-2</v>
      </c>
      <c r="N587">
        <v>6.3100000000000003E-2</v>
      </c>
      <c r="O587">
        <v>7.1299999999999998E-5</v>
      </c>
      <c r="P587">
        <v>8.2000000000000003E-2</v>
      </c>
      <c r="Q587">
        <v>0.76200000000000001</v>
      </c>
      <c r="R587">
        <v>145.999</v>
      </c>
      <c r="S587">
        <v>4</v>
      </c>
      <c r="T587">
        <v>215867</v>
      </c>
      <c r="U587">
        <v>4</v>
      </c>
      <c r="V587">
        <v>215867</v>
      </c>
      <c r="W587">
        <v>4</v>
      </c>
      <c r="X587">
        <v>215867</v>
      </c>
      <c r="Y587" t="s">
        <v>17</v>
      </c>
      <c r="Z587" t="str">
        <f>LOOKUP(B587,{0,1083,124200,681950},{"1st","2nd","3rd","4th"})&amp;" Quartile"</f>
        <v>2nd Quartile</v>
      </c>
    </row>
    <row r="588" spans="1:26">
      <c r="A588">
        <v>2020</v>
      </c>
      <c r="B588">
        <v>22500</v>
      </c>
      <c r="C588" t="s">
        <v>159</v>
      </c>
      <c r="D588" t="s">
        <v>158</v>
      </c>
      <c r="E588">
        <v>76</v>
      </c>
      <c r="F588" t="s">
        <v>157</v>
      </c>
      <c r="G588">
        <v>72</v>
      </c>
      <c r="H588">
        <v>0.73599999999999999</v>
      </c>
      <c r="I588">
        <v>0.81699999999999995</v>
      </c>
      <c r="J588">
        <v>-4.9000000000000004</v>
      </c>
      <c r="K588">
        <v>1</v>
      </c>
      <c r="L588">
        <v>8</v>
      </c>
      <c r="M588">
        <v>4.07E-2</v>
      </c>
      <c r="N588">
        <v>9.8700000000000003E-3</v>
      </c>
      <c r="O588">
        <v>1.67E-3</v>
      </c>
      <c r="P588">
        <v>0.11700000000000001</v>
      </c>
      <c r="Q588">
        <v>0.65300000000000002</v>
      </c>
      <c r="R588">
        <v>119.95</v>
      </c>
      <c r="S588">
        <v>4</v>
      </c>
      <c r="T588">
        <v>204760</v>
      </c>
      <c r="U588">
        <v>4</v>
      </c>
      <c r="V588">
        <v>204760</v>
      </c>
      <c r="W588">
        <v>4</v>
      </c>
      <c r="X588">
        <v>204760</v>
      </c>
      <c r="Y588" t="s">
        <v>17</v>
      </c>
      <c r="Z588" t="str">
        <f>LOOKUP(B588,{0,1083,124200,681950},{"1st","2nd","3rd","4th"})&amp;" Quartile"</f>
        <v>2nd Quartile</v>
      </c>
    </row>
    <row r="589" spans="1:26">
      <c r="A589">
        <v>2019</v>
      </c>
      <c r="B589">
        <v>22500</v>
      </c>
      <c r="C589" t="s">
        <v>159</v>
      </c>
      <c r="D589" t="s">
        <v>158</v>
      </c>
      <c r="E589">
        <v>76</v>
      </c>
      <c r="F589" t="s">
        <v>157</v>
      </c>
      <c r="G589">
        <v>72</v>
      </c>
      <c r="H589">
        <v>0.73599999999999999</v>
      </c>
      <c r="I589">
        <v>0.81699999999999995</v>
      </c>
      <c r="J589">
        <v>-4.9000000000000004</v>
      </c>
      <c r="K589">
        <v>1</v>
      </c>
      <c r="L589">
        <v>8</v>
      </c>
      <c r="M589">
        <v>4.07E-2</v>
      </c>
      <c r="N589">
        <v>9.8700000000000003E-3</v>
      </c>
      <c r="O589">
        <v>1.67E-3</v>
      </c>
      <c r="P589">
        <v>0.11700000000000001</v>
      </c>
      <c r="Q589">
        <v>0.65300000000000002</v>
      </c>
      <c r="R589">
        <v>119.95</v>
      </c>
      <c r="S589">
        <v>4</v>
      </c>
      <c r="T589">
        <v>204760</v>
      </c>
      <c r="U589">
        <v>4</v>
      </c>
      <c r="V589">
        <v>204760</v>
      </c>
      <c r="W589">
        <v>4</v>
      </c>
      <c r="X589">
        <v>204760</v>
      </c>
      <c r="Y589" t="s">
        <v>17</v>
      </c>
      <c r="Z589" t="str">
        <f>LOOKUP(B589,{0,1083,124200,681950},{"1st","2nd","3rd","4th"})&amp;" Quartile"</f>
        <v>2nd Quartile</v>
      </c>
    </row>
    <row r="590" spans="1:26">
      <c r="A590">
        <v>2019</v>
      </c>
      <c r="B590">
        <v>21200</v>
      </c>
      <c r="C590" t="s">
        <v>206</v>
      </c>
      <c r="D590" t="s">
        <v>205</v>
      </c>
      <c r="E590">
        <v>62</v>
      </c>
      <c r="F590" t="s">
        <v>204</v>
      </c>
      <c r="G590">
        <v>59</v>
      </c>
      <c r="H590">
        <v>0.51300000000000001</v>
      </c>
      <c r="I590">
        <v>0.69</v>
      </c>
      <c r="J590">
        <v>-4.9859999999999998</v>
      </c>
      <c r="K590">
        <v>1</v>
      </c>
      <c r="L590">
        <v>0</v>
      </c>
      <c r="M590">
        <v>3.4099999999999998E-2</v>
      </c>
      <c r="N590">
        <v>0.51</v>
      </c>
      <c r="O590">
        <v>0</v>
      </c>
      <c r="P590">
        <v>0.10199999999999999</v>
      </c>
      <c r="Q590">
        <v>0.77700000000000002</v>
      </c>
      <c r="R590">
        <v>96.881</v>
      </c>
      <c r="S590">
        <v>4</v>
      </c>
      <c r="T590">
        <v>145920</v>
      </c>
      <c r="U590">
        <v>4</v>
      </c>
      <c r="V590">
        <v>145920</v>
      </c>
      <c r="W590">
        <v>4</v>
      </c>
      <c r="X590">
        <v>145920</v>
      </c>
      <c r="Y590" t="s">
        <v>17</v>
      </c>
      <c r="Z590" t="str">
        <f>LOOKUP(B590,{0,1083,124200,681950},{"1st","2nd","3rd","4th"})&amp;" Quartile"</f>
        <v>2nd Quartile</v>
      </c>
    </row>
    <row r="591" spans="1:26">
      <c r="A591">
        <v>2020</v>
      </c>
      <c r="B591">
        <v>21000</v>
      </c>
      <c r="C591" t="s">
        <v>206</v>
      </c>
      <c r="D591" t="s">
        <v>205</v>
      </c>
      <c r="E591">
        <v>62</v>
      </c>
      <c r="F591" t="s">
        <v>204</v>
      </c>
      <c r="G591">
        <v>60</v>
      </c>
      <c r="H591">
        <v>0.51300000000000001</v>
      </c>
      <c r="I591">
        <v>0.69</v>
      </c>
      <c r="J591">
        <v>-4.9859999999999998</v>
      </c>
      <c r="K591">
        <v>1</v>
      </c>
      <c r="L591">
        <v>0</v>
      </c>
      <c r="M591">
        <v>3.4099999999999998E-2</v>
      </c>
      <c r="N591">
        <v>0.51</v>
      </c>
      <c r="O591">
        <v>0</v>
      </c>
      <c r="P591">
        <v>0.10199999999999999</v>
      </c>
      <c r="Q591">
        <v>0.77700000000000002</v>
      </c>
      <c r="R591">
        <v>96.881</v>
      </c>
      <c r="S591">
        <v>4</v>
      </c>
      <c r="T591">
        <v>145920</v>
      </c>
      <c r="U591">
        <v>4</v>
      </c>
      <c r="V591">
        <v>145920</v>
      </c>
      <c r="W591">
        <v>4</v>
      </c>
      <c r="X591">
        <v>145920</v>
      </c>
      <c r="Y591" t="s">
        <v>17</v>
      </c>
      <c r="Z591" t="str">
        <f>LOOKUP(B591,{0,1083,124200,681950},{"1st","2nd","3rd","4th"})&amp;" Quartile"</f>
        <v>2nd Quartile</v>
      </c>
    </row>
    <row r="592" spans="1:26">
      <c r="A592">
        <v>2019</v>
      </c>
      <c r="B592">
        <v>20000</v>
      </c>
      <c r="C592" t="s">
        <v>254</v>
      </c>
      <c r="D592" t="s">
        <v>253</v>
      </c>
      <c r="E592">
        <v>67</v>
      </c>
      <c r="F592" t="s">
        <v>252</v>
      </c>
      <c r="G592">
        <v>62</v>
      </c>
      <c r="H592">
        <v>0.77500000000000002</v>
      </c>
      <c r="I592">
        <v>0.90400000000000003</v>
      </c>
      <c r="J592">
        <v>-4.08</v>
      </c>
      <c r="K592">
        <v>0</v>
      </c>
      <c r="L592">
        <v>1</v>
      </c>
      <c r="M592">
        <v>4.3700000000000003E-2</v>
      </c>
      <c r="N592">
        <v>2.7099999999999999E-2</v>
      </c>
      <c r="O592">
        <v>3.0299999999999999E-4</v>
      </c>
      <c r="P592">
        <v>0.06</v>
      </c>
      <c r="Q592">
        <v>0.84</v>
      </c>
      <c r="R592">
        <v>130.00899999999999</v>
      </c>
      <c r="S592">
        <v>4</v>
      </c>
      <c r="T592">
        <v>219893</v>
      </c>
      <c r="U592">
        <v>4</v>
      </c>
      <c r="V592">
        <v>219893</v>
      </c>
      <c r="W592">
        <v>4</v>
      </c>
      <c r="X592">
        <v>219893</v>
      </c>
      <c r="Y592" t="s">
        <v>17</v>
      </c>
      <c r="Z592" t="str">
        <f>LOOKUP(B592,{0,1083,124200,681950},{"1st","2nd","3rd","4th"})&amp;" Quartile"</f>
        <v>2nd Quartile</v>
      </c>
    </row>
    <row r="593" spans="1:26">
      <c r="A593">
        <v>2021</v>
      </c>
      <c r="B593">
        <v>19700</v>
      </c>
      <c r="C593" t="s">
        <v>1450</v>
      </c>
      <c r="D593" t="s">
        <v>1449</v>
      </c>
      <c r="E593">
        <v>38</v>
      </c>
      <c r="F593" t="s">
        <v>1448</v>
      </c>
      <c r="G593">
        <v>41</v>
      </c>
      <c r="H593">
        <v>0.875</v>
      </c>
      <c r="I593">
        <v>0.67700000000000005</v>
      </c>
      <c r="J593">
        <v>-3.4409999999999998</v>
      </c>
      <c r="K593">
        <v>0</v>
      </c>
      <c r="L593">
        <v>3</v>
      </c>
      <c r="M593">
        <v>4.6699999999999998E-2</v>
      </c>
      <c r="N593">
        <v>3.9100000000000003E-2</v>
      </c>
      <c r="O593">
        <v>0.61099999999999999</v>
      </c>
      <c r="P593">
        <v>0.33200000000000002</v>
      </c>
      <c r="Q593">
        <v>0.79800000000000004</v>
      </c>
      <c r="R593">
        <v>128.01499999999999</v>
      </c>
      <c r="S593">
        <v>4</v>
      </c>
      <c r="T593">
        <v>194955</v>
      </c>
      <c r="U593">
        <v>4</v>
      </c>
      <c r="V593">
        <v>194955</v>
      </c>
      <c r="W593">
        <v>4</v>
      </c>
      <c r="X593">
        <v>194955</v>
      </c>
      <c r="Y593" t="s">
        <v>17</v>
      </c>
      <c r="Z593" t="str">
        <f>LOOKUP(B593,{0,1083,124200,681950},{"1st","2nd","3rd","4th"})&amp;" Quartile"</f>
        <v>2nd Quartile</v>
      </c>
    </row>
    <row r="594" spans="1:26">
      <c r="A594">
        <v>2020</v>
      </c>
      <c r="B594">
        <v>19400</v>
      </c>
      <c r="C594" t="s">
        <v>780</v>
      </c>
      <c r="D594" t="s">
        <v>779</v>
      </c>
      <c r="E594">
        <v>85</v>
      </c>
      <c r="F594" t="s">
        <v>778</v>
      </c>
      <c r="G594">
        <v>83</v>
      </c>
      <c r="H594">
        <v>0.77300000000000002</v>
      </c>
      <c r="I594">
        <v>0.75</v>
      </c>
      <c r="J594">
        <v>-4.0090000000000003</v>
      </c>
      <c r="K594">
        <v>0</v>
      </c>
      <c r="L594">
        <v>8</v>
      </c>
      <c r="M594">
        <v>0.11700000000000001</v>
      </c>
      <c r="N594">
        <v>0.109</v>
      </c>
      <c r="O594">
        <v>0</v>
      </c>
      <c r="P594">
        <v>0.17399999999999999</v>
      </c>
      <c r="Q594">
        <v>0.78300000000000003</v>
      </c>
      <c r="R594">
        <v>123.426</v>
      </c>
      <c r="S594">
        <v>4</v>
      </c>
      <c r="T594">
        <v>220587</v>
      </c>
      <c r="U594">
        <v>4</v>
      </c>
      <c r="V594">
        <v>220587</v>
      </c>
      <c r="W594">
        <v>4</v>
      </c>
      <c r="X594">
        <v>220587</v>
      </c>
      <c r="Y594" t="s">
        <v>17</v>
      </c>
      <c r="Z594" t="str">
        <f>LOOKUP(B594,{0,1083,124200,681950},{"1st","2nd","3rd","4th"})&amp;" Quartile"</f>
        <v>2nd Quartile</v>
      </c>
    </row>
    <row r="595" spans="1:26">
      <c r="A595">
        <v>2019</v>
      </c>
      <c r="B595">
        <v>18900</v>
      </c>
      <c r="C595" t="s">
        <v>277</v>
      </c>
      <c r="D595" t="s">
        <v>276</v>
      </c>
      <c r="E595">
        <v>83</v>
      </c>
      <c r="F595" t="s">
        <v>275</v>
      </c>
      <c r="G595">
        <v>75</v>
      </c>
      <c r="H595">
        <v>0.626</v>
      </c>
      <c r="I595">
        <v>0.42299999999999999</v>
      </c>
      <c r="J595">
        <v>-6.0350000000000001</v>
      </c>
      <c r="K595">
        <v>1</v>
      </c>
      <c r="L595">
        <v>1</v>
      </c>
      <c r="M595">
        <v>5.1299999999999998E-2</v>
      </c>
      <c r="N595">
        <v>0.128</v>
      </c>
      <c r="O595">
        <v>0</v>
      </c>
      <c r="P595">
        <v>0.18</v>
      </c>
      <c r="Q595">
        <v>0.57099999999999995</v>
      </c>
      <c r="R595">
        <v>95.162000000000006</v>
      </c>
      <c r="S595">
        <v>4</v>
      </c>
      <c r="T595">
        <v>101790</v>
      </c>
      <c r="U595">
        <v>4</v>
      </c>
      <c r="V595">
        <v>101790</v>
      </c>
      <c r="W595">
        <v>4</v>
      </c>
      <c r="X595">
        <v>101790</v>
      </c>
      <c r="Y595" t="s">
        <v>17</v>
      </c>
      <c r="Z595" t="str">
        <f>LOOKUP(B595,{0,1083,124200,681950},{"1st","2nd","3rd","4th"})&amp;" Quartile"</f>
        <v>2nd Quartile</v>
      </c>
    </row>
    <row r="596" spans="1:26">
      <c r="A596">
        <v>2020</v>
      </c>
      <c r="B596">
        <v>18700</v>
      </c>
      <c r="C596" t="s">
        <v>557</v>
      </c>
      <c r="D596" t="s">
        <v>558</v>
      </c>
      <c r="E596">
        <v>67</v>
      </c>
      <c r="F596" t="s">
        <v>705</v>
      </c>
      <c r="G596">
        <v>62</v>
      </c>
      <c r="H596">
        <v>0.879</v>
      </c>
      <c r="I596">
        <v>0.73299999999999998</v>
      </c>
      <c r="J596">
        <v>-3.9529999999999998</v>
      </c>
      <c r="K596">
        <v>0</v>
      </c>
      <c r="L596">
        <v>11</v>
      </c>
      <c r="M596">
        <v>0.14199999999999999</v>
      </c>
      <c r="N596">
        <v>0.216</v>
      </c>
      <c r="O596">
        <v>0</v>
      </c>
      <c r="P596">
        <v>0.27400000000000002</v>
      </c>
      <c r="Q596">
        <v>0.91300000000000003</v>
      </c>
      <c r="R596">
        <v>117.039</v>
      </c>
      <c r="S596">
        <v>4</v>
      </c>
      <c r="T596">
        <v>147692</v>
      </c>
      <c r="U596">
        <v>4</v>
      </c>
      <c r="V596">
        <v>147692</v>
      </c>
      <c r="W596">
        <v>4</v>
      </c>
      <c r="X596">
        <v>147692</v>
      </c>
      <c r="Y596" t="s">
        <v>17</v>
      </c>
      <c r="Z596" t="str">
        <f>LOOKUP(B596,{0,1083,124200,681950},{"1st","2nd","3rd","4th"})&amp;" Quartile"</f>
        <v>2nd Quartile</v>
      </c>
    </row>
    <row r="597" spans="1:26">
      <c r="A597">
        <v>2019</v>
      </c>
      <c r="B597">
        <v>18700</v>
      </c>
      <c r="C597" t="s">
        <v>557</v>
      </c>
      <c r="D597" t="s">
        <v>558</v>
      </c>
      <c r="E597">
        <v>67</v>
      </c>
      <c r="F597" t="s">
        <v>557</v>
      </c>
      <c r="G597">
        <v>53</v>
      </c>
      <c r="H597">
        <v>0.85699999999999998</v>
      </c>
      <c r="I597">
        <v>0.57499999999999996</v>
      </c>
      <c r="J597">
        <v>-8.36</v>
      </c>
      <c r="K597">
        <v>1</v>
      </c>
      <c r="L597">
        <v>7</v>
      </c>
      <c r="M597">
        <v>0.221</v>
      </c>
      <c r="N597">
        <v>0.23899999999999999</v>
      </c>
      <c r="O597">
        <v>0</v>
      </c>
      <c r="P597">
        <v>0.29299999999999998</v>
      </c>
      <c r="Q597">
        <v>0.90100000000000002</v>
      </c>
      <c r="R597">
        <v>116.99299999999999</v>
      </c>
      <c r="S597">
        <v>4</v>
      </c>
      <c r="T597">
        <v>147692</v>
      </c>
      <c r="U597">
        <v>4</v>
      </c>
      <c r="V597">
        <v>147692</v>
      </c>
      <c r="W597">
        <v>4</v>
      </c>
      <c r="X597">
        <v>147692</v>
      </c>
      <c r="Y597" t="s">
        <v>17</v>
      </c>
      <c r="Z597" t="str">
        <f>LOOKUP(B597,{0,1083,124200,681950},{"1st","2nd","3rd","4th"})&amp;" Quartile"</f>
        <v>2nd Quartile</v>
      </c>
    </row>
    <row r="598" spans="1:26">
      <c r="A598">
        <v>2019</v>
      </c>
      <c r="B598">
        <v>18600</v>
      </c>
      <c r="C598" t="s">
        <v>179</v>
      </c>
      <c r="D598" t="s">
        <v>178</v>
      </c>
      <c r="E598">
        <v>48</v>
      </c>
      <c r="F598" t="s">
        <v>177</v>
      </c>
      <c r="G598">
        <v>0</v>
      </c>
      <c r="H598">
        <v>0.6</v>
      </c>
      <c r="I598">
        <v>0.52800000000000002</v>
      </c>
      <c r="J598">
        <v>-16.600999999999999</v>
      </c>
      <c r="K598">
        <v>1</v>
      </c>
      <c r="L598">
        <v>10</v>
      </c>
      <c r="M598">
        <v>3.85E-2</v>
      </c>
      <c r="N598">
        <v>0.752</v>
      </c>
      <c r="O598">
        <v>0.68400000000000005</v>
      </c>
      <c r="P598">
        <v>4.9299999999999997E-2</v>
      </c>
      <c r="Q598">
        <v>0.97099999999999997</v>
      </c>
      <c r="R598">
        <v>174.095</v>
      </c>
      <c r="S598">
        <v>4</v>
      </c>
      <c r="T598">
        <v>135027</v>
      </c>
      <c r="U598">
        <v>4</v>
      </c>
      <c r="V598">
        <v>135027</v>
      </c>
      <c r="W598">
        <v>4</v>
      </c>
      <c r="X598">
        <v>135027</v>
      </c>
      <c r="Y598" t="s">
        <v>17</v>
      </c>
      <c r="Z598" t="str">
        <f>LOOKUP(B598,{0,1083,124200,681950},{"1st","2nd","3rd","4th"})&amp;" Quartile"</f>
        <v>2nd Quartile</v>
      </c>
    </row>
    <row r="599" spans="1:26">
      <c r="A599">
        <v>2019</v>
      </c>
      <c r="B599">
        <v>18100</v>
      </c>
      <c r="C599" t="s">
        <v>360</v>
      </c>
      <c r="D599" t="s">
        <v>359</v>
      </c>
      <c r="E599">
        <v>70</v>
      </c>
      <c r="F599" t="s">
        <v>358</v>
      </c>
      <c r="G599">
        <v>77</v>
      </c>
      <c r="H599">
        <v>0.751</v>
      </c>
      <c r="I599">
        <v>0.501</v>
      </c>
      <c r="J599">
        <v>-12.151</v>
      </c>
      <c r="K599">
        <v>1</v>
      </c>
      <c r="L599">
        <v>5</v>
      </c>
      <c r="M599">
        <v>5.5100000000000003E-2</v>
      </c>
      <c r="N599">
        <v>0.23400000000000001</v>
      </c>
      <c r="O599">
        <v>0.112</v>
      </c>
      <c r="P599">
        <v>4.6699999999999998E-2</v>
      </c>
      <c r="Q599">
        <v>0.90200000000000002</v>
      </c>
      <c r="R599">
        <v>167.05699999999999</v>
      </c>
      <c r="S599">
        <v>4</v>
      </c>
      <c r="T599">
        <v>190627</v>
      </c>
      <c r="U599">
        <v>4</v>
      </c>
      <c r="V599">
        <v>190627</v>
      </c>
      <c r="W599">
        <v>4</v>
      </c>
      <c r="X599">
        <v>190627</v>
      </c>
      <c r="Y599" t="s">
        <v>17</v>
      </c>
      <c r="Z599" t="str">
        <f>LOOKUP(B599,{0,1083,124200,681950},{"1st","2nd","3rd","4th"})&amp;" Quartile"</f>
        <v>2nd Quartile</v>
      </c>
    </row>
    <row r="600" spans="1:26">
      <c r="A600">
        <v>2020</v>
      </c>
      <c r="B600">
        <v>18000</v>
      </c>
      <c r="C600" t="s">
        <v>95</v>
      </c>
      <c r="D600" t="s">
        <v>94</v>
      </c>
      <c r="E600">
        <v>73</v>
      </c>
      <c r="F600" t="s">
        <v>95</v>
      </c>
      <c r="G600">
        <v>65</v>
      </c>
      <c r="H600">
        <v>0.93200000000000005</v>
      </c>
      <c r="I600">
        <v>0.54700000000000004</v>
      </c>
      <c r="J600">
        <v>-7.7869999999999999</v>
      </c>
      <c r="K600">
        <v>0</v>
      </c>
      <c r="L600">
        <v>0</v>
      </c>
      <c r="M600">
        <v>0.33300000000000002</v>
      </c>
      <c r="N600">
        <v>3.8800000000000001E-2</v>
      </c>
      <c r="O600">
        <v>0</v>
      </c>
      <c r="P600">
        <v>9.2399999999999996E-2</v>
      </c>
      <c r="Q600">
        <v>0.69499999999999995</v>
      </c>
      <c r="R600">
        <v>94.998000000000005</v>
      </c>
      <c r="S600">
        <v>4</v>
      </c>
      <c r="T600">
        <v>176640</v>
      </c>
      <c r="U600">
        <v>4</v>
      </c>
      <c r="V600">
        <v>176640</v>
      </c>
      <c r="W600">
        <v>4</v>
      </c>
      <c r="X600">
        <v>176640</v>
      </c>
      <c r="Y600" t="s">
        <v>17</v>
      </c>
      <c r="Z600" t="str">
        <f>LOOKUP(B600,{0,1083,124200,681950},{"1st","2nd","3rd","4th"})&amp;" Quartile"</f>
        <v>2nd Quartile</v>
      </c>
    </row>
    <row r="601" spans="1:26">
      <c r="A601">
        <v>2019</v>
      </c>
      <c r="B601">
        <v>18000</v>
      </c>
      <c r="C601" t="s">
        <v>95</v>
      </c>
      <c r="D601" t="s">
        <v>94</v>
      </c>
      <c r="E601">
        <v>73</v>
      </c>
      <c r="F601" t="s">
        <v>93</v>
      </c>
      <c r="G601">
        <v>66</v>
      </c>
      <c r="H601">
        <v>0.93200000000000005</v>
      </c>
      <c r="I601">
        <v>0.54700000000000004</v>
      </c>
      <c r="J601">
        <v>-7.7869999999999999</v>
      </c>
      <c r="K601">
        <v>0</v>
      </c>
      <c r="L601">
        <v>0</v>
      </c>
      <c r="M601">
        <v>0.33300000000000002</v>
      </c>
      <c r="N601">
        <v>3.8800000000000001E-2</v>
      </c>
      <c r="O601">
        <v>0</v>
      </c>
      <c r="P601">
        <v>9.2399999999999996E-2</v>
      </c>
      <c r="Q601">
        <v>0.69499999999999995</v>
      </c>
      <c r="R601">
        <v>94.998000000000005</v>
      </c>
      <c r="S601">
        <v>4</v>
      </c>
      <c r="T601">
        <v>176640</v>
      </c>
      <c r="U601">
        <v>4</v>
      </c>
      <c r="V601">
        <v>176640</v>
      </c>
      <c r="W601">
        <v>4</v>
      </c>
      <c r="X601">
        <v>176640</v>
      </c>
      <c r="Y601" t="s">
        <v>17</v>
      </c>
      <c r="Z601" t="str">
        <f>LOOKUP(B601,{0,1083,124200,681950},{"1st","2nd","3rd","4th"})&amp;" Quartile"</f>
        <v>2nd Quartile</v>
      </c>
    </row>
    <row r="602" spans="1:26">
      <c r="A602">
        <v>2021</v>
      </c>
      <c r="B602">
        <v>17800</v>
      </c>
      <c r="C602" t="s">
        <v>1236</v>
      </c>
      <c r="D602" t="s">
        <v>235</v>
      </c>
      <c r="E602">
        <v>79</v>
      </c>
      <c r="F602" t="s">
        <v>234</v>
      </c>
      <c r="G602">
        <v>71</v>
      </c>
      <c r="H602">
        <v>0.45700000000000002</v>
      </c>
      <c r="I602">
        <v>0.82299999999999995</v>
      </c>
      <c r="J602">
        <v>-4.76</v>
      </c>
      <c r="K602">
        <v>1</v>
      </c>
      <c r="L602">
        <v>9</v>
      </c>
      <c r="M602">
        <v>0.311</v>
      </c>
      <c r="N602">
        <v>1.4400000000000001E-3</v>
      </c>
      <c r="O602">
        <v>0</v>
      </c>
      <c r="P602">
        <v>0.108</v>
      </c>
      <c r="Q602">
        <v>0.57799999999999996</v>
      </c>
      <c r="R602">
        <v>192.20500000000001</v>
      </c>
      <c r="S602">
        <v>4</v>
      </c>
      <c r="T602">
        <v>230733</v>
      </c>
      <c r="U602">
        <v>4</v>
      </c>
      <c r="V602">
        <v>230733</v>
      </c>
      <c r="W602">
        <v>4</v>
      </c>
      <c r="X602">
        <v>230733</v>
      </c>
      <c r="Y602" t="s">
        <v>17</v>
      </c>
      <c r="Z602" t="str">
        <f>LOOKUP(B602,{0,1083,124200,681950},{"1st","2nd","3rd","4th"})&amp;" Quartile"</f>
        <v>2nd Quartile</v>
      </c>
    </row>
    <row r="603" spans="1:26">
      <c r="A603">
        <v>2020</v>
      </c>
      <c r="B603">
        <v>17500</v>
      </c>
      <c r="C603" t="s">
        <v>701</v>
      </c>
      <c r="D603" t="s">
        <v>700</v>
      </c>
      <c r="E603">
        <v>69</v>
      </c>
      <c r="F603" t="s">
        <v>699</v>
      </c>
      <c r="G603">
        <v>67</v>
      </c>
      <c r="H603">
        <v>0.91</v>
      </c>
      <c r="I603">
        <v>0.44400000000000001</v>
      </c>
      <c r="J603">
        <v>-8.1259999999999994</v>
      </c>
      <c r="K603">
        <v>0</v>
      </c>
      <c r="L603">
        <v>1</v>
      </c>
      <c r="M603">
        <v>0.34399999999999997</v>
      </c>
      <c r="N603">
        <v>2.1999999999999999E-2</v>
      </c>
      <c r="O603">
        <v>0</v>
      </c>
      <c r="P603">
        <v>0.13700000000000001</v>
      </c>
      <c r="Q603">
        <v>0.53</v>
      </c>
      <c r="R603">
        <v>149.953</v>
      </c>
      <c r="S603">
        <v>4</v>
      </c>
      <c r="T603">
        <v>276333</v>
      </c>
      <c r="U603">
        <v>4</v>
      </c>
      <c r="V603">
        <v>276333</v>
      </c>
      <c r="W603">
        <v>4</v>
      </c>
      <c r="X603">
        <v>276333</v>
      </c>
      <c r="Y603" t="s">
        <v>17</v>
      </c>
      <c r="Z603" t="str">
        <f>LOOKUP(B603,{0,1083,124200,681950},{"1st","2nd","3rd","4th"})&amp;" Quartile"</f>
        <v>2nd Quartile</v>
      </c>
    </row>
    <row r="604" spans="1:26">
      <c r="A604">
        <v>2021</v>
      </c>
      <c r="B604">
        <v>17400</v>
      </c>
      <c r="C604" t="s">
        <v>1295</v>
      </c>
      <c r="D604" t="s">
        <v>1296</v>
      </c>
      <c r="E604">
        <v>59</v>
      </c>
      <c r="F604" t="s">
        <v>1295</v>
      </c>
      <c r="G604">
        <v>73</v>
      </c>
      <c r="H604">
        <v>0.65100000000000002</v>
      </c>
      <c r="I604">
        <v>0.29099999999999998</v>
      </c>
      <c r="J604">
        <v>-10.009</v>
      </c>
      <c r="K604">
        <v>1</v>
      </c>
      <c r="L604">
        <v>4</v>
      </c>
      <c r="M604">
        <v>3.2599999999999997E-2</v>
      </c>
      <c r="N604">
        <v>0.73799999999999999</v>
      </c>
      <c r="O604">
        <v>0</v>
      </c>
      <c r="P604">
        <v>0.115</v>
      </c>
      <c r="Q604">
        <v>0.30199999999999999</v>
      </c>
      <c r="R604">
        <v>124.898</v>
      </c>
      <c r="S604">
        <v>3</v>
      </c>
      <c r="T604">
        <v>210436</v>
      </c>
      <c r="U604">
        <v>3</v>
      </c>
      <c r="V604">
        <v>210436</v>
      </c>
      <c r="W604">
        <v>3</v>
      </c>
      <c r="X604">
        <v>210436</v>
      </c>
      <c r="Y604" t="s">
        <v>17</v>
      </c>
      <c r="Z604" t="str">
        <f>LOOKUP(B604,{0,1083,124200,681950},{"1st","2nd","3rd","4th"})&amp;" Quartile"</f>
        <v>2nd Quartile</v>
      </c>
    </row>
    <row r="605" spans="1:26">
      <c r="A605">
        <v>2019</v>
      </c>
      <c r="B605">
        <v>16800</v>
      </c>
      <c r="C605" t="s">
        <v>280</v>
      </c>
      <c r="D605" t="s">
        <v>281</v>
      </c>
      <c r="E605">
        <v>35</v>
      </c>
      <c r="F605" t="s">
        <v>280</v>
      </c>
      <c r="G605">
        <v>2</v>
      </c>
      <c r="H605">
        <v>0.88400000000000001</v>
      </c>
      <c r="I605">
        <v>0.54300000000000004</v>
      </c>
      <c r="J605">
        <v>-8.5519999999999996</v>
      </c>
      <c r="K605">
        <v>1</v>
      </c>
      <c r="L605">
        <v>11</v>
      </c>
      <c r="M605">
        <v>0.49199999999999999</v>
      </c>
      <c r="N605">
        <v>6.0299999999999999E-2</v>
      </c>
      <c r="O605">
        <v>0</v>
      </c>
      <c r="P605">
        <v>6.7199999999999996E-2</v>
      </c>
      <c r="Q605">
        <v>0.78300000000000003</v>
      </c>
      <c r="R605">
        <v>148.03700000000001</v>
      </c>
      <c r="S605">
        <v>4</v>
      </c>
      <c r="T605">
        <v>155742</v>
      </c>
      <c r="U605">
        <v>4</v>
      </c>
      <c r="V605">
        <v>155742</v>
      </c>
      <c r="W605">
        <v>4</v>
      </c>
      <c r="X605">
        <v>155742</v>
      </c>
      <c r="Y605" t="s">
        <v>17</v>
      </c>
      <c r="Z605" t="str">
        <f>LOOKUP(B605,{0,1083,124200,681950},{"1st","2nd","3rd","4th"})&amp;" Quartile"</f>
        <v>2nd Quartile</v>
      </c>
    </row>
    <row r="606" spans="1:26">
      <c r="A606">
        <v>2021</v>
      </c>
      <c r="B606">
        <v>16500</v>
      </c>
      <c r="C606" t="s">
        <v>1354</v>
      </c>
      <c r="D606" t="s">
        <v>1355</v>
      </c>
      <c r="E606">
        <v>59</v>
      </c>
      <c r="F606" t="s">
        <v>1354</v>
      </c>
      <c r="G606">
        <v>66</v>
      </c>
      <c r="H606">
        <v>0.71399999999999997</v>
      </c>
      <c r="I606">
        <v>0.88400000000000001</v>
      </c>
      <c r="J606">
        <v>-2.9319999999999999</v>
      </c>
      <c r="K606">
        <v>1</v>
      </c>
      <c r="L606">
        <v>11</v>
      </c>
      <c r="M606">
        <v>0.113</v>
      </c>
      <c r="N606">
        <v>9.8499999999999994E-3</v>
      </c>
      <c r="O606">
        <v>0</v>
      </c>
      <c r="P606">
        <v>0.439</v>
      </c>
      <c r="Q606">
        <v>0.58399999999999996</v>
      </c>
      <c r="R606">
        <v>145.07499999999999</v>
      </c>
      <c r="S606">
        <v>4</v>
      </c>
      <c r="T606">
        <v>178177</v>
      </c>
      <c r="U606">
        <v>4</v>
      </c>
      <c r="V606">
        <v>178177</v>
      </c>
      <c r="W606">
        <v>4</v>
      </c>
      <c r="X606">
        <v>178177</v>
      </c>
      <c r="Y606" t="s">
        <v>17</v>
      </c>
      <c r="Z606" t="str">
        <f>LOOKUP(B606,{0,1083,124200,681950},{"1st","2nd","3rd","4th"})&amp;" Quartile"</f>
        <v>2nd Quartile</v>
      </c>
    </row>
    <row r="607" spans="1:26">
      <c r="A607">
        <v>2021</v>
      </c>
      <c r="B607">
        <v>16500</v>
      </c>
      <c r="C607" t="s">
        <v>1265</v>
      </c>
      <c r="D607" t="s">
        <v>158</v>
      </c>
      <c r="E607">
        <v>76</v>
      </c>
      <c r="F607" t="s">
        <v>190</v>
      </c>
      <c r="G607">
        <v>78</v>
      </c>
      <c r="H607">
        <v>0.71099999999999997</v>
      </c>
      <c r="I607">
        <v>0.7</v>
      </c>
      <c r="J607">
        <v>-4.8049999999999997</v>
      </c>
      <c r="K607">
        <v>0</v>
      </c>
      <c r="L607">
        <v>1</v>
      </c>
      <c r="M607">
        <v>4.5999999999999999E-2</v>
      </c>
      <c r="N607">
        <v>4.9800000000000001E-3</v>
      </c>
      <c r="O607">
        <v>1.25E-4</v>
      </c>
      <c r="P607">
        <v>0.215</v>
      </c>
      <c r="Q607">
        <v>0.80100000000000005</v>
      </c>
      <c r="R607">
        <v>128.001</v>
      </c>
      <c r="S607">
        <v>4</v>
      </c>
      <c r="T607">
        <v>211920</v>
      </c>
      <c r="U607">
        <v>4</v>
      </c>
      <c r="V607">
        <v>211920</v>
      </c>
      <c r="W607">
        <v>4</v>
      </c>
      <c r="X607">
        <v>211920</v>
      </c>
      <c r="Y607" t="s">
        <v>17</v>
      </c>
      <c r="Z607" t="str">
        <f>LOOKUP(B607,{0,1083,124200,681950},{"1st","2nd","3rd","4th"})&amp;" Quartile"</f>
        <v>2nd Quartile</v>
      </c>
    </row>
    <row r="608" spans="1:26">
      <c r="A608">
        <v>2021</v>
      </c>
      <c r="B608">
        <v>16300</v>
      </c>
      <c r="C608" t="s">
        <v>1178</v>
      </c>
      <c r="D608" t="s">
        <v>1177</v>
      </c>
      <c r="E608">
        <v>65</v>
      </c>
      <c r="F608" t="s">
        <v>1176</v>
      </c>
      <c r="G608">
        <v>74</v>
      </c>
      <c r="H608">
        <v>0.435</v>
      </c>
      <c r="I608">
        <v>0.83699999999999997</v>
      </c>
      <c r="J608">
        <v>-8.1259999999999994</v>
      </c>
      <c r="K608">
        <v>1</v>
      </c>
      <c r="L608">
        <v>3</v>
      </c>
      <c r="M608">
        <v>0.44900000000000001</v>
      </c>
      <c r="N608">
        <v>6.7600000000000004E-3</v>
      </c>
      <c r="O608">
        <v>0</v>
      </c>
      <c r="P608">
        <v>0.11700000000000001</v>
      </c>
      <c r="Q608">
        <v>0.77800000000000002</v>
      </c>
      <c r="R608">
        <v>124.913</v>
      </c>
      <c r="S608">
        <v>4</v>
      </c>
      <c r="T608">
        <v>216893</v>
      </c>
      <c r="U608">
        <v>4</v>
      </c>
      <c r="V608">
        <v>216893</v>
      </c>
      <c r="W608">
        <v>4</v>
      </c>
      <c r="X608">
        <v>216893</v>
      </c>
      <c r="Y608" t="s">
        <v>17</v>
      </c>
      <c r="Z608" t="str">
        <f>LOOKUP(B608,{0,1083,124200,681950},{"1st","2nd","3rd","4th"})&amp;" Quartile"</f>
        <v>2nd Quartile</v>
      </c>
    </row>
    <row r="609" spans="1:26">
      <c r="A609">
        <v>2019</v>
      </c>
      <c r="B609">
        <v>16300</v>
      </c>
      <c r="C609" t="s">
        <v>544</v>
      </c>
      <c r="D609" t="s">
        <v>543</v>
      </c>
      <c r="E609">
        <v>47</v>
      </c>
      <c r="F609" t="s">
        <v>542</v>
      </c>
      <c r="G609">
        <v>0</v>
      </c>
      <c r="H609">
        <v>0.94399999999999995</v>
      </c>
      <c r="I609">
        <v>0.54100000000000004</v>
      </c>
      <c r="J609">
        <v>-9.61</v>
      </c>
      <c r="K609">
        <v>0</v>
      </c>
      <c r="L609">
        <v>6</v>
      </c>
      <c r="M609">
        <v>0.16600000000000001</v>
      </c>
      <c r="N609">
        <v>8.7900000000000006E-2</v>
      </c>
      <c r="O609">
        <v>1.1900000000000001E-4</v>
      </c>
      <c r="P609">
        <v>3.3000000000000002E-2</v>
      </c>
      <c r="Q609">
        <v>0.72399999999999998</v>
      </c>
      <c r="R609">
        <v>134.94200000000001</v>
      </c>
      <c r="S609">
        <v>4</v>
      </c>
      <c r="T609">
        <v>157333</v>
      </c>
      <c r="U609">
        <v>4</v>
      </c>
      <c r="V609">
        <v>157333</v>
      </c>
      <c r="W609">
        <v>4</v>
      </c>
      <c r="X609">
        <v>157333</v>
      </c>
      <c r="Y609" t="s">
        <v>17</v>
      </c>
      <c r="Z609" t="str">
        <f>LOOKUP(B609,{0,1083,124200,681950},{"1st","2nd","3rd","4th"})&amp;" Quartile"</f>
        <v>2nd Quartile</v>
      </c>
    </row>
    <row r="610" spans="1:26">
      <c r="A610">
        <v>2020</v>
      </c>
      <c r="B610">
        <v>15800</v>
      </c>
      <c r="C610" t="s">
        <v>789</v>
      </c>
      <c r="D610" t="s">
        <v>788</v>
      </c>
      <c r="E610">
        <v>70</v>
      </c>
      <c r="F610" t="s">
        <v>787</v>
      </c>
      <c r="G610">
        <v>61</v>
      </c>
      <c r="H610">
        <v>0.78400000000000003</v>
      </c>
      <c r="I610">
        <v>0.29799999999999999</v>
      </c>
      <c r="J610">
        <v>-9.56</v>
      </c>
      <c r="K610">
        <v>0</v>
      </c>
      <c r="L610">
        <v>5</v>
      </c>
      <c r="M610">
        <v>5.4199999999999998E-2</v>
      </c>
      <c r="N610">
        <v>0.125</v>
      </c>
      <c r="O610">
        <v>3.1900000000000003E-5</v>
      </c>
      <c r="P610">
        <v>6.7799999999999999E-2</v>
      </c>
      <c r="Q610">
        <v>0.84599999999999997</v>
      </c>
      <c r="R610">
        <v>87.171999999999997</v>
      </c>
      <c r="S610">
        <v>4</v>
      </c>
      <c r="T610">
        <v>279240</v>
      </c>
      <c r="U610">
        <v>4</v>
      </c>
      <c r="V610">
        <v>279240</v>
      </c>
      <c r="W610">
        <v>4</v>
      </c>
      <c r="X610">
        <v>279240</v>
      </c>
      <c r="Y610" t="s">
        <v>17</v>
      </c>
      <c r="Z610" t="str">
        <f>LOOKUP(B610,{0,1083,124200,681950},{"1st","2nd","3rd","4th"})&amp;" Quartile"</f>
        <v>2nd Quartile</v>
      </c>
    </row>
    <row r="611" spans="1:26">
      <c r="A611">
        <v>2021</v>
      </c>
      <c r="B611">
        <v>15400</v>
      </c>
      <c r="C611" t="s">
        <v>1463</v>
      </c>
      <c r="D611" t="s">
        <v>1462</v>
      </c>
      <c r="E611">
        <v>56</v>
      </c>
      <c r="F611" t="s">
        <v>1461</v>
      </c>
      <c r="G611">
        <v>72</v>
      </c>
      <c r="H611">
        <v>0.63400000000000001</v>
      </c>
      <c r="I611">
        <v>0.92800000000000005</v>
      </c>
      <c r="J611">
        <v>-1.609</v>
      </c>
      <c r="K611">
        <v>1</v>
      </c>
      <c r="L611">
        <v>1</v>
      </c>
      <c r="M611">
        <v>5.1400000000000001E-2</v>
      </c>
      <c r="N611">
        <v>7.1900000000000002E-3</v>
      </c>
      <c r="O611">
        <v>2.5500000000000001E-6</v>
      </c>
      <c r="P611">
        <v>6.2600000000000003E-2</v>
      </c>
      <c r="Q611">
        <v>0.73799999999999999</v>
      </c>
      <c r="R611">
        <v>164.00700000000001</v>
      </c>
      <c r="S611">
        <v>4</v>
      </c>
      <c r="T611">
        <v>205373</v>
      </c>
      <c r="U611">
        <v>4</v>
      </c>
      <c r="V611">
        <v>205373</v>
      </c>
      <c r="W611">
        <v>4</v>
      </c>
      <c r="X611">
        <v>205373</v>
      </c>
      <c r="Y611" t="s">
        <v>17</v>
      </c>
      <c r="Z611" t="str">
        <f>LOOKUP(B611,{0,1083,124200,681950},{"1st","2nd","3rd","4th"})&amp;" Quartile"</f>
        <v>2nd Quartile</v>
      </c>
    </row>
    <row r="612" spans="1:26">
      <c r="A612">
        <v>2021</v>
      </c>
      <c r="B612">
        <v>15400</v>
      </c>
      <c r="C612" t="s">
        <v>1224</v>
      </c>
      <c r="D612" t="s">
        <v>1223</v>
      </c>
      <c r="E612">
        <v>65</v>
      </c>
      <c r="F612" t="s">
        <v>1222</v>
      </c>
      <c r="G612">
        <v>59</v>
      </c>
      <c r="H612">
        <v>0.62</v>
      </c>
      <c r="I612">
        <v>0.88400000000000001</v>
      </c>
      <c r="J612">
        <v>-4.1269999999999998</v>
      </c>
      <c r="K612">
        <v>1</v>
      </c>
      <c r="L612">
        <v>1</v>
      </c>
      <c r="M612">
        <v>4.41E-2</v>
      </c>
      <c r="N612">
        <v>5.9500000000000004E-3</v>
      </c>
      <c r="O612">
        <v>1.1000000000000001E-6</v>
      </c>
      <c r="P612">
        <v>0.20100000000000001</v>
      </c>
      <c r="Q612">
        <v>0.59399999999999997</v>
      </c>
      <c r="R612">
        <v>125.39</v>
      </c>
      <c r="S612">
        <v>4</v>
      </c>
      <c r="T612">
        <v>207307</v>
      </c>
      <c r="U612">
        <v>4</v>
      </c>
      <c r="V612">
        <v>207307</v>
      </c>
      <c r="W612">
        <v>4</v>
      </c>
      <c r="X612">
        <v>207307</v>
      </c>
      <c r="Y612" t="s">
        <v>17</v>
      </c>
      <c r="Z612" t="str">
        <f>LOOKUP(B612,{0,1083,124200,681950},{"1st","2nd","3rd","4th"})&amp;" Quartile"</f>
        <v>2nd Quartile</v>
      </c>
    </row>
    <row r="613" spans="1:26">
      <c r="A613">
        <v>2019</v>
      </c>
      <c r="B613">
        <v>15000</v>
      </c>
      <c r="C613" t="s">
        <v>522</v>
      </c>
      <c r="D613" t="s">
        <v>521</v>
      </c>
      <c r="E613">
        <v>59</v>
      </c>
      <c r="F613" t="s">
        <v>520</v>
      </c>
      <c r="G613">
        <v>63</v>
      </c>
      <c r="H613">
        <v>0.54900000000000004</v>
      </c>
      <c r="I613">
        <v>0.433</v>
      </c>
      <c r="J613">
        <v>-8.5259999999999998</v>
      </c>
      <c r="K613">
        <v>1</v>
      </c>
      <c r="L613">
        <v>7</v>
      </c>
      <c r="M613">
        <v>3.27E-2</v>
      </c>
      <c r="N613">
        <v>0.90600000000000003</v>
      </c>
      <c r="O613">
        <v>1.0800000000000001E-2</v>
      </c>
      <c r="P613">
        <v>7.7399999999999997E-2</v>
      </c>
      <c r="Q613">
        <v>0.48599999999999999</v>
      </c>
      <c r="R613">
        <v>116.068</v>
      </c>
      <c r="S613">
        <v>3</v>
      </c>
      <c r="T613">
        <v>155080</v>
      </c>
      <c r="U613">
        <v>3</v>
      </c>
      <c r="V613">
        <v>155080</v>
      </c>
      <c r="W613">
        <v>3</v>
      </c>
      <c r="X613">
        <v>155080</v>
      </c>
      <c r="Y613" t="s">
        <v>17</v>
      </c>
      <c r="Z613" t="str">
        <f>LOOKUP(B613,{0,1083,124200,681950},{"1st","2nd","3rd","4th"})&amp;" Quartile"</f>
        <v>2nd Quartile</v>
      </c>
    </row>
    <row r="614" spans="1:26">
      <c r="A614">
        <v>2020</v>
      </c>
      <c r="B614">
        <v>14800</v>
      </c>
      <c r="C614" t="s">
        <v>1001</v>
      </c>
      <c r="D614" t="s">
        <v>348</v>
      </c>
      <c r="E614">
        <v>73</v>
      </c>
      <c r="F614" t="s">
        <v>1000</v>
      </c>
      <c r="G614">
        <v>50</v>
      </c>
      <c r="H614">
        <v>0.66</v>
      </c>
      <c r="I614">
        <v>0.68899999999999995</v>
      </c>
      <c r="J614">
        <v>-2.6709999999999998</v>
      </c>
      <c r="K614">
        <v>0</v>
      </c>
      <c r="L614">
        <v>4</v>
      </c>
      <c r="M614">
        <v>3.3700000000000001E-2</v>
      </c>
      <c r="N614">
        <v>8.8400000000000006E-2</v>
      </c>
      <c r="O614">
        <v>0</v>
      </c>
      <c r="P614">
        <v>9.2200000000000004E-2</v>
      </c>
      <c r="Q614">
        <v>0.42699999999999999</v>
      </c>
      <c r="R614">
        <v>127.98</v>
      </c>
      <c r="S614">
        <v>4</v>
      </c>
      <c r="T614">
        <v>221075</v>
      </c>
      <c r="U614">
        <v>4</v>
      </c>
      <c r="V614">
        <v>221075</v>
      </c>
      <c r="W614">
        <v>4</v>
      </c>
      <c r="X614">
        <v>221075</v>
      </c>
      <c r="Y614" t="s">
        <v>17</v>
      </c>
      <c r="Z614" t="str">
        <f>LOOKUP(B614,{0,1083,124200,681950},{"1st","2nd","3rd","4th"})&amp;" Quartile"</f>
        <v>2nd Quartile</v>
      </c>
    </row>
    <row r="615" spans="1:26">
      <c r="A615">
        <v>2021</v>
      </c>
      <c r="B615">
        <v>14500</v>
      </c>
      <c r="C615" t="s">
        <v>1515</v>
      </c>
      <c r="D615" t="s">
        <v>1516</v>
      </c>
      <c r="E615">
        <v>65</v>
      </c>
      <c r="F615" t="s">
        <v>1515</v>
      </c>
      <c r="G615">
        <v>77</v>
      </c>
      <c r="H615">
        <v>0.55800000000000005</v>
      </c>
      <c r="I615">
        <v>0.45400000000000001</v>
      </c>
      <c r="J615">
        <v>-5.335</v>
      </c>
      <c r="K615">
        <v>1</v>
      </c>
      <c r="L615">
        <v>6</v>
      </c>
      <c r="M615">
        <v>5.5100000000000003E-2</v>
      </c>
      <c r="N615">
        <v>0.499</v>
      </c>
      <c r="O615">
        <v>0</v>
      </c>
      <c r="P615">
        <v>0.14599999999999999</v>
      </c>
      <c r="Q615">
        <v>0.42399999999999999</v>
      </c>
      <c r="R615">
        <v>113.12</v>
      </c>
      <c r="S615">
        <v>4</v>
      </c>
      <c r="T615">
        <v>158594</v>
      </c>
      <c r="U615">
        <v>4</v>
      </c>
      <c r="V615">
        <v>158594</v>
      </c>
      <c r="W615">
        <v>4</v>
      </c>
      <c r="X615">
        <v>158594</v>
      </c>
      <c r="Y615" t="s">
        <v>17</v>
      </c>
      <c r="Z615" t="str">
        <f>LOOKUP(B615,{0,1083,124200,681950},{"1st","2nd","3rd","4th"})&amp;" Quartile"</f>
        <v>2nd Quartile</v>
      </c>
    </row>
    <row r="616" spans="1:26">
      <c r="A616">
        <v>2021</v>
      </c>
      <c r="B616">
        <v>14100</v>
      </c>
      <c r="C616" t="s">
        <v>1190</v>
      </c>
      <c r="D616" t="s">
        <v>1191</v>
      </c>
      <c r="E616">
        <v>71</v>
      </c>
      <c r="F616" t="s">
        <v>1190</v>
      </c>
      <c r="G616">
        <v>87</v>
      </c>
      <c r="H616">
        <v>0.69499999999999995</v>
      </c>
      <c r="I616">
        <v>0.54</v>
      </c>
      <c r="J616">
        <v>-5.6920000000000002</v>
      </c>
      <c r="K616">
        <v>1</v>
      </c>
      <c r="L616">
        <v>4</v>
      </c>
      <c r="M616">
        <v>4.9299999999999997E-2</v>
      </c>
      <c r="N616">
        <v>0.29899999999999999</v>
      </c>
      <c r="O616">
        <v>0</v>
      </c>
      <c r="P616">
        <v>0.36699999999999999</v>
      </c>
      <c r="Q616">
        <v>0.41499999999999998</v>
      </c>
      <c r="R616">
        <v>121.932</v>
      </c>
      <c r="S616">
        <v>4</v>
      </c>
      <c r="T616">
        <v>168602</v>
      </c>
      <c r="U616">
        <v>4</v>
      </c>
      <c r="V616">
        <v>168602</v>
      </c>
      <c r="W616">
        <v>4</v>
      </c>
      <c r="X616">
        <v>168602</v>
      </c>
      <c r="Y616" t="s">
        <v>17</v>
      </c>
      <c r="Z616" t="str">
        <f>LOOKUP(B616,{0,1083,124200,681950},{"1st","2nd","3rd","4th"})&amp;" Quartile"</f>
        <v>2nd Quartile</v>
      </c>
    </row>
    <row r="617" spans="1:26">
      <c r="A617">
        <v>2021</v>
      </c>
      <c r="B617">
        <v>13800</v>
      </c>
      <c r="C617" t="s">
        <v>1473</v>
      </c>
      <c r="D617" t="s">
        <v>1472</v>
      </c>
      <c r="E617">
        <v>69</v>
      </c>
      <c r="F617" t="s">
        <v>1471</v>
      </c>
      <c r="G617">
        <v>73</v>
      </c>
      <c r="H617">
        <v>0.94</v>
      </c>
      <c r="I617">
        <v>0.33500000000000002</v>
      </c>
      <c r="J617">
        <v>-10.179</v>
      </c>
      <c r="K617">
        <v>0</v>
      </c>
      <c r="L617">
        <v>5</v>
      </c>
      <c r="M617">
        <v>0.505</v>
      </c>
      <c r="N617">
        <v>0.17</v>
      </c>
      <c r="O617">
        <v>0</v>
      </c>
      <c r="P617">
        <v>0.26200000000000001</v>
      </c>
      <c r="Q617">
        <v>0.70699999999999996</v>
      </c>
      <c r="R617">
        <v>120.04</v>
      </c>
      <c r="S617">
        <v>4</v>
      </c>
      <c r="T617">
        <v>209640</v>
      </c>
      <c r="U617">
        <v>4</v>
      </c>
      <c r="V617">
        <v>209640</v>
      </c>
      <c r="W617">
        <v>4</v>
      </c>
      <c r="X617">
        <v>209640</v>
      </c>
      <c r="Y617" t="s">
        <v>17</v>
      </c>
      <c r="Z617" t="str">
        <f>LOOKUP(B617,{0,1083,124200,681950},{"1st","2nd","3rd","4th"})&amp;" Quartile"</f>
        <v>2nd Quartile</v>
      </c>
    </row>
    <row r="618" spans="1:26">
      <c r="A618">
        <v>2019</v>
      </c>
      <c r="B618">
        <v>13400</v>
      </c>
      <c r="C618" t="s">
        <v>297</v>
      </c>
      <c r="D618" t="s">
        <v>296</v>
      </c>
      <c r="E618">
        <v>34</v>
      </c>
      <c r="F618" t="s">
        <v>295</v>
      </c>
      <c r="G618">
        <v>40</v>
      </c>
      <c r="H618">
        <v>0.80400000000000005</v>
      </c>
      <c r="I618">
        <v>0.439</v>
      </c>
      <c r="J618">
        <v>-9.6050000000000004</v>
      </c>
      <c r="K618">
        <v>1</v>
      </c>
      <c r="L618">
        <v>1</v>
      </c>
      <c r="M618">
        <v>0.36499999999999999</v>
      </c>
      <c r="N618">
        <v>0.35699999999999998</v>
      </c>
      <c r="O618">
        <v>0</v>
      </c>
      <c r="P618">
        <v>0.16200000000000001</v>
      </c>
      <c r="Q618">
        <v>0.32900000000000001</v>
      </c>
      <c r="R618">
        <v>150.03899999999999</v>
      </c>
      <c r="S618">
        <v>4</v>
      </c>
      <c r="T618">
        <v>167500</v>
      </c>
      <c r="U618">
        <v>4</v>
      </c>
      <c r="V618">
        <v>167500</v>
      </c>
      <c r="W618">
        <v>4</v>
      </c>
      <c r="X618">
        <v>167500</v>
      </c>
      <c r="Y618" t="s">
        <v>17</v>
      </c>
      <c r="Z618" t="str">
        <f>LOOKUP(B618,{0,1083,124200,681950},{"1st","2nd","3rd","4th"})&amp;" Quartile"</f>
        <v>2nd Quartile</v>
      </c>
    </row>
    <row r="619" spans="1:26">
      <c r="A619">
        <v>2022</v>
      </c>
      <c r="B619">
        <v>13300</v>
      </c>
      <c r="C619" t="s">
        <v>1474</v>
      </c>
      <c r="D619" t="s">
        <v>899</v>
      </c>
      <c r="E619">
        <v>85</v>
      </c>
      <c r="F619" t="s">
        <v>1382</v>
      </c>
      <c r="G619">
        <v>88</v>
      </c>
      <c r="H619">
        <v>0.56299999999999994</v>
      </c>
      <c r="I619">
        <v>0.66400000000000003</v>
      </c>
      <c r="J619">
        <v>-5.0439999999999996</v>
      </c>
      <c r="K619">
        <v>1</v>
      </c>
      <c r="L619">
        <v>9</v>
      </c>
      <c r="M619">
        <v>0.154</v>
      </c>
      <c r="N619">
        <v>0.33500000000000002</v>
      </c>
      <c r="O619">
        <v>0</v>
      </c>
      <c r="P619">
        <v>8.4900000000000003E-2</v>
      </c>
      <c r="Q619">
        <v>0.68799999999999994</v>
      </c>
      <c r="R619">
        <v>166.928</v>
      </c>
      <c r="S619">
        <v>4</v>
      </c>
      <c r="T619">
        <v>178147</v>
      </c>
      <c r="U619">
        <v>4</v>
      </c>
      <c r="V619">
        <v>178147</v>
      </c>
      <c r="W619">
        <v>4</v>
      </c>
      <c r="X619">
        <v>178147</v>
      </c>
      <c r="Y619" t="s">
        <v>17</v>
      </c>
      <c r="Z619" t="str">
        <f>LOOKUP(B619,{0,1083,124200,681950},{"1st","2nd","3rd","4th"})&amp;" Quartile"</f>
        <v>2nd Quartile</v>
      </c>
    </row>
    <row r="620" spans="1:26">
      <c r="A620">
        <v>2019</v>
      </c>
      <c r="B620">
        <v>12700</v>
      </c>
      <c r="C620" t="s">
        <v>552</v>
      </c>
      <c r="D620" t="s">
        <v>553</v>
      </c>
      <c r="E620">
        <v>32</v>
      </c>
      <c r="F620" t="s">
        <v>552</v>
      </c>
      <c r="G620">
        <v>44</v>
      </c>
      <c r="H620">
        <v>0.9</v>
      </c>
      <c r="I620">
        <v>0.72</v>
      </c>
      <c r="J620">
        <v>-5.4859999999999998</v>
      </c>
      <c r="K620">
        <v>0</v>
      </c>
      <c r="L620">
        <v>5</v>
      </c>
      <c r="M620">
        <v>0.23200000000000001</v>
      </c>
      <c r="N620">
        <v>5.0200000000000002E-3</v>
      </c>
      <c r="O620">
        <v>6.2600000000000002E-6</v>
      </c>
      <c r="P620">
        <v>0.54300000000000004</v>
      </c>
      <c r="Q620">
        <v>0.749</v>
      </c>
      <c r="R620">
        <v>122.994</v>
      </c>
      <c r="S620">
        <v>4</v>
      </c>
      <c r="T620">
        <v>106364</v>
      </c>
      <c r="U620">
        <v>4</v>
      </c>
      <c r="V620">
        <v>106364</v>
      </c>
      <c r="W620">
        <v>4</v>
      </c>
      <c r="X620">
        <v>106364</v>
      </c>
      <c r="Y620" t="s">
        <v>17</v>
      </c>
      <c r="Z620" t="str">
        <f>LOOKUP(B620,{0,1083,124200,681950},{"1st","2nd","3rd","4th"})&amp;" Quartile"</f>
        <v>2nd Quartile</v>
      </c>
    </row>
    <row r="621" spans="1:26">
      <c r="A621">
        <v>2020</v>
      </c>
      <c r="B621">
        <v>12400</v>
      </c>
      <c r="C621" t="s">
        <v>1090</v>
      </c>
      <c r="D621" t="s">
        <v>803</v>
      </c>
      <c r="E621">
        <v>75</v>
      </c>
      <c r="F621" t="s">
        <v>1089</v>
      </c>
      <c r="G621">
        <v>73</v>
      </c>
      <c r="H621">
        <v>0.69499999999999995</v>
      </c>
      <c r="I621">
        <v>0.81799999999999995</v>
      </c>
      <c r="J621">
        <v>-5.3789999999999996</v>
      </c>
      <c r="K621">
        <v>0</v>
      </c>
      <c r="L621">
        <v>5</v>
      </c>
      <c r="M621">
        <v>3.3399999999999999E-2</v>
      </c>
      <c r="N621">
        <v>6.4700000000000001E-3</v>
      </c>
      <c r="O621">
        <v>4.87E-6</v>
      </c>
      <c r="P621">
        <v>2.1899999999999999E-2</v>
      </c>
      <c r="Q621">
        <v>0.91600000000000004</v>
      </c>
      <c r="R621">
        <v>119.965</v>
      </c>
      <c r="S621">
        <v>4</v>
      </c>
      <c r="T621">
        <v>182693</v>
      </c>
      <c r="U621">
        <v>4</v>
      </c>
      <c r="V621">
        <v>182693</v>
      </c>
      <c r="W621">
        <v>4</v>
      </c>
      <c r="X621">
        <v>182693</v>
      </c>
      <c r="Y621" t="s">
        <v>17</v>
      </c>
      <c r="Z621" t="str">
        <f>LOOKUP(B621,{0,1083,124200,681950},{"1st","2nd","3rd","4th"})&amp;" Quartile"</f>
        <v>2nd Quartile</v>
      </c>
    </row>
    <row r="622" spans="1:26">
      <c r="A622">
        <v>2020</v>
      </c>
      <c r="B622">
        <v>12100</v>
      </c>
      <c r="C622" t="s">
        <v>667</v>
      </c>
      <c r="D622" t="s">
        <v>668</v>
      </c>
      <c r="E622">
        <v>69</v>
      </c>
      <c r="F622" t="s">
        <v>667</v>
      </c>
      <c r="G622">
        <v>74</v>
      </c>
      <c r="H622">
        <v>0.40699999999999997</v>
      </c>
      <c r="I622">
        <v>0.41599999999999998</v>
      </c>
      <c r="J622">
        <v>-8.9149999999999991</v>
      </c>
      <c r="K622">
        <v>0</v>
      </c>
      <c r="L622">
        <v>6</v>
      </c>
      <c r="M622">
        <v>0.17399999999999999</v>
      </c>
      <c r="N622">
        <v>0.65600000000000003</v>
      </c>
      <c r="O622">
        <v>0</v>
      </c>
      <c r="P622">
        <v>9.8100000000000007E-2</v>
      </c>
      <c r="Q622">
        <v>0.246</v>
      </c>
      <c r="R622">
        <v>176.947</v>
      </c>
      <c r="S622">
        <v>4</v>
      </c>
      <c r="T622">
        <v>175467</v>
      </c>
      <c r="U622">
        <v>4</v>
      </c>
      <c r="V622">
        <v>175467</v>
      </c>
      <c r="W622">
        <v>4</v>
      </c>
      <c r="X622">
        <v>175467</v>
      </c>
      <c r="Y622" t="s">
        <v>17</v>
      </c>
      <c r="Z622" t="str">
        <f>LOOKUP(B622,{0,1083,124200,681950},{"1st","2nd","3rd","4th"})&amp;" Quartile"</f>
        <v>2nd Quartile</v>
      </c>
    </row>
    <row r="623" spans="1:26">
      <c r="A623">
        <v>2021</v>
      </c>
      <c r="B623">
        <v>12000</v>
      </c>
      <c r="C623" t="s">
        <v>66</v>
      </c>
      <c r="D623" t="s">
        <v>67</v>
      </c>
      <c r="E623">
        <v>69</v>
      </c>
      <c r="F623" t="s">
        <v>66</v>
      </c>
      <c r="G623">
        <v>74</v>
      </c>
      <c r="H623">
        <v>0.72</v>
      </c>
      <c r="I623">
        <v>0.60699999999999998</v>
      </c>
      <c r="J623">
        <v>-4.1680000000000001</v>
      </c>
      <c r="K623">
        <v>1</v>
      </c>
      <c r="L623">
        <v>1</v>
      </c>
      <c r="M623">
        <v>3.2199999999999999E-2</v>
      </c>
      <c r="N623">
        <v>5.4300000000000001E-2</v>
      </c>
      <c r="O623">
        <v>0</v>
      </c>
      <c r="P623">
        <v>0.113</v>
      </c>
      <c r="Q623">
        <v>0.82799999999999996</v>
      </c>
      <c r="R623">
        <v>121.223</v>
      </c>
      <c r="S623">
        <v>4</v>
      </c>
      <c r="T623">
        <v>201947</v>
      </c>
      <c r="U623">
        <v>4</v>
      </c>
      <c r="V623">
        <v>201947</v>
      </c>
      <c r="W623">
        <v>4</v>
      </c>
      <c r="X623">
        <v>201947</v>
      </c>
      <c r="Y623" t="s">
        <v>17</v>
      </c>
      <c r="Z623" t="str">
        <f>LOOKUP(B623,{0,1083,124200,681950},{"1st","2nd","3rd","4th"})&amp;" Quartile"</f>
        <v>2nd Quartile</v>
      </c>
    </row>
    <row r="624" spans="1:26">
      <c r="A624">
        <v>2021</v>
      </c>
      <c r="B624">
        <v>11500</v>
      </c>
      <c r="C624" t="s">
        <v>1453</v>
      </c>
      <c r="D624" t="s">
        <v>1454</v>
      </c>
      <c r="E624">
        <v>24</v>
      </c>
      <c r="F624" t="s">
        <v>1453</v>
      </c>
      <c r="G624">
        <v>35</v>
      </c>
      <c r="H624">
        <v>0.624</v>
      </c>
      <c r="I624">
        <v>0.52800000000000002</v>
      </c>
      <c r="J624">
        <v>-6.6589999999999998</v>
      </c>
      <c r="K624">
        <v>1</v>
      </c>
      <c r="L624">
        <v>3</v>
      </c>
      <c r="M624">
        <v>7.0000000000000007E-2</v>
      </c>
      <c r="N624">
        <v>0.28399999999999997</v>
      </c>
      <c r="O624">
        <v>0</v>
      </c>
      <c r="P624">
        <v>5.4899999999999997E-2</v>
      </c>
      <c r="Q624">
        <v>0.64200000000000002</v>
      </c>
      <c r="R624">
        <v>179.8</v>
      </c>
      <c r="S624">
        <v>4</v>
      </c>
      <c r="T624">
        <v>125320</v>
      </c>
      <c r="U624">
        <v>4</v>
      </c>
      <c r="V624">
        <v>125320</v>
      </c>
      <c r="W624">
        <v>4</v>
      </c>
      <c r="X624">
        <v>125320</v>
      </c>
      <c r="Y624" t="s">
        <v>17</v>
      </c>
      <c r="Z624" t="str">
        <f>LOOKUP(B624,{0,1083,124200,681950},{"1st","2nd","3rd","4th"})&amp;" Quartile"</f>
        <v>2nd Quartile</v>
      </c>
    </row>
    <row r="625" spans="1:26">
      <c r="A625">
        <v>2021</v>
      </c>
      <c r="B625">
        <v>11500</v>
      </c>
      <c r="C625" t="s">
        <v>320</v>
      </c>
      <c r="D625" t="s">
        <v>1357</v>
      </c>
      <c r="E625">
        <v>85</v>
      </c>
      <c r="F625" t="s">
        <v>1356</v>
      </c>
      <c r="G625">
        <v>70</v>
      </c>
      <c r="H625">
        <v>0.66900000000000004</v>
      </c>
      <c r="I625">
        <v>0.63400000000000001</v>
      </c>
      <c r="J625">
        <v>-6.476</v>
      </c>
      <c r="K625">
        <v>1</v>
      </c>
      <c r="L625">
        <v>11</v>
      </c>
      <c r="M625">
        <v>3.27E-2</v>
      </c>
      <c r="N625">
        <v>1.2500000000000001E-2</v>
      </c>
      <c r="O625">
        <v>0</v>
      </c>
      <c r="P625">
        <v>9.4600000000000004E-2</v>
      </c>
      <c r="Q625">
        <v>0.496</v>
      </c>
      <c r="R625">
        <v>124.90600000000001</v>
      </c>
      <c r="S625">
        <v>4</v>
      </c>
      <c r="T625">
        <v>255053</v>
      </c>
      <c r="U625">
        <v>4</v>
      </c>
      <c r="V625">
        <v>255053</v>
      </c>
      <c r="W625">
        <v>4</v>
      </c>
      <c r="X625">
        <v>255053</v>
      </c>
      <c r="Y625" t="s">
        <v>17</v>
      </c>
      <c r="Z625" t="str">
        <f>LOOKUP(B625,{0,1083,124200,681950},{"1st","2nd","3rd","4th"})&amp;" Quartile"</f>
        <v>2nd Quartile</v>
      </c>
    </row>
    <row r="626" spans="1:26">
      <c r="A626">
        <v>2022</v>
      </c>
      <c r="B626">
        <v>11300</v>
      </c>
      <c r="C626" t="s">
        <v>1815</v>
      </c>
      <c r="D626" t="s">
        <v>1816</v>
      </c>
      <c r="E626">
        <v>59</v>
      </c>
      <c r="F626" t="s">
        <v>1815</v>
      </c>
      <c r="G626">
        <v>76</v>
      </c>
      <c r="H626">
        <v>0.73</v>
      </c>
      <c r="I626">
        <v>0.90700000000000003</v>
      </c>
      <c r="J626">
        <v>-3.72</v>
      </c>
      <c r="K626">
        <v>1</v>
      </c>
      <c r="L626">
        <v>2</v>
      </c>
      <c r="M626">
        <v>6.0600000000000001E-2</v>
      </c>
      <c r="N626">
        <v>9.2100000000000001E-2</v>
      </c>
      <c r="O626">
        <v>0.114</v>
      </c>
      <c r="P626">
        <v>0.23</v>
      </c>
      <c r="Q626">
        <v>0.249</v>
      </c>
      <c r="R626">
        <v>120.968</v>
      </c>
      <c r="S626">
        <v>4</v>
      </c>
      <c r="T626">
        <v>111074</v>
      </c>
      <c r="U626">
        <v>4</v>
      </c>
      <c r="V626">
        <v>111074</v>
      </c>
      <c r="W626">
        <v>4</v>
      </c>
      <c r="X626">
        <v>111074</v>
      </c>
      <c r="Y626" t="s">
        <v>17</v>
      </c>
      <c r="Z626" t="str">
        <f>LOOKUP(B626,{0,1083,124200,681950},{"1st","2nd","3rd","4th"})&amp;" Quartile"</f>
        <v>2nd Quartile</v>
      </c>
    </row>
    <row r="627" spans="1:26">
      <c r="A627">
        <v>2022</v>
      </c>
      <c r="B627">
        <v>11200</v>
      </c>
      <c r="C627" t="s">
        <v>1785</v>
      </c>
      <c r="D627" t="s">
        <v>54</v>
      </c>
      <c r="E627">
        <v>77</v>
      </c>
      <c r="F627" t="s">
        <v>1785</v>
      </c>
      <c r="G627">
        <v>76</v>
      </c>
      <c r="H627">
        <v>0.70599999999999996</v>
      </c>
      <c r="I627">
        <v>0.63300000000000001</v>
      </c>
      <c r="J627">
        <v>-9.5839999999999996</v>
      </c>
      <c r="K627">
        <v>1</v>
      </c>
      <c r="L627">
        <v>1</v>
      </c>
      <c r="M627">
        <v>4.19E-2</v>
      </c>
      <c r="N627">
        <v>0.26700000000000002</v>
      </c>
      <c r="O627">
        <v>1.9199999999999998E-2</v>
      </c>
      <c r="P627">
        <v>0.17499999999999999</v>
      </c>
      <c r="Q627">
        <v>0.375</v>
      </c>
      <c r="R627">
        <v>110.005</v>
      </c>
      <c r="S627">
        <v>4</v>
      </c>
      <c r="T627">
        <v>120157</v>
      </c>
      <c r="U627">
        <v>4</v>
      </c>
      <c r="V627">
        <v>120157</v>
      </c>
      <c r="W627">
        <v>4</v>
      </c>
      <c r="X627">
        <v>120157</v>
      </c>
      <c r="Y627" t="s">
        <v>17</v>
      </c>
      <c r="Z627" t="str">
        <f>LOOKUP(B627,{0,1083,124200,681950},{"1st","2nd","3rd","4th"})&amp;" Quartile"</f>
        <v>2nd Quartile</v>
      </c>
    </row>
    <row r="628" spans="1:26">
      <c r="A628">
        <v>2019</v>
      </c>
      <c r="B628">
        <v>11100</v>
      </c>
      <c r="C628" t="s">
        <v>156</v>
      </c>
      <c r="D628" t="s">
        <v>155</v>
      </c>
      <c r="E628">
        <v>69</v>
      </c>
      <c r="F628" t="s">
        <v>154</v>
      </c>
      <c r="G628">
        <v>74</v>
      </c>
      <c r="H628">
        <v>0.73599999999999999</v>
      </c>
      <c r="I628">
        <v>0.74</v>
      </c>
      <c r="J628">
        <v>-2.1800000000000002</v>
      </c>
      <c r="K628">
        <v>1</v>
      </c>
      <c r="L628">
        <v>0</v>
      </c>
      <c r="M628">
        <v>7.8600000000000003E-2</v>
      </c>
      <c r="N628">
        <v>0.51500000000000001</v>
      </c>
      <c r="O628">
        <v>0</v>
      </c>
      <c r="P628">
        <v>4.6800000000000001E-2</v>
      </c>
      <c r="Q628">
        <v>0.80300000000000005</v>
      </c>
      <c r="R628">
        <v>140.14099999999999</v>
      </c>
      <c r="S628">
        <v>4</v>
      </c>
      <c r="T628">
        <v>221933</v>
      </c>
      <c r="U628">
        <v>4</v>
      </c>
      <c r="V628">
        <v>221933</v>
      </c>
      <c r="W628">
        <v>4</v>
      </c>
      <c r="X628">
        <v>221933</v>
      </c>
      <c r="Y628" t="s">
        <v>17</v>
      </c>
      <c r="Z628" t="str">
        <f>LOOKUP(B628,{0,1083,124200,681950},{"1st","2nd","3rd","4th"})&amp;" Quartile"</f>
        <v>2nd Quartile</v>
      </c>
    </row>
    <row r="629" spans="1:26">
      <c r="A629">
        <v>2019</v>
      </c>
      <c r="B629">
        <v>10800</v>
      </c>
      <c r="C629" t="s">
        <v>449</v>
      </c>
      <c r="D629" t="s">
        <v>450</v>
      </c>
      <c r="E629">
        <v>32</v>
      </c>
      <c r="F629" t="s">
        <v>449</v>
      </c>
      <c r="G629">
        <v>50</v>
      </c>
      <c r="H629">
        <v>0.84499999999999997</v>
      </c>
      <c r="I629">
        <v>0.79100000000000004</v>
      </c>
      <c r="J629">
        <v>-3.6739999999999999</v>
      </c>
      <c r="K629">
        <v>1</v>
      </c>
      <c r="L629">
        <v>3</v>
      </c>
      <c r="M629">
        <v>0.161</v>
      </c>
      <c r="N629">
        <v>1.8599999999999998E-2</v>
      </c>
      <c r="O629">
        <v>0.107</v>
      </c>
      <c r="P629">
        <v>9.5699999999999993E-2</v>
      </c>
      <c r="Q629">
        <v>0.84299999999999997</v>
      </c>
      <c r="R629">
        <v>117.98699999999999</v>
      </c>
      <c r="S629">
        <v>4</v>
      </c>
      <c r="T629">
        <v>196400</v>
      </c>
      <c r="U629">
        <v>4</v>
      </c>
      <c r="V629">
        <v>196400</v>
      </c>
      <c r="W629">
        <v>4</v>
      </c>
      <c r="X629">
        <v>196400</v>
      </c>
      <c r="Y629" t="s">
        <v>17</v>
      </c>
      <c r="Z629" t="str">
        <f>LOOKUP(B629,{0,1083,124200,681950},{"1st","2nd","3rd","4th"})&amp;" Quartile"</f>
        <v>2nd Quartile</v>
      </c>
    </row>
    <row r="630" spans="1:26">
      <c r="A630">
        <v>2019</v>
      </c>
      <c r="B630">
        <v>10600</v>
      </c>
      <c r="C630" t="s">
        <v>497</v>
      </c>
      <c r="D630" t="s">
        <v>498</v>
      </c>
      <c r="E630">
        <v>41</v>
      </c>
      <c r="F630" t="s">
        <v>497</v>
      </c>
      <c r="G630">
        <v>56</v>
      </c>
      <c r="H630">
        <v>0.97799999999999998</v>
      </c>
      <c r="I630">
        <v>0.47699999999999998</v>
      </c>
      <c r="J630">
        <v>-8.1590000000000007</v>
      </c>
      <c r="K630">
        <v>1</v>
      </c>
      <c r="L630">
        <v>8</v>
      </c>
      <c r="M630">
        <v>0.155</v>
      </c>
      <c r="N630">
        <v>1.4300000000000001E-4</v>
      </c>
      <c r="O630">
        <v>0</v>
      </c>
      <c r="P630">
        <v>0.13300000000000001</v>
      </c>
      <c r="Q630">
        <v>0.19600000000000001</v>
      </c>
      <c r="R630">
        <v>110.002</v>
      </c>
      <c r="S630">
        <v>4</v>
      </c>
      <c r="T630">
        <v>109091</v>
      </c>
      <c r="U630">
        <v>4</v>
      </c>
      <c r="V630">
        <v>109091</v>
      </c>
      <c r="W630">
        <v>4</v>
      </c>
      <c r="X630">
        <v>109091</v>
      </c>
      <c r="Y630" t="s">
        <v>17</v>
      </c>
      <c r="Z630" t="str">
        <f>LOOKUP(B630,{0,1083,124200,681950},{"1st","2nd","3rd","4th"})&amp;" Quartile"</f>
        <v>2nd Quartile</v>
      </c>
    </row>
    <row r="631" spans="1:26">
      <c r="A631">
        <v>2019</v>
      </c>
      <c r="B631">
        <v>10500</v>
      </c>
      <c r="C631" t="s">
        <v>301</v>
      </c>
      <c r="D631" t="s">
        <v>302</v>
      </c>
      <c r="E631">
        <v>41</v>
      </c>
      <c r="F631" t="s">
        <v>301</v>
      </c>
      <c r="G631">
        <v>0</v>
      </c>
      <c r="H631">
        <v>0.72899999999999998</v>
      </c>
      <c r="I631">
        <v>0.84199999999999997</v>
      </c>
      <c r="J631">
        <v>-2.9969999999999999</v>
      </c>
      <c r="K631">
        <v>1</v>
      </c>
      <c r="L631">
        <v>1</v>
      </c>
      <c r="M631">
        <v>0.26100000000000001</v>
      </c>
      <c r="N631">
        <v>5.9700000000000003E-2</v>
      </c>
      <c r="O631">
        <v>3.1099999999999999E-6</v>
      </c>
      <c r="P631">
        <v>0.31900000000000001</v>
      </c>
      <c r="Q631">
        <v>0.57399999999999995</v>
      </c>
      <c r="R631">
        <v>64.808000000000007</v>
      </c>
      <c r="S631">
        <v>4</v>
      </c>
      <c r="T631">
        <v>133116</v>
      </c>
      <c r="U631">
        <v>4</v>
      </c>
      <c r="V631">
        <v>133116</v>
      </c>
      <c r="W631">
        <v>4</v>
      </c>
      <c r="X631">
        <v>133116</v>
      </c>
      <c r="Y631" t="s">
        <v>17</v>
      </c>
      <c r="Z631" t="str">
        <f>LOOKUP(B631,{0,1083,124200,681950},{"1st","2nd","3rd","4th"})&amp;" Quartile"</f>
        <v>2nd Quartile</v>
      </c>
    </row>
    <row r="632" spans="1:26">
      <c r="A632">
        <v>2019</v>
      </c>
      <c r="B632">
        <v>9931</v>
      </c>
      <c r="C632" t="s">
        <v>285</v>
      </c>
      <c r="D632" t="s">
        <v>286</v>
      </c>
      <c r="E632">
        <v>79</v>
      </c>
      <c r="F632" t="s">
        <v>285</v>
      </c>
      <c r="G632">
        <v>50</v>
      </c>
      <c r="H632">
        <v>0.75900000000000001</v>
      </c>
      <c r="I632">
        <v>0.61299999999999999</v>
      </c>
      <c r="J632">
        <v>-7.91</v>
      </c>
      <c r="K632">
        <v>1</v>
      </c>
      <c r="L632">
        <v>7</v>
      </c>
      <c r="M632">
        <v>0.105</v>
      </c>
      <c r="N632">
        <v>0.81599999999999995</v>
      </c>
      <c r="O632">
        <v>0</v>
      </c>
      <c r="P632">
        <v>8.1600000000000006E-2</v>
      </c>
      <c r="Q632">
        <v>0.32900000000000001</v>
      </c>
      <c r="R632">
        <v>97.012</v>
      </c>
      <c r="S632">
        <v>4</v>
      </c>
      <c r="T632">
        <v>220333</v>
      </c>
      <c r="U632">
        <v>4</v>
      </c>
      <c r="V632">
        <v>220333</v>
      </c>
      <c r="W632">
        <v>4</v>
      </c>
      <c r="X632">
        <v>220333</v>
      </c>
      <c r="Y632" t="s">
        <v>17</v>
      </c>
      <c r="Z632" t="str">
        <f>LOOKUP(B632,{0,1083,124200,681950},{"1st","2nd","3rd","4th"})&amp;" Quartile"</f>
        <v>2nd Quartile</v>
      </c>
    </row>
    <row r="633" spans="1:26">
      <c r="A633">
        <v>2020</v>
      </c>
      <c r="B633">
        <v>9924</v>
      </c>
      <c r="C633" t="s">
        <v>973</v>
      </c>
      <c r="D633" t="s">
        <v>974</v>
      </c>
      <c r="E633">
        <v>20</v>
      </c>
      <c r="F633" t="s">
        <v>973</v>
      </c>
      <c r="G633">
        <v>29</v>
      </c>
      <c r="H633">
        <v>0.97699999999999998</v>
      </c>
      <c r="I633">
        <v>0.39</v>
      </c>
      <c r="J633">
        <v>-10.025</v>
      </c>
      <c r="K633">
        <v>1</v>
      </c>
      <c r="L633">
        <v>1</v>
      </c>
      <c r="M633">
        <v>0.30199999999999999</v>
      </c>
      <c r="N633">
        <v>0.214</v>
      </c>
      <c r="O633">
        <v>6.0599999999999996E-6</v>
      </c>
      <c r="P633">
        <v>5.8000000000000003E-2</v>
      </c>
      <c r="Q633">
        <v>0.96199999999999997</v>
      </c>
      <c r="R633">
        <v>124.036</v>
      </c>
      <c r="S633">
        <v>4</v>
      </c>
      <c r="T633">
        <v>281313</v>
      </c>
      <c r="U633">
        <v>4</v>
      </c>
      <c r="V633">
        <v>281313</v>
      </c>
      <c r="W633">
        <v>4</v>
      </c>
      <c r="X633">
        <v>281313</v>
      </c>
      <c r="Y633" t="s">
        <v>17</v>
      </c>
      <c r="Z633" t="str">
        <f>LOOKUP(B633,{0,1083,124200,681950},{"1st","2nd","3rd","4th"})&amp;" Quartile"</f>
        <v>2nd Quartile</v>
      </c>
    </row>
    <row r="634" spans="1:26">
      <c r="A634">
        <v>2020</v>
      </c>
      <c r="B634">
        <v>9568</v>
      </c>
      <c r="C634" t="s">
        <v>618</v>
      </c>
      <c r="D634" t="s">
        <v>617</v>
      </c>
      <c r="E634">
        <v>79</v>
      </c>
      <c r="F634" t="s">
        <v>616</v>
      </c>
      <c r="G634">
        <v>70</v>
      </c>
      <c r="H634">
        <v>0.65100000000000002</v>
      </c>
      <c r="I634">
        <v>0.69499999999999995</v>
      </c>
      <c r="J634">
        <v>-3.218</v>
      </c>
      <c r="K634">
        <v>1</v>
      </c>
      <c r="L634">
        <v>6</v>
      </c>
      <c r="M634">
        <v>4.87E-2</v>
      </c>
      <c r="N634">
        <v>0.23</v>
      </c>
      <c r="O634">
        <v>0</v>
      </c>
      <c r="P634">
        <v>0.14399999999999999</v>
      </c>
      <c r="Q634">
        <v>0.56899999999999995</v>
      </c>
      <c r="R634">
        <v>123.008</v>
      </c>
      <c r="S634">
        <v>4</v>
      </c>
      <c r="T634">
        <v>205347</v>
      </c>
      <c r="U634">
        <v>4</v>
      </c>
      <c r="V634">
        <v>205347</v>
      </c>
      <c r="W634">
        <v>4</v>
      </c>
      <c r="X634">
        <v>205347</v>
      </c>
      <c r="Y634" t="s">
        <v>17</v>
      </c>
      <c r="Z634" t="str">
        <f>LOOKUP(B634,{0,1083,124200,681950},{"1st","2nd","3rd","4th"})&amp;" Quartile"</f>
        <v>2nd Quartile</v>
      </c>
    </row>
    <row r="635" spans="1:26">
      <c r="A635">
        <v>2022</v>
      </c>
      <c r="B635">
        <v>9257</v>
      </c>
      <c r="C635" t="s">
        <v>1801</v>
      </c>
      <c r="D635" t="s">
        <v>1800</v>
      </c>
      <c r="E635">
        <v>89</v>
      </c>
      <c r="F635" t="s">
        <v>1799</v>
      </c>
      <c r="G635">
        <v>83</v>
      </c>
      <c r="H635">
        <v>0.66900000000000004</v>
      </c>
      <c r="I635">
        <v>0.77300000000000002</v>
      </c>
      <c r="J635">
        <v>-5.6189999999999998</v>
      </c>
      <c r="K635">
        <v>1</v>
      </c>
      <c r="L635">
        <v>0</v>
      </c>
      <c r="M635">
        <v>0.153</v>
      </c>
      <c r="N635">
        <v>3.7999999999999999E-2</v>
      </c>
      <c r="O635">
        <v>0</v>
      </c>
      <c r="P635">
        <v>0.113</v>
      </c>
      <c r="Q635">
        <v>0.377</v>
      </c>
      <c r="R635">
        <v>93.923000000000002</v>
      </c>
      <c r="S635">
        <v>4</v>
      </c>
      <c r="T635">
        <v>185857</v>
      </c>
      <c r="U635">
        <v>4</v>
      </c>
      <c r="V635">
        <v>185857</v>
      </c>
      <c r="W635">
        <v>4</v>
      </c>
      <c r="X635">
        <v>185857</v>
      </c>
      <c r="Y635" t="s">
        <v>17</v>
      </c>
      <c r="Z635" t="str">
        <f>LOOKUP(B635,{0,1083,124200,681950},{"1st","2nd","3rd","4th"})&amp;" Quartile"</f>
        <v>2nd Quartile</v>
      </c>
    </row>
    <row r="636" spans="1:26">
      <c r="A636">
        <v>2022</v>
      </c>
      <c r="B636">
        <v>9230</v>
      </c>
      <c r="C636" t="s">
        <v>1780</v>
      </c>
      <c r="D636" t="s">
        <v>1779</v>
      </c>
      <c r="E636">
        <v>65</v>
      </c>
      <c r="F636" t="s">
        <v>1779</v>
      </c>
      <c r="G636">
        <v>81</v>
      </c>
      <c r="H636">
        <v>0.77300000000000002</v>
      </c>
      <c r="I636">
        <v>0.47</v>
      </c>
      <c r="J636">
        <v>-7.93</v>
      </c>
      <c r="K636">
        <v>1</v>
      </c>
      <c r="L636">
        <v>2</v>
      </c>
      <c r="M636">
        <v>2.9899999999999999E-2</v>
      </c>
      <c r="N636">
        <v>1.5299999999999999E-2</v>
      </c>
      <c r="O636">
        <v>1.93E-4</v>
      </c>
      <c r="P636">
        <v>8.5099999999999995E-2</v>
      </c>
      <c r="Q636">
        <v>0.39900000000000002</v>
      </c>
      <c r="R636">
        <v>94.995000000000005</v>
      </c>
      <c r="S636">
        <v>4</v>
      </c>
      <c r="T636">
        <v>162680</v>
      </c>
      <c r="U636">
        <v>4</v>
      </c>
      <c r="V636">
        <v>162680</v>
      </c>
      <c r="W636">
        <v>4</v>
      </c>
      <c r="X636">
        <v>162680</v>
      </c>
      <c r="Y636" t="s">
        <v>17</v>
      </c>
      <c r="Z636" t="str">
        <f>LOOKUP(B636,{0,1083,124200,681950},{"1st","2nd","3rd","4th"})&amp;" Quartile"</f>
        <v>2nd Quartile</v>
      </c>
    </row>
    <row r="637" spans="1:26">
      <c r="A637">
        <v>2019</v>
      </c>
      <c r="B637">
        <v>9213</v>
      </c>
      <c r="C637" t="s">
        <v>144</v>
      </c>
      <c r="D637" t="s">
        <v>145</v>
      </c>
      <c r="E637">
        <v>53</v>
      </c>
      <c r="F637" t="s">
        <v>144</v>
      </c>
      <c r="G637">
        <v>49</v>
      </c>
      <c r="H637">
        <v>0.93700000000000006</v>
      </c>
      <c r="I637">
        <v>0.39700000000000002</v>
      </c>
      <c r="J637">
        <v>-9.4139999999999997</v>
      </c>
      <c r="K637">
        <v>1</v>
      </c>
      <c r="L637">
        <v>8</v>
      </c>
      <c r="M637">
        <v>0.41799999999999998</v>
      </c>
      <c r="N637">
        <v>9.1499999999999998E-2</v>
      </c>
      <c r="O637">
        <v>0</v>
      </c>
      <c r="P637">
        <v>9.1899999999999996E-2</v>
      </c>
      <c r="Q637">
        <v>0.60299999999999998</v>
      </c>
      <c r="R637">
        <v>128.56100000000001</v>
      </c>
      <c r="S637">
        <v>4</v>
      </c>
      <c r="T637">
        <v>75717</v>
      </c>
      <c r="U637">
        <v>4</v>
      </c>
      <c r="V637">
        <v>75717</v>
      </c>
      <c r="W637">
        <v>4</v>
      </c>
      <c r="X637">
        <v>75717</v>
      </c>
      <c r="Y637" t="s">
        <v>17</v>
      </c>
      <c r="Z637" t="str">
        <f>LOOKUP(B637,{0,1083,124200,681950},{"1st","2nd","3rd","4th"})&amp;" Quartile"</f>
        <v>2nd Quartile</v>
      </c>
    </row>
    <row r="638" spans="1:26">
      <c r="A638">
        <v>2022</v>
      </c>
      <c r="B638">
        <v>8935</v>
      </c>
      <c r="C638" t="s">
        <v>1692</v>
      </c>
      <c r="D638" t="s">
        <v>1693</v>
      </c>
      <c r="E638">
        <v>34</v>
      </c>
      <c r="F638" t="s">
        <v>1692</v>
      </c>
      <c r="G638">
        <v>49</v>
      </c>
      <c r="H638">
        <v>0.68700000000000006</v>
      </c>
      <c r="I638">
        <v>0.67900000000000005</v>
      </c>
      <c r="J638">
        <v>-9.4260000000000002</v>
      </c>
      <c r="K638">
        <v>0</v>
      </c>
      <c r="L638">
        <v>1</v>
      </c>
      <c r="M638">
        <v>4.3200000000000002E-2</v>
      </c>
      <c r="N638">
        <v>0.109</v>
      </c>
      <c r="O638">
        <v>9.859999999999999E-4</v>
      </c>
      <c r="P638">
        <v>0.104</v>
      </c>
      <c r="Q638">
        <v>0.61399999999999999</v>
      </c>
      <c r="R638">
        <v>123.976</v>
      </c>
      <c r="S638">
        <v>4</v>
      </c>
      <c r="T638">
        <v>144677</v>
      </c>
      <c r="U638">
        <v>4</v>
      </c>
      <c r="V638">
        <v>144677</v>
      </c>
      <c r="W638">
        <v>4</v>
      </c>
      <c r="X638">
        <v>144677</v>
      </c>
      <c r="Y638" t="s">
        <v>17</v>
      </c>
      <c r="Z638" t="str">
        <f>LOOKUP(B638,{0,1083,124200,681950},{"1st","2nd","3rd","4th"})&amp;" Quartile"</f>
        <v>2nd Quartile</v>
      </c>
    </row>
    <row r="639" spans="1:26">
      <c r="A639">
        <v>2019</v>
      </c>
      <c r="B639">
        <v>8529</v>
      </c>
      <c r="C639" t="s">
        <v>531</v>
      </c>
      <c r="D639" t="s">
        <v>532</v>
      </c>
      <c r="E639">
        <v>78</v>
      </c>
      <c r="F639" t="s">
        <v>531</v>
      </c>
      <c r="G639">
        <v>67</v>
      </c>
      <c r="H639">
        <v>0.87</v>
      </c>
      <c r="I639">
        <v>0.46400000000000002</v>
      </c>
      <c r="J639">
        <v>-8.3369999999999997</v>
      </c>
      <c r="K639">
        <v>1</v>
      </c>
      <c r="L639">
        <v>4</v>
      </c>
      <c r="M639">
        <v>0.17799999999999999</v>
      </c>
      <c r="N639">
        <v>0.20499999999999999</v>
      </c>
      <c r="O639">
        <v>0</v>
      </c>
      <c r="P639">
        <v>9.0200000000000002E-2</v>
      </c>
      <c r="Q639">
        <v>0.45700000000000002</v>
      </c>
      <c r="R639">
        <v>112.974</v>
      </c>
      <c r="S639">
        <v>4</v>
      </c>
      <c r="T639">
        <v>251989</v>
      </c>
      <c r="U639">
        <v>4</v>
      </c>
      <c r="V639">
        <v>251989</v>
      </c>
      <c r="W639">
        <v>4</v>
      </c>
      <c r="X639">
        <v>251989</v>
      </c>
      <c r="Y639" t="s">
        <v>17</v>
      </c>
      <c r="Z639" t="str">
        <f>LOOKUP(B639,{0,1083,124200,681950},{"1st","2nd","3rd","4th"})&amp;" Quartile"</f>
        <v>2nd Quartile</v>
      </c>
    </row>
    <row r="640" spans="1:26">
      <c r="A640">
        <v>2019</v>
      </c>
      <c r="B640">
        <v>8452</v>
      </c>
      <c r="C640" t="s">
        <v>323</v>
      </c>
      <c r="D640" t="s">
        <v>324</v>
      </c>
      <c r="E640">
        <v>67</v>
      </c>
      <c r="F640" t="s">
        <v>323</v>
      </c>
      <c r="G640">
        <v>79</v>
      </c>
      <c r="H640">
        <v>0.52900000000000003</v>
      </c>
      <c r="I640">
        <v>0.127</v>
      </c>
      <c r="J640">
        <v>-16.065999999999999</v>
      </c>
      <c r="K640">
        <v>1</v>
      </c>
      <c r="L640">
        <v>11</v>
      </c>
      <c r="M640">
        <v>2.7400000000000001E-2</v>
      </c>
      <c r="N640">
        <v>0.61099999999999999</v>
      </c>
      <c r="O640">
        <v>1.0900000000000001E-4</v>
      </c>
      <c r="P640">
        <v>0.23699999999999999</v>
      </c>
      <c r="Q640">
        <v>0.57799999999999996</v>
      </c>
      <c r="R640">
        <v>63.05</v>
      </c>
      <c r="S640">
        <v>4</v>
      </c>
      <c r="T640">
        <v>203573</v>
      </c>
      <c r="U640">
        <v>4</v>
      </c>
      <c r="V640">
        <v>203573</v>
      </c>
      <c r="W640">
        <v>4</v>
      </c>
      <c r="X640">
        <v>203573</v>
      </c>
      <c r="Y640" t="s">
        <v>17</v>
      </c>
      <c r="Z640" t="str">
        <f>LOOKUP(B640,{0,1083,124200,681950},{"1st","2nd","3rd","4th"})&amp;" Quartile"</f>
        <v>2nd Quartile</v>
      </c>
    </row>
    <row r="641" spans="1:26">
      <c r="A641">
        <v>2020</v>
      </c>
      <c r="B641">
        <v>8366</v>
      </c>
      <c r="C641" t="s">
        <v>925</v>
      </c>
      <c r="D641" t="s">
        <v>924</v>
      </c>
      <c r="E641">
        <v>65</v>
      </c>
      <c r="F641" t="s">
        <v>923</v>
      </c>
      <c r="G641">
        <v>63</v>
      </c>
      <c r="H641">
        <v>0.82199999999999995</v>
      </c>
      <c r="I641">
        <v>0.66</v>
      </c>
      <c r="J641">
        <v>-3.637</v>
      </c>
      <c r="K641">
        <v>1</v>
      </c>
      <c r="L641">
        <v>1</v>
      </c>
      <c r="M641">
        <v>8.1900000000000001E-2</v>
      </c>
      <c r="N641">
        <v>0.111</v>
      </c>
      <c r="O641">
        <v>0</v>
      </c>
      <c r="P641">
        <v>0.14299999999999999</v>
      </c>
      <c r="Q641">
        <v>0.80200000000000005</v>
      </c>
      <c r="R641">
        <v>113.956</v>
      </c>
      <c r="S641">
        <v>4</v>
      </c>
      <c r="T641">
        <v>265263</v>
      </c>
      <c r="U641">
        <v>4</v>
      </c>
      <c r="V641">
        <v>265263</v>
      </c>
      <c r="W641">
        <v>4</v>
      </c>
      <c r="X641">
        <v>265263</v>
      </c>
      <c r="Y641" t="s">
        <v>17</v>
      </c>
      <c r="Z641" t="str">
        <f>LOOKUP(B641,{0,1083,124200,681950},{"1st","2nd","3rd","4th"})&amp;" Quartile"</f>
        <v>2nd Quartile</v>
      </c>
    </row>
    <row r="642" spans="1:26">
      <c r="A642">
        <v>2021</v>
      </c>
      <c r="B642">
        <v>7930</v>
      </c>
      <c r="C642" t="s">
        <v>1363</v>
      </c>
      <c r="D642" t="s">
        <v>1362</v>
      </c>
      <c r="E642">
        <v>25</v>
      </c>
      <c r="F642" t="s">
        <v>1361</v>
      </c>
      <c r="G642">
        <v>40</v>
      </c>
      <c r="H642">
        <v>0.94499999999999995</v>
      </c>
      <c r="I642">
        <v>0.82099999999999995</v>
      </c>
      <c r="J642">
        <v>-3.5489999999999999</v>
      </c>
      <c r="K642">
        <v>0</v>
      </c>
      <c r="L642">
        <v>9</v>
      </c>
      <c r="M642">
        <v>5.0299999999999997E-2</v>
      </c>
      <c r="N642">
        <v>0.28100000000000003</v>
      </c>
      <c r="O642">
        <v>3.1599999999999998E-4</v>
      </c>
      <c r="P642">
        <v>5.3400000000000003E-2</v>
      </c>
      <c r="Q642">
        <v>0.52800000000000002</v>
      </c>
      <c r="R642">
        <v>107.99</v>
      </c>
      <c r="S642">
        <v>4</v>
      </c>
      <c r="T642">
        <v>206200</v>
      </c>
      <c r="U642">
        <v>4</v>
      </c>
      <c r="V642">
        <v>206200</v>
      </c>
      <c r="W642">
        <v>4</v>
      </c>
      <c r="X642">
        <v>206200</v>
      </c>
      <c r="Y642" t="s">
        <v>17</v>
      </c>
      <c r="Z642" t="str">
        <f>LOOKUP(B642,{0,1083,124200,681950},{"1st","2nd","3rd","4th"})&amp;" Quartile"</f>
        <v>2nd Quartile</v>
      </c>
    </row>
    <row r="643" spans="1:26">
      <c r="A643">
        <v>2019</v>
      </c>
      <c r="B643">
        <v>7746</v>
      </c>
      <c r="C643" t="s">
        <v>384</v>
      </c>
      <c r="D643" t="s">
        <v>385</v>
      </c>
      <c r="E643">
        <v>42</v>
      </c>
      <c r="F643" t="s">
        <v>384</v>
      </c>
      <c r="G643">
        <v>59</v>
      </c>
      <c r="H643">
        <v>0.65900000000000003</v>
      </c>
      <c r="I643">
        <v>0.93600000000000005</v>
      </c>
      <c r="J643">
        <v>-3.5190000000000001</v>
      </c>
      <c r="K643">
        <v>1</v>
      </c>
      <c r="L643">
        <v>2</v>
      </c>
      <c r="M643">
        <v>6.0600000000000001E-2</v>
      </c>
      <c r="N643">
        <v>0.28299999999999997</v>
      </c>
      <c r="O643">
        <v>2.07E-2</v>
      </c>
      <c r="P643">
        <v>0.192</v>
      </c>
      <c r="Q643">
        <v>0.88400000000000001</v>
      </c>
      <c r="R643">
        <v>161.983</v>
      </c>
      <c r="S643">
        <v>4</v>
      </c>
      <c r="T643">
        <v>155009</v>
      </c>
      <c r="U643">
        <v>4</v>
      </c>
      <c r="V643">
        <v>155009</v>
      </c>
      <c r="W643">
        <v>4</v>
      </c>
      <c r="X643">
        <v>155009</v>
      </c>
      <c r="Y643" t="s">
        <v>17</v>
      </c>
      <c r="Z643" t="str">
        <f>LOOKUP(B643,{0,1083,124200,681950},{"1st","2nd","3rd","4th"})&amp;" Quartile"</f>
        <v>2nd Quartile</v>
      </c>
    </row>
    <row r="644" spans="1:26">
      <c r="A644">
        <v>2019</v>
      </c>
      <c r="B644">
        <v>7664</v>
      </c>
      <c r="C644" t="s">
        <v>418</v>
      </c>
      <c r="D644" t="s">
        <v>419</v>
      </c>
      <c r="E644">
        <v>27</v>
      </c>
      <c r="F644" t="s">
        <v>418</v>
      </c>
      <c r="G644">
        <v>45</v>
      </c>
      <c r="H644">
        <v>0.88300000000000001</v>
      </c>
      <c r="I644">
        <v>0.73199999999999998</v>
      </c>
      <c r="J644">
        <v>-7.133</v>
      </c>
      <c r="K644">
        <v>0</v>
      </c>
      <c r="L644">
        <v>10</v>
      </c>
      <c r="M644">
        <v>0.34300000000000003</v>
      </c>
      <c r="N644">
        <v>2.07E-2</v>
      </c>
      <c r="O644">
        <v>0</v>
      </c>
      <c r="P644">
        <v>0.19900000000000001</v>
      </c>
      <c r="Q644">
        <v>0.80800000000000005</v>
      </c>
      <c r="R644">
        <v>74.983999999999995</v>
      </c>
      <c r="S644">
        <v>4</v>
      </c>
      <c r="T644">
        <v>141150</v>
      </c>
      <c r="U644">
        <v>4</v>
      </c>
      <c r="V644">
        <v>141150</v>
      </c>
      <c r="W644">
        <v>4</v>
      </c>
      <c r="X644">
        <v>141150</v>
      </c>
      <c r="Y644" t="s">
        <v>17</v>
      </c>
      <c r="Z644" t="str">
        <f>LOOKUP(B644,{0,1083,124200,681950},{"1st","2nd","3rd","4th"})&amp;" Quartile"</f>
        <v>2nd Quartile</v>
      </c>
    </row>
    <row r="645" spans="1:26">
      <c r="A645">
        <v>2019</v>
      </c>
      <c r="B645">
        <v>7199</v>
      </c>
      <c r="C645" t="s">
        <v>48</v>
      </c>
      <c r="D645" t="s">
        <v>49</v>
      </c>
      <c r="E645">
        <v>11</v>
      </c>
      <c r="F645" t="s">
        <v>48</v>
      </c>
      <c r="G645">
        <v>26</v>
      </c>
      <c r="H645">
        <v>0.64900000000000002</v>
      </c>
      <c r="I645">
        <v>0.73499999999999999</v>
      </c>
      <c r="J645">
        <v>-4.3650000000000002</v>
      </c>
      <c r="K645">
        <v>0</v>
      </c>
      <c r="L645">
        <v>10</v>
      </c>
      <c r="M645">
        <v>0.73</v>
      </c>
      <c r="N645">
        <v>0.14599999999999999</v>
      </c>
      <c r="O645">
        <v>0</v>
      </c>
      <c r="P645">
        <v>0.124</v>
      </c>
      <c r="Q645">
        <v>0.84499999999999997</v>
      </c>
      <c r="R645">
        <v>86.703999999999994</v>
      </c>
      <c r="S645">
        <v>5</v>
      </c>
      <c r="T645">
        <v>134769</v>
      </c>
      <c r="U645">
        <v>5</v>
      </c>
      <c r="V645">
        <v>134769</v>
      </c>
      <c r="W645">
        <v>5</v>
      </c>
      <c r="X645">
        <v>134769</v>
      </c>
      <c r="Y645" t="s">
        <v>17</v>
      </c>
      <c r="Z645" t="str">
        <f>LOOKUP(B645,{0,1083,124200,681950},{"1st","2nd","3rd","4th"})&amp;" Quartile"</f>
        <v>2nd Quartile</v>
      </c>
    </row>
    <row r="646" spans="1:26">
      <c r="A646">
        <v>2021</v>
      </c>
      <c r="B646">
        <v>7012</v>
      </c>
      <c r="C646" t="s">
        <v>1378</v>
      </c>
      <c r="D646" t="s">
        <v>1379</v>
      </c>
      <c r="E646">
        <v>60</v>
      </c>
      <c r="F646" t="s">
        <v>1378</v>
      </c>
      <c r="G646">
        <v>57</v>
      </c>
      <c r="H646">
        <v>0.81699999999999995</v>
      </c>
      <c r="I646">
        <v>0.85499999999999998</v>
      </c>
      <c r="J646">
        <v>-3.282</v>
      </c>
      <c r="K646">
        <v>0</v>
      </c>
      <c r="L646">
        <v>7</v>
      </c>
      <c r="M646">
        <v>0.24399999999999999</v>
      </c>
      <c r="N646">
        <v>0.318</v>
      </c>
      <c r="O646">
        <v>0</v>
      </c>
      <c r="P646">
        <v>5.1700000000000003E-2</v>
      </c>
      <c r="Q646">
        <v>0.78300000000000003</v>
      </c>
      <c r="R646">
        <v>104.90900000000001</v>
      </c>
      <c r="S646">
        <v>4</v>
      </c>
      <c r="T646">
        <v>196973</v>
      </c>
      <c r="U646">
        <v>4</v>
      </c>
      <c r="V646">
        <v>196973</v>
      </c>
      <c r="W646">
        <v>4</v>
      </c>
      <c r="X646">
        <v>196973</v>
      </c>
      <c r="Y646" t="s">
        <v>17</v>
      </c>
      <c r="Z646" t="str">
        <f>LOOKUP(B646,{0,1083,124200,681950},{"1st","2nd","3rd","4th"})&amp;" Quartile"</f>
        <v>2nd Quartile</v>
      </c>
    </row>
    <row r="647" spans="1:26">
      <c r="A647">
        <v>2022</v>
      </c>
      <c r="B647">
        <v>7002</v>
      </c>
      <c r="C647" t="s">
        <v>585</v>
      </c>
      <c r="D647" t="s">
        <v>584</v>
      </c>
      <c r="E647">
        <v>53</v>
      </c>
      <c r="F647" t="s">
        <v>583</v>
      </c>
      <c r="G647">
        <v>0</v>
      </c>
      <c r="H647">
        <v>0.64900000000000002</v>
      </c>
      <c r="I647">
        <v>0.71599999999999997</v>
      </c>
      <c r="J647">
        <v>-6.2320000000000002</v>
      </c>
      <c r="K647">
        <v>1</v>
      </c>
      <c r="L647">
        <v>11</v>
      </c>
      <c r="M647">
        <v>4.4499999999999998E-2</v>
      </c>
      <c r="N647">
        <v>8.7900000000000006E-2</v>
      </c>
      <c r="O647">
        <v>0.03</v>
      </c>
      <c r="P647">
        <v>8.2400000000000001E-2</v>
      </c>
      <c r="Q647">
        <v>0.503</v>
      </c>
      <c r="R647">
        <v>124.968</v>
      </c>
      <c r="S647">
        <v>4</v>
      </c>
      <c r="T647">
        <v>235813</v>
      </c>
      <c r="U647">
        <v>4</v>
      </c>
      <c r="V647">
        <v>235813</v>
      </c>
      <c r="W647">
        <v>4</v>
      </c>
      <c r="X647">
        <v>235813</v>
      </c>
      <c r="Y647" t="s">
        <v>17</v>
      </c>
      <c r="Z647" t="str">
        <f>LOOKUP(B647,{0,1083,124200,681950},{"1st","2nd","3rd","4th"})&amp;" Quartile"</f>
        <v>2nd Quartile</v>
      </c>
    </row>
    <row r="648" spans="1:26">
      <c r="A648">
        <v>2019</v>
      </c>
      <c r="B648">
        <v>6993</v>
      </c>
      <c r="C648" t="s">
        <v>585</v>
      </c>
      <c r="D648" t="s">
        <v>584</v>
      </c>
      <c r="E648">
        <v>53</v>
      </c>
      <c r="F648" t="s">
        <v>583</v>
      </c>
      <c r="G648">
        <v>0</v>
      </c>
      <c r="H648">
        <v>0.64900000000000002</v>
      </c>
      <c r="I648">
        <v>0.71599999999999997</v>
      </c>
      <c r="J648">
        <v>-6.2320000000000002</v>
      </c>
      <c r="K648">
        <v>1</v>
      </c>
      <c r="L648">
        <v>11</v>
      </c>
      <c r="M648">
        <v>4.4499999999999998E-2</v>
      </c>
      <c r="N648">
        <v>8.7900000000000006E-2</v>
      </c>
      <c r="O648">
        <v>0.03</v>
      </c>
      <c r="P648">
        <v>8.2400000000000001E-2</v>
      </c>
      <c r="Q648">
        <v>0.503</v>
      </c>
      <c r="R648">
        <v>124.968</v>
      </c>
      <c r="S648">
        <v>4</v>
      </c>
      <c r="T648">
        <v>235813</v>
      </c>
      <c r="U648">
        <v>4</v>
      </c>
      <c r="V648">
        <v>235813</v>
      </c>
      <c r="W648">
        <v>4</v>
      </c>
      <c r="X648">
        <v>235813</v>
      </c>
      <c r="Y648" t="s">
        <v>17</v>
      </c>
      <c r="Z648" t="str">
        <f>LOOKUP(B648,{0,1083,124200,681950},{"1st","2nd","3rd","4th"})&amp;" Quartile"</f>
        <v>2nd Quartile</v>
      </c>
    </row>
    <row r="649" spans="1:26">
      <c r="A649">
        <v>2019</v>
      </c>
      <c r="B649">
        <v>6802</v>
      </c>
      <c r="C649" t="s">
        <v>471</v>
      </c>
      <c r="D649" t="s">
        <v>472</v>
      </c>
      <c r="E649">
        <v>52</v>
      </c>
      <c r="F649" t="s">
        <v>471</v>
      </c>
      <c r="G649">
        <v>58</v>
      </c>
      <c r="H649">
        <v>0.70699999999999996</v>
      </c>
      <c r="I649">
        <v>0.23400000000000001</v>
      </c>
      <c r="J649">
        <v>-16.523</v>
      </c>
      <c r="K649">
        <v>1</v>
      </c>
      <c r="L649">
        <v>7</v>
      </c>
      <c r="M649">
        <v>8.6400000000000005E-2</v>
      </c>
      <c r="N649">
        <v>0.96</v>
      </c>
      <c r="O649">
        <v>0.86099999999999999</v>
      </c>
      <c r="P649">
        <v>0.124</v>
      </c>
      <c r="Q649">
        <v>0.61099999999999999</v>
      </c>
      <c r="R649">
        <v>78.036000000000001</v>
      </c>
      <c r="S649">
        <v>3</v>
      </c>
      <c r="T649">
        <v>60004</v>
      </c>
      <c r="U649">
        <v>3</v>
      </c>
      <c r="V649">
        <v>60004</v>
      </c>
      <c r="W649">
        <v>3</v>
      </c>
      <c r="X649">
        <v>60004</v>
      </c>
      <c r="Y649" t="s">
        <v>17</v>
      </c>
      <c r="Z649" t="str">
        <f>LOOKUP(B649,{0,1083,124200,681950},{"1st","2nd","3rd","4th"})&amp;" Quartile"</f>
        <v>2nd Quartile</v>
      </c>
    </row>
    <row r="650" spans="1:26">
      <c r="A650">
        <v>2020</v>
      </c>
      <c r="B650">
        <v>6796</v>
      </c>
      <c r="C650" t="s">
        <v>903</v>
      </c>
      <c r="D650" t="s">
        <v>902</v>
      </c>
      <c r="E650">
        <v>60</v>
      </c>
      <c r="F650" t="s">
        <v>901</v>
      </c>
      <c r="G650">
        <v>69</v>
      </c>
      <c r="H650">
        <v>0.65700000000000003</v>
      </c>
      <c r="I650">
        <v>0.57399999999999995</v>
      </c>
      <c r="J650">
        <v>-9.484</v>
      </c>
      <c r="K650">
        <v>0</v>
      </c>
      <c r="L650">
        <v>1</v>
      </c>
      <c r="M650">
        <v>4.07E-2</v>
      </c>
      <c r="N650">
        <v>1.6E-2</v>
      </c>
      <c r="O650">
        <v>8.1000000000000004E-5</v>
      </c>
      <c r="P650">
        <v>0.17199999999999999</v>
      </c>
      <c r="Q650">
        <v>0.21099999999999999</v>
      </c>
      <c r="R650">
        <v>119.992</v>
      </c>
      <c r="S650">
        <v>4</v>
      </c>
      <c r="T650">
        <v>281080</v>
      </c>
      <c r="U650">
        <v>4</v>
      </c>
      <c r="V650">
        <v>281080</v>
      </c>
      <c r="W650">
        <v>4</v>
      </c>
      <c r="X650">
        <v>281080</v>
      </c>
      <c r="Y650" t="s">
        <v>17</v>
      </c>
      <c r="Z650" t="str">
        <f>LOOKUP(B650,{0,1083,124200,681950},{"1st","2nd","3rd","4th"})&amp;" Quartile"</f>
        <v>2nd Quartile</v>
      </c>
    </row>
    <row r="651" spans="1:26">
      <c r="A651">
        <v>2019</v>
      </c>
      <c r="B651">
        <v>6724</v>
      </c>
      <c r="C651" t="s">
        <v>197</v>
      </c>
      <c r="D651" t="s">
        <v>198</v>
      </c>
      <c r="E651">
        <v>40</v>
      </c>
      <c r="F651" t="s">
        <v>197</v>
      </c>
      <c r="G651">
        <v>56</v>
      </c>
      <c r="H651">
        <v>0.68</v>
      </c>
      <c r="I651">
        <v>0.51300000000000001</v>
      </c>
      <c r="J651">
        <v>-13.605</v>
      </c>
      <c r="K651">
        <v>1</v>
      </c>
      <c r="L651">
        <v>8</v>
      </c>
      <c r="M651">
        <v>5.9799999999999999E-2</v>
      </c>
      <c r="N651">
        <v>0.22</v>
      </c>
      <c r="O651">
        <v>0</v>
      </c>
      <c r="P651">
        <v>0.13800000000000001</v>
      </c>
      <c r="Q651">
        <v>0.39700000000000002</v>
      </c>
      <c r="R651">
        <v>106.98099999999999</v>
      </c>
      <c r="S651">
        <v>4</v>
      </c>
      <c r="T651">
        <v>210887</v>
      </c>
      <c r="U651">
        <v>4</v>
      </c>
      <c r="V651">
        <v>210887</v>
      </c>
      <c r="W651">
        <v>4</v>
      </c>
      <c r="X651">
        <v>210887</v>
      </c>
      <c r="Y651" t="s">
        <v>17</v>
      </c>
      <c r="Z651" t="str">
        <f>LOOKUP(B651,{0,1083,124200,681950},{"1st","2nd","3rd","4th"})&amp;" Quartile"</f>
        <v>2nd Quartile</v>
      </c>
    </row>
    <row r="652" spans="1:26">
      <c r="A652">
        <v>2019</v>
      </c>
      <c r="B652">
        <v>6596</v>
      </c>
      <c r="C652" t="s">
        <v>250</v>
      </c>
      <c r="D652" t="s">
        <v>251</v>
      </c>
      <c r="E652">
        <v>82</v>
      </c>
      <c r="F652" t="s">
        <v>250</v>
      </c>
      <c r="G652">
        <v>78</v>
      </c>
      <c r="H652">
        <v>0.77600000000000002</v>
      </c>
      <c r="I652">
        <v>0.503</v>
      </c>
      <c r="J652">
        <v>-5.7320000000000002</v>
      </c>
      <c r="K652">
        <v>0</v>
      </c>
      <c r="L652">
        <v>0</v>
      </c>
      <c r="M652">
        <v>0.23699999999999999</v>
      </c>
      <c r="N652">
        <v>0.874</v>
      </c>
      <c r="O652">
        <v>0</v>
      </c>
      <c r="P652">
        <v>0.112</v>
      </c>
      <c r="Q652">
        <v>0.47299999999999998</v>
      </c>
      <c r="R652">
        <v>110.134</v>
      </c>
      <c r="S652">
        <v>4</v>
      </c>
      <c r="T652">
        <v>210285</v>
      </c>
      <c r="U652">
        <v>4</v>
      </c>
      <c r="V652">
        <v>210285</v>
      </c>
      <c r="W652">
        <v>4</v>
      </c>
      <c r="X652">
        <v>210285</v>
      </c>
      <c r="Y652" t="s">
        <v>17</v>
      </c>
      <c r="Z652" t="str">
        <f>LOOKUP(B652,{0,1083,124200,681950},{"1st","2nd","3rd","4th"})&amp;" Quartile"</f>
        <v>2nd Quartile</v>
      </c>
    </row>
    <row r="653" spans="1:26">
      <c r="A653">
        <v>2020</v>
      </c>
      <c r="B653">
        <v>6549</v>
      </c>
      <c r="C653" t="s">
        <v>250</v>
      </c>
      <c r="D653" t="s">
        <v>251</v>
      </c>
      <c r="E653">
        <v>82</v>
      </c>
      <c r="F653" t="s">
        <v>250</v>
      </c>
      <c r="G653">
        <v>78</v>
      </c>
      <c r="H653">
        <v>0.77600000000000002</v>
      </c>
      <c r="I653">
        <v>0.503</v>
      </c>
      <c r="J653">
        <v>-5.7320000000000002</v>
      </c>
      <c r="K653">
        <v>0</v>
      </c>
      <c r="L653">
        <v>0</v>
      </c>
      <c r="M653">
        <v>0.23699999999999999</v>
      </c>
      <c r="N653">
        <v>0.874</v>
      </c>
      <c r="O653">
        <v>0</v>
      </c>
      <c r="P653">
        <v>0.112</v>
      </c>
      <c r="Q653">
        <v>0.47299999999999998</v>
      </c>
      <c r="R653">
        <v>110.134</v>
      </c>
      <c r="S653">
        <v>4</v>
      </c>
      <c r="T653">
        <v>210285</v>
      </c>
      <c r="U653">
        <v>4</v>
      </c>
      <c r="V653">
        <v>210285</v>
      </c>
      <c r="W653">
        <v>4</v>
      </c>
      <c r="X653">
        <v>210285</v>
      </c>
      <c r="Y653" t="s">
        <v>17</v>
      </c>
      <c r="Z653" t="str">
        <f>LOOKUP(B653,{0,1083,124200,681950},{"1st","2nd","3rd","4th"})&amp;" Quartile"</f>
        <v>2nd Quartile</v>
      </c>
    </row>
    <row r="654" spans="1:26">
      <c r="A654">
        <v>2019</v>
      </c>
      <c r="B654">
        <v>6434</v>
      </c>
      <c r="C654" t="s">
        <v>52</v>
      </c>
      <c r="D654" t="s">
        <v>51</v>
      </c>
      <c r="E654">
        <v>51</v>
      </c>
      <c r="F654" t="s">
        <v>50</v>
      </c>
      <c r="G654">
        <v>63</v>
      </c>
      <c r="H654">
        <v>0.71499999999999997</v>
      </c>
      <c r="I654">
        <v>0.73799999999999999</v>
      </c>
      <c r="J654">
        <v>-10.138999999999999</v>
      </c>
      <c r="K654">
        <v>1</v>
      </c>
      <c r="L654">
        <v>7</v>
      </c>
      <c r="M654">
        <v>0.157</v>
      </c>
      <c r="N654">
        <v>8.26E-3</v>
      </c>
      <c r="O654">
        <v>0</v>
      </c>
      <c r="P654">
        <v>0.26</v>
      </c>
      <c r="Q654">
        <v>0.57299999999999995</v>
      </c>
      <c r="R654">
        <v>97.876999999999995</v>
      </c>
      <c r="S654">
        <v>4</v>
      </c>
      <c r="T654">
        <v>252307</v>
      </c>
      <c r="U654">
        <v>4</v>
      </c>
      <c r="V654">
        <v>252307</v>
      </c>
      <c r="W654">
        <v>4</v>
      </c>
      <c r="X654">
        <v>252307</v>
      </c>
      <c r="Y654" t="s">
        <v>17</v>
      </c>
      <c r="Z654" t="str">
        <f>LOOKUP(B654,{0,1083,124200,681950},{"1st","2nd","3rd","4th"})&amp;" Quartile"</f>
        <v>2nd Quartile</v>
      </c>
    </row>
    <row r="655" spans="1:26">
      <c r="A655">
        <v>2019</v>
      </c>
      <c r="B655">
        <v>6295</v>
      </c>
      <c r="C655" t="s">
        <v>343</v>
      </c>
      <c r="D655" t="s">
        <v>342</v>
      </c>
      <c r="E655">
        <v>31</v>
      </c>
      <c r="F655" t="s">
        <v>341</v>
      </c>
      <c r="G655">
        <v>36</v>
      </c>
      <c r="H655">
        <v>0.91300000000000003</v>
      </c>
      <c r="I655">
        <v>0.51800000000000002</v>
      </c>
      <c r="J655">
        <v>-2.3170000000000002</v>
      </c>
      <c r="K655">
        <v>1</v>
      </c>
      <c r="L655">
        <v>1</v>
      </c>
      <c r="M655">
        <v>0.41599999999999998</v>
      </c>
      <c r="N655">
        <v>9.1999999999999998E-2</v>
      </c>
      <c r="O655">
        <v>0</v>
      </c>
      <c r="P655">
        <v>7.0999999999999994E-2</v>
      </c>
      <c r="Q655">
        <v>0.59399999999999997</v>
      </c>
      <c r="R655">
        <v>129.89599999999999</v>
      </c>
      <c r="S655">
        <v>4</v>
      </c>
      <c r="T655">
        <v>132923</v>
      </c>
      <c r="U655">
        <v>4</v>
      </c>
      <c r="V655">
        <v>132923</v>
      </c>
      <c r="W655">
        <v>4</v>
      </c>
      <c r="X655">
        <v>132923</v>
      </c>
      <c r="Y655" t="s">
        <v>17</v>
      </c>
      <c r="Z655" t="str">
        <f>LOOKUP(B655,{0,1083,124200,681950},{"1st","2nd","3rd","4th"})&amp;" Quartile"</f>
        <v>2nd Quartile</v>
      </c>
    </row>
    <row r="656" spans="1:26">
      <c r="A656">
        <v>2022</v>
      </c>
      <c r="B656">
        <v>6068</v>
      </c>
      <c r="C656" t="s">
        <v>1521</v>
      </c>
      <c r="D656" t="s">
        <v>1522</v>
      </c>
      <c r="E656">
        <v>64</v>
      </c>
      <c r="F656" t="s">
        <v>1521</v>
      </c>
      <c r="G656">
        <v>80</v>
      </c>
      <c r="H656">
        <v>0.377</v>
      </c>
      <c r="I656">
        <v>0.55800000000000005</v>
      </c>
      <c r="J656">
        <v>-9.0760000000000005</v>
      </c>
      <c r="K656">
        <v>1</v>
      </c>
      <c r="L656">
        <v>4</v>
      </c>
      <c r="M656">
        <v>2.9899999999999999E-2</v>
      </c>
      <c r="N656">
        <v>7.8899999999999998E-2</v>
      </c>
      <c r="O656">
        <v>3.4200000000000002E-4</v>
      </c>
      <c r="P656">
        <v>0.125</v>
      </c>
      <c r="Q656">
        <v>0.26700000000000002</v>
      </c>
      <c r="R656">
        <v>149.971</v>
      </c>
      <c r="S656">
        <v>3</v>
      </c>
      <c r="T656">
        <v>214800</v>
      </c>
      <c r="U656">
        <v>3</v>
      </c>
      <c r="V656">
        <v>214800</v>
      </c>
      <c r="W656">
        <v>3</v>
      </c>
      <c r="X656">
        <v>214800</v>
      </c>
      <c r="Y656" t="s">
        <v>17</v>
      </c>
      <c r="Z656" t="str">
        <f>LOOKUP(B656,{0,1083,124200,681950},{"1st","2nd","3rd","4th"})&amp;" Quartile"</f>
        <v>2nd Quartile</v>
      </c>
    </row>
    <row r="657" spans="1:26">
      <c r="A657">
        <v>2022</v>
      </c>
      <c r="B657">
        <v>5499</v>
      </c>
      <c r="C657" t="s">
        <v>1520</v>
      </c>
      <c r="D657" t="s">
        <v>642</v>
      </c>
      <c r="E657">
        <v>83</v>
      </c>
      <c r="F657" t="s">
        <v>1520</v>
      </c>
      <c r="G657">
        <v>89</v>
      </c>
      <c r="H657">
        <v>0.59099999999999997</v>
      </c>
      <c r="I657">
        <v>0.76400000000000001</v>
      </c>
      <c r="J657">
        <v>-5.484</v>
      </c>
      <c r="K657">
        <v>1</v>
      </c>
      <c r="L657">
        <v>1</v>
      </c>
      <c r="M657">
        <v>4.8300000000000003E-2</v>
      </c>
      <c r="N657">
        <v>3.8300000000000001E-2</v>
      </c>
      <c r="O657">
        <v>0</v>
      </c>
      <c r="P657">
        <v>0.10299999999999999</v>
      </c>
      <c r="Q657">
        <v>0.47799999999999998</v>
      </c>
      <c r="R657">
        <v>169.928</v>
      </c>
      <c r="S657">
        <v>4</v>
      </c>
      <c r="T657">
        <v>141806</v>
      </c>
      <c r="U657">
        <v>4</v>
      </c>
      <c r="V657">
        <v>141806</v>
      </c>
      <c r="W657">
        <v>4</v>
      </c>
      <c r="X657">
        <v>141806</v>
      </c>
      <c r="Y657" t="s">
        <v>17</v>
      </c>
      <c r="Z657" t="str">
        <f>LOOKUP(B657,{0,1083,124200,681950},{"1st","2nd","3rd","4th"})&amp;" Quartile"</f>
        <v>2nd Quartile</v>
      </c>
    </row>
    <row r="658" spans="1:26">
      <c r="A658">
        <v>2021</v>
      </c>
      <c r="B658">
        <v>5499</v>
      </c>
      <c r="C658" t="s">
        <v>1520</v>
      </c>
      <c r="D658" t="s">
        <v>642</v>
      </c>
      <c r="E658">
        <v>83</v>
      </c>
      <c r="F658" t="s">
        <v>1520</v>
      </c>
      <c r="G658">
        <v>89</v>
      </c>
      <c r="H658">
        <v>0.59099999999999997</v>
      </c>
      <c r="I658">
        <v>0.76400000000000001</v>
      </c>
      <c r="J658">
        <v>-5.484</v>
      </c>
      <c r="K658">
        <v>1</v>
      </c>
      <c r="L658">
        <v>1</v>
      </c>
      <c r="M658">
        <v>4.8300000000000003E-2</v>
      </c>
      <c r="N658">
        <v>3.8300000000000001E-2</v>
      </c>
      <c r="O658">
        <v>0</v>
      </c>
      <c r="P658">
        <v>0.10299999999999999</v>
      </c>
      <c r="Q658">
        <v>0.47799999999999998</v>
      </c>
      <c r="R658">
        <v>169.928</v>
      </c>
      <c r="S658">
        <v>4</v>
      </c>
      <c r="T658">
        <v>141806</v>
      </c>
      <c r="U658">
        <v>4</v>
      </c>
      <c r="V658">
        <v>141806</v>
      </c>
      <c r="W658">
        <v>4</v>
      </c>
      <c r="X658">
        <v>141806</v>
      </c>
      <c r="Y658" t="s">
        <v>17</v>
      </c>
      <c r="Z658" t="str">
        <f>LOOKUP(B658,{0,1083,124200,681950},{"1st","2nd","3rd","4th"})&amp;" Quartile"</f>
        <v>2nd Quartile</v>
      </c>
    </row>
    <row r="659" spans="1:26">
      <c r="A659">
        <v>2021</v>
      </c>
      <c r="B659">
        <v>5482</v>
      </c>
      <c r="C659" t="s">
        <v>1200</v>
      </c>
      <c r="D659" t="s">
        <v>75</v>
      </c>
      <c r="E659">
        <v>93</v>
      </c>
      <c r="F659" t="s">
        <v>1199</v>
      </c>
      <c r="G659">
        <v>79</v>
      </c>
      <c r="H659">
        <v>0.58799999999999997</v>
      </c>
      <c r="I659">
        <v>0.79100000000000004</v>
      </c>
      <c r="J659">
        <v>-5.5949999999999998</v>
      </c>
      <c r="K659">
        <v>1</v>
      </c>
      <c r="L659">
        <v>7</v>
      </c>
      <c r="M659">
        <v>4.02E-2</v>
      </c>
      <c r="N659">
        <v>2.4499999999999999E-3</v>
      </c>
      <c r="O659">
        <v>2.5799999999999998E-3</v>
      </c>
      <c r="P659">
        <v>0.11799999999999999</v>
      </c>
      <c r="Q659">
        <v>0.48699999999999999</v>
      </c>
      <c r="R659">
        <v>94.933000000000007</v>
      </c>
      <c r="S659">
        <v>4</v>
      </c>
      <c r="T659">
        <v>231000</v>
      </c>
      <c r="U659">
        <v>4</v>
      </c>
      <c r="V659">
        <v>231000</v>
      </c>
      <c r="W659">
        <v>4</v>
      </c>
      <c r="X659">
        <v>231000</v>
      </c>
      <c r="Y659" t="s">
        <v>17</v>
      </c>
      <c r="Z659" t="str">
        <f>LOOKUP(B659,{0,1083,124200,681950},{"1st","2nd","3rd","4th"})&amp;" Quartile"</f>
        <v>2nd Quartile</v>
      </c>
    </row>
    <row r="660" spans="1:26">
      <c r="A660">
        <v>2019</v>
      </c>
      <c r="B660">
        <v>5281</v>
      </c>
      <c r="C660" t="s">
        <v>340</v>
      </c>
      <c r="D660" t="s">
        <v>311</v>
      </c>
      <c r="E660">
        <v>79</v>
      </c>
      <c r="F660" t="s">
        <v>339</v>
      </c>
      <c r="G660">
        <v>73</v>
      </c>
      <c r="H660">
        <v>0.60799999999999998</v>
      </c>
      <c r="I660">
        <v>0.30499999999999999</v>
      </c>
      <c r="J660">
        <v>-14.037000000000001</v>
      </c>
      <c r="K660">
        <v>1</v>
      </c>
      <c r="L660">
        <v>4</v>
      </c>
      <c r="M660">
        <v>5.2999999999999999E-2</v>
      </c>
      <c r="N660">
        <v>0.65300000000000002</v>
      </c>
      <c r="O660">
        <v>0</v>
      </c>
      <c r="P660">
        <v>0.10299999999999999</v>
      </c>
      <c r="Q660">
        <v>0.222</v>
      </c>
      <c r="R660">
        <v>113.818</v>
      </c>
      <c r="S660">
        <v>4</v>
      </c>
      <c r="T660">
        <v>206975</v>
      </c>
      <c r="U660">
        <v>4</v>
      </c>
      <c r="V660">
        <v>206975</v>
      </c>
      <c r="W660">
        <v>4</v>
      </c>
      <c r="X660">
        <v>206975</v>
      </c>
      <c r="Y660" t="s">
        <v>17</v>
      </c>
      <c r="Z660" t="str">
        <f>LOOKUP(B660,{0,1083,124200,681950},{"1st","2nd","3rd","4th"})&amp;" Quartile"</f>
        <v>2nd Quartile</v>
      </c>
    </row>
    <row r="661" spans="1:26">
      <c r="A661">
        <v>2020</v>
      </c>
      <c r="B661">
        <v>5266</v>
      </c>
      <c r="C661" t="s">
        <v>1007</v>
      </c>
      <c r="D661" t="s">
        <v>367</v>
      </c>
      <c r="E661">
        <v>90</v>
      </c>
      <c r="F661" t="s">
        <v>1006</v>
      </c>
      <c r="G661">
        <v>0</v>
      </c>
      <c r="H661">
        <v>0.66500000000000004</v>
      </c>
      <c r="I661">
        <v>0.41699999999999998</v>
      </c>
      <c r="J661">
        <v>-6.7309999999999999</v>
      </c>
      <c r="K661">
        <v>0</v>
      </c>
      <c r="L661">
        <v>1</v>
      </c>
      <c r="M661">
        <v>0.52400000000000002</v>
      </c>
      <c r="N661">
        <v>0.374</v>
      </c>
      <c r="O661">
        <v>0</v>
      </c>
      <c r="P661">
        <v>0.186</v>
      </c>
      <c r="Q661">
        <v>0.04</v>
      </c>
      <c r="R661">
        <v>110.111</v>
      </c>
      <c r="S661">
        <v>4</v>
      </c>
      <c r="T661">
        <v>215320</v>
      </c>
      <c r="U661">
        <v>4</v>
      </c>
      <c r="V661">
        <v>215320</v>
      </c>
      <c r="W661">
        <v>4</v>
      </c>
      <c r="X661">
        <v>215320</v>
      </c>
      <c r="Y661" t="s">
        <v>17</v>
      </c>
      <c r="Z661" t="str">
        <f>LOOKUP(B661,{0,1083,124200,681950},{"1st","2nd","3rd","4th"})&amp;" Quartile"</f>
        <v>2nd Quartile</v>
      </c>
    </row>
    <row r="662" spans="1:26">
      <c r="A662">
        <v>2021</v>
      </c>
      <c r="B662">
        <v>5249</v>
      </c>
      <c r="C662" t="s">
        <v>1233</v>
      </c>
      <c r="D662" t="s">
        <v>662</v>
      </c>
      <c r="E662">
        <v>95</v>
      </c>
      <c r="F662" t="s">
        <v>1232</v>
      </c>
      <c r="G662">
        <v>72</v>
      </c>
      <c r="H662">
        <v>0.68600000000000005</v>
      </c>
      <c r="I662">
        <v>0.38500000000000001</v>
      </c>
      <c r="J662">
        <v>-8.35</v>
      </c>
      <c r="K662">
        <v>0</v>
      </c>
      <c r="L662">
        <v>7</v>
      </c>
      <c r="M662">
        <v>0.29699999999999999</v>
      </c>
      <c r="N662">
        <v>0.61399999999999999</v>
      </c>
      <c r="O662">
        <v>0</v>
      </c>
      <c r="P662">
        <v>0.13100000000000001</v>
      </c>
      <c r="Q662">
        <v>0.14699999999999999</v>
      </c>
      <c r="R662">
        <v>143.07</v>
      </c>
      <c r="S662">
        <v>4</v>
      </c>
      <c r="T662">
        <v>296568</v>
      </c>
      <c r="U662">
        <v>4</v>
      </c>
      <c r="V662">
        <v>296568</v>
      </c>
      <c r="W662">
        <v>4</v>
      </c>
      <c r="X662">
        <v>296568</v>
      </c>
      <c r="Y662" t="s">
        <v>17</v>
      </c>
      <c r="Z662" t="str">
        <f>LOOKUP(B662,{0,1083,124200,681950},{"1st","2nd","3rd","4th"})&amp;" Quartile"</f>
        <v>2nd Quartile</v>
      </c>
    </row>
    <row r="663" spans="1:26">
      <c r="A663">
        <v>2020</v>
      </c>
      <c r="B663">
        <v>5132</v>
      </c>
      <c r="C663" t="s">
        <v>352</v>
      </c>
      <c r="D663" t="s">
        <v>351</v>
      </c>
      <c r="E663">
        <v>76</v>
      </c>
      <c r="F663" t="s">
        <v>1008</v>
      </c>
      <c r="G663">
        <v>77</v>
      </c>
      <c r="H663">
        <v>0.66400000000000003</v>
      </c>
      <c r="I663">
        <v>0.57299999999999995</v>
      </c>
      <c r="J663">
        <v>-6.5190000000000001</v>
      </c>
      <c r="K663">
        <v>1</v>
      </c>
      <c r="L663">
        <v>5</v>
      </c>
      <c r="M663">
        <v>2.7699999999999999E-2</v>
      </c>
      <c r="N663">
        <v>0.61299999999999999</v>
      </c>
      <c r="O663">
        <v>3.6299999999999999E-4</v>
      </c>
      <c r="P663">
        <v>8.5699999999999998E-2</v>
      </c>
      <c r="Q663">
        <v>0.56599999999999995</v>
      </c>
      <c r="R663">
        <v>76.022999999999996</v>
      </c>
      <c r="S663">
        <v>4</v>
      </c>
      <c r="T663">
        <v>160097</v>
      </c>
      <c r="U663">
        <v>4</v>
      </c>
      <c r="V663">
        <v>160097</v>
      </c>
      <c r="W663">
        <v>4</v>
      </c>
      <c r="X663">
        <v>160097</v>
      </c>
      <c r="Y663" t="s">
        <v>17</v>
      </c>
      <c r="Z663" t="str">
        <f>LOOKUP(B663,{0,1083,124200,681950},{"1st","2nd","3rd","4th"})&amp;" Quartile"</f>
        <v>2nd Quartile</v>
      </c>
    </row>
    <row r="664" spans="1:26">
      <c r="A664">
        <v>2019</v>
      </c>
      <c r="B664">
        <v>5129</v>
      </c>
      <c r="C664" t="s">
        <v>352</v>
      </c>
      <c r="D664" t="s">
        <v>351</v>
      </c>
      <c r="E664">
        <v>76</v>
      </c>
      <c r="F664" t="s">
        <v>350</v>
      </c>
      <c r="G664">
        <v>54</v>
      </c>
      <c r="H664">
        <v>0.66400000000000003</v>
      </c>
      <c r="I664">
        <v>0.57299999999999995</v>
      </c>
      <c r="J664">
        <v>-6.5190000000000001</v>
      </c>
      <c r="K664">
        <v>1</v>
      </c>
      <c r="L664">
        <v>5</v>
      </c>
      <c r="M664">
        <v>2.7699999999999999E-2</v>
      </c>
      <c r="N664">
        <v>0.61299999999999999</v>
      </c>
      <c r="O664">
        <v>3.6299999999999999E-4</v>
      </c>
      <c r="P664">
        <v>8.5699999999999998E-2</v>
      </c>
      <c r="Q664">
        <v>0.56599999999999995</v>
      </c>
      <c r="R664">
        <v>76.022999999999996</v>
      </c>
      <c r="S664">
        <v>4</v>
      </c>
      <c r="T664">
        <v>160097</v>
      </c>
      <c r="U664">
        <v>4</v>
      </c>
      <c r="V664">
        <v>160097</v>
      </c>
      <c r="W664">
        <v>4</v>
      </c>
      <c r="X664">
        <v>160097</v>
      </c>
      <c r="Y664" t="s">
        <v>17</v>
      </c>
      <c r="Z664" t="str">
        <f>LOOKUP(B664,{0,1083,124200,681950},{"1st","2nd","3rd","4th"})&amp;" Quartile"</f>
        <v>2nd Quartile</v>
      </c>
    </row>
    <row r="665" spans="1:26">
      <c r="A665">
        <v>2019</v>
      </c>
      <c r="B665">
        <v>5121</v>
      </c>
      <c r="C665" t="s">
        <v>590</v>
      </c>
      <c r="D665" t="s">
        <v>589</v>
      </c>
      <c r="E665">
        <v>58</v>
      </c>
      <c r="F665" t="s">
        <v>588</v>
      </c>
      <c r="G665">
        <v>0</v>
      </c>
      <c r="H665">
        <v>0.73799999999999999</v>
      </c>
      <c r="I665">
        <v>0.98299999999999998</v>
      </c>
      <c r="J665">
        <v>-4.3739999999999997</v>
      </c>
      <c r="K665">
        <v>0</v>
      </c>
      <c r="L665">
        <v>5</v>
      </c>
      <c r="M665">
        <v>8.5500000000000007E-2</v>
      </c>
      <c r="N665">
        <v>3.7999999999999999E-2</v>
      </c>
      <c r="O665">
        <v>5.93E-6</v>
      </c>
      <c r="P665">
        <v>0.183</v>
      </c>
      <c r="Q665">
        <v>0.95699999999999996</v>
      </c>
      <c r="R665">
        <v>92.998000000000005</v>
      </c>
      <c r="S665">
        <v>4</v>
      </c>
      <c r="T665">
        <v>235760</v>
      </c>
      <c r="U665">
        <v>4</v>
      </c>
      <c r="V665">
        <v>235760</v>
      </c>
      <c r="W665">
        <v>4</v>
      </c>
      <c r="X665">
        <v>235760</v>
      </c>
      <c r="Y665" t="s">
        <v>17</v>
      </c>
      <c r="Z665" t="str">
        <f>LOOKUP(B665,{0,1083,124200,681950},{"1st","2nd","3rd","4th"})&amp;" Quartile"</f>
        <v>2nd Quartile</v>
      </c>
    </row>
    <row r="666" spans="1:26">
      <c r="A666">
        <v>2021</v>
      </c>
      <c r="B666">
        <v>4764</v>
      </c>
      <c r="C666" t="s">
        <v>1342</v>
      </c>
      <c r="D666" t="s">
        <v>1343</v>
      </c>
      <c r="E666">
        <v>75</v>
      </c>
      <c r="F666" t="s">
        <v>1342</v>
      </c>
      <c r="G666">
        <v>64</v>
      </c>
      <c r="H666">
        <v>0.877</v>
      </c>
      <c r="I666">
        <v>0.65800000000000003</v>
      </c>
      <c r="J666">
        <v>-6.0549999999999997</v>
      </c>
      <c r="K666">
        <v>0</v>
      </c>
      <c r="L666">
        <v>11</v>
      </c>
      <c r="M666">
        <v>0.13200000000000001</v>
      </c>
      <c r="N666">
        <v>0.16300000000000001</v>
      </c>
      <c r="O666">
        <v>0</v>
      </c>
      <c r="P666">
        <v>0.108</v>
      </c>
      <c r="Q666">
        <v>0.69299999999999995</v>
      </c>
      <c r="R666">
        <v>123.999</v>
      </c>
      <c r="S666">
        <v>4</v>
      </c>
      <c r="T666">
        <v>213947</v>
      </c>
      <c r="U666">
        <v>4</v>
      </c>
      <c r="V666">
        <v>213947</v>
      </c>
      <c r="W666">
        <v>4</v>
      </c>
      <c r="X666">
        <v>213947</v>
      </c>
      <c r="Y666" t="s">
        <v>17</v>
      </c>
      <c r="Z666" t="str">
        <f>LOOKUP(B666,{0,1083,124200,681950},{"1st","2nd","3rd","4th"})&amp;" Quartile"</f>
        <v>2nd Quartile</v>
      </c>
    </row>
    <row r="667" spans="1:26">
      <c r="A667">
        <v>2020</v>
      </c>
      <c r="B667">
        <v>4753</v>
      </c>
      <c r="C667" t="s">
        <v>1075</v>
      </c>
      <c r="D667" t="s">
        <v>688</v>
      </c>
      <c r="E667">
        <v>61</v>
      </c>
      <c r="F667" t="s">
        <v>1075</v>
      </c>
      <c r="G667">
        <v>62</v>
      </c>
      <c r="H667">
        <v>0.66</v>
      </c>
      <c r="I667">
        <v>0.63900000000000001</v>
      </c>
      <c r="J667">
        <v>-5.3639999999999999</v>
      </c>
      <c r="K667">
        <v>0</v>
      </c>
      <c r="L667">
        <v>10</v>
      </c>
      <c r="M667">
        <v>0.223</v>
      </c>
      <c r="N667">
        <v>0.129</v>
      </c>
      <c r="O667">
        <v>0</v>
      </c>
      <c r="P667">
        <v>0.25600000000000001</v>
      </c>
      <c r="Q667">
        <v>0.75</v>
      </c>
      <c r="R667">
        <v>173.994</v>
      </c>
      <c r="S667">
        <v>4</v>
      </c>
      <c r="T667">
        <v>141673</v>
      </c>
      <c r="U667">
        <v>4</v>
      </c>
      <c r="V667">
        <v>141673</v>
      </c>
      <c r="W667">
        <v>4</v>
      </c>
      <c r="X667">
        <v>141673</v>
      </c>
      <c r="Y667" t="s">
        <v>17</v>
      </c>
      <c r="Z667" t="str">
        <f>LOOKUP(B667,{0,1083,124200,681950},{"1st","2nd","3rd","4th"})&amp;" Quartile"</f>
        <v>2nd Quartile</v>
      </c>
    </row>
    <row r="668" spans="1:26">
      <c r="A668">
        <v>2019</v>
      </c>
      <c r="B668">
        <v>4697</v>
      </c>
      <c r="C668" t="s">
        <v>368</v>
      </c>
      <c r="D668" t="s">
        <v>367</v>
      </c>
      <c r="E668">
        <v>90</v>
      </c>
      <c r="F668" t="s">
        <v>366</v>
      </c>
      <c r="G668">
        <v>72</v>
      </c>
      <c r="H668">
        <v>0.90100000000000002</v>
      </c>
      <c r="I668">
        <v>0.52200000000000002</v>
      </c>
      <c r="J668">
        <v>-8.3040000000000003</v>
      </c>
      <c r="K668">
        <v>1</v>
      </c>
      <c r="L668">
        <v>2</v>
      </c>
      <c r="M668">
        <v>0.33</v>
      </c>
      <c r="N668">
        <v>1.14E-2</v>
      </c>
      <c r="O668">
        <v>0</v>
      </c>
      <c r="P668">
        <v>0.25900000000000001</v>
      </c>
      <c r="Q668">
        <v>0.32900000000000001</v>
      </c>
      <c r="R668">
        <v>104.053</v>
      </c>
      <c r="S668">
        <v>4</v>
      </c>
      <c r="T668">
        <v>127947</v>
      </c>
      <c r="U668">
        <v>4</v>
      </c>
      <c r="V668">
        <v>127947</v>
      </c>
      <c r="W668">
        <v>4</v>
      </c>
      <c r="X668">
        <v>127947</v>
      </c>
      <c r="Y668" t="s">
        <v>17</v>
      </c>
      <c r="Z668" t="str">
        <f>LOOKUP(B668,{0,1083,124200,681950},{"1st","2nd","3rd","4th"})&amp;" Quartile"</f>
        <v>2nd Quartile</v>
      </c>
    </row>
    <row r="669" spans="1:26">
      <c r="A669">
        <v>2019</v>
      </c>
      <c r="B669">
        <v>4682</v>
      </c>
      <c r="C669" t="s">
        <v>513</v>
      </c>
      <c r="D669" t="s">
        <v>512</v>
      </c>
      <c r="E669">
        <v>45</v>
      </c>
      <c r="F669" t="s">
        <v>511</v>
      </c>
      <c r="G669">
        <v>47</v>
      </c>
      <c r="H669">
        <v>0.63800000000000001</v>
      </c>
      <c r="I669">
        <v>0.91200000000000003</v>
      </c>
      <c r="J669">
        <v>-3.3</v>
      </c>
      <c r="K669">
        <v>1</v>
      </c>
      <c r="L669">
        <v>1</v>
      </c>
      <c r="M669">
        <v>0.47399999999999998</v>
      </c>
      <c r="N669">
        <v>1.55E-2</v>
      </c>
      <c r="O669">
        <v>0</v>
      </c>
      <c r="P669">
        <v>0.23400000000000001</v>
      </c>
      <c r="Q669">
        <v>0.72499999999999998</v>
      </c>
      <c r="R669">
        <v>190.178</v>
      </c>
      <c r="S669">
        <v>4</v>
      </c>
      <c r="T669">
        <v>152464</v>
      </c>
      <c r="U669">
        <v>4</v>
      </c>
      <c r="V669">
        <v>152464</v>
      </c>
      <c r="W669">
        <v>4</v>
      </c>
      <c r="X669">
        <v>152464</v>
      </c>
      <c r="Y669" t="s">
        <v>17</v>
      </c>
      <c r="Z669" t="str">
        <f>LOOKUP(B669,{0,1083,124200,681950},{"1st","2nd","3rd","4th"})&amp;" Quartile"</f>
        <v>2nd Quartile</v>
      </c>
    </row>
    <row r="670" spans="1:26">
      <c r="A670">
        <v>2019</v>
      </c>
      <c r="B670">
        <v>4653</v>
      </c>
      <c r="C670" t="s">
        <v>567</v>
      </c>
      <c r="D670" t="s">
        <v>566</v>
      </c>
      <c r="E670">
        <v>41</v>
      </c>
      <c r="F670" t="s">
        <v>565</v>
      </c>
      <c r="G670">
        <v>51</v>
      </c>
      <c r="H670">
        <v>0.60299999999999998</v>
      </c>
      <c r="I670">
        <v>0.27600000000000002</v>
      </c>
      <c r="J670">
        <v>-19.238</v>
      </c>
      <c r="K670">
        <v>1</v>
      </c>
      <c r="L670">
        <v>4</v>
      </c>
      <c r="M670">
        <v>8.7099999999999997E-2</v>
      </c>
      <c r="N670">
        <v>0.91100000000000003</v>
      </c>
      <c r="O670">
        <v>2.3700000000000001E-3</v>
      </c>
      <c r="P670">
        <v>0.48399999999999999</v>
      </c>
      <c r="Q670">
        <v>0.86</v>
      </c>
      <c r="R670">
        <v>99.561000000000007</v>
      </c>
      <c r="S670">
        <v>4</v>
      </c>
      <c r="T670">
        <v>125933</v>
      </c>
      <c r="U670">
        <v>4</v>
      </c>
      <c r="V670">
        <v>125933</v>
      </c>
      <c r="W670">
        <v>4</v>
      </c>
      <c r="X670">
        <v>125933</v>
      </c>
      <c r="Y670" t="s">
        <v>17</v>
      </c>
      <c r="Z670" t="str">
        <f>LOOKUP(B670,{0,1083,124200,681950},{"1st","2nd","3rd","4th"})&amp;" Quartile"</f>
        <v>2nd Quartile</v>
      </c>
    </row>
    <row r="671" spans="1:26">
      <c r="A671">
        <v>2021</v>
      </c>
      <c r="B671">
        <v>4581</v>
      </c>
      <c r="C671" t="s">
        <v>1490</v>
      </c>
      <c r="D671" t="s">
        <v>1489</v>
      </c>
      <c r="E671">
        <v>68</v>
      </c>
      <c r="F671" t="s">
        <v>1488</v>
      </c>
      <c r="G671">
        <v>63</v>
      </c>
      <c r="H671">
        <v>0.64600000000000002</v>
      </c>
      <c r="I671">
        <v>0.79500000000000004</v>
      </c>
      <c r="J671">
        <v>-3.2930000000000001</v>
      </c>
      <c r="K671">
        <v>1</v>
      </c>
      <c r="L671">
        <v>9</v>
      </c>
      <c r="M671">
        <v>9.7600000000000006E-2</v>
      </c>
      <c r="N671">
        <v>3.1899999999999998E-2</v>
      </c>
      <c r="O671">
        <v>0</v>
      </c>
      <c r="P671">
        <v>0.26700000000000002</v>
      </c>
      <c r="Q671">
        <v>0.79600000000000004</v>
      </c>
      <c r="R671">
        <v>89.99</v>
      </c>
      <c r="S671">
        <v>4</v>
      </c>
      <c r="T671">
        <v>210960</v>
      </c>
      <c r="U671">
        <v>4</v>
      </c>
      <c r="V671">
        <v>210960</v>
      </c>
      <c r="W671">
        <v>4</v>
      </c>
      <c r="X671">
        <v>210960</v>
      </c>
      <c r="Y671" t="s">
        <v>17</v>
      </c>
      <c r="Z671" t="str">
        <f>LOOKUP(B671,{0,1083,124200,681950},{"1st","2nd","3rd","4th"})&amp;" Quartile"</f>
        <v>2nd Quartile</v>
      </c>
    </row>
    <row r="672" spans="1:26">
      <c r="A672">
        <v>2019</v>
      </c>
      <c r="B672">
        <v>4284</v>
      </c>
      <c r="C672" t="s">
        <v>118</v>
      </c>
      <c r="D672" t="s">
        <v>119</v>
      </c>
      <c r="E672">
        <v>42</v>
      </c>
      <c r="F672" t="s">
        <v>118</v>
      </c>
      <c r="G672">
        <v>58</v>
      </c>
      <c r="H672">
        <v>0.88600000000000001</v>
      </c>
      <c r="I672">
        <v>0.22500000000000001</v>
      </c>
      <c r="J672">
        <v>-11.436999999999999</v>
      </c>
      <c r="K672">
        <v>1</v>
      </c>
      <c r="L672">
        <v>4</v>
      </c>
      <c r="M672">
        <v>0.45700000000000002</v>
      </c>
      <c r="N672">
        <v>0.67600000000000005</v>
      </c>
      <c r="O672">
        <v>0</v>
      </c>
      <c r="P672">
        <v>9.3799999999999994E-2</v>
      </c>
      <c r="Q672">
        <v>0.38700000000000001</v>
      </c>
      <c r="R672">
        <v>120.1</v>
      </c>
      <c r="S672">
        <v>4</v>
      </c>
      <c r="T672">
        <v>212000</v>
      </c>
      <c r="U672">
        <v>4</v>
      </c>
      <c r="V672">
        <v>212000</v>
      </c>
      <c r="W672">
        <v>4</v>
      </c>
      <c r="X672">
        <v>212000</v>
      </c>
      <c r="Y672" t="s">
        <v>17</v>
      </c>
      <c r="Z672" t="str">
        <f>LOOKUP(B672,{0,1083,124200,681950},{"1st","2nd","3rd","4th"})&amp;" Quartile"</f>
        <v>2nd Quartile</v>
      </c>
    </row>
    <row r="673" spans="1:26">
      <c r="A673">
        <v>2020</v>
      </c>
      <c r="B673">
        <v>4218</v>
      </c>
      <c r="C673" t="s">
        <v>1086</v>
      </c>
      <c r="D673" t="s">
        <v>1085</v>
      </c>
      <c r="E673">
        <v>63</v>
      </c>
      <c r="F673" t="s">
        <v>1084</v>
      </c>
      <c r="G673">
        <v>70</v>
      </c>
      <c r="H673">
        <v>0.81699999999999995</v>
      </c>
      <c r="I673">
        <v>0.63500000000000001</v>
      </c>
      <c r="J673">
        <v>-7.2460000000000004</v>
      </c>
      <c r="K673">
        <v>1</v>
      </c>
      <c r="L673">
        <v>5</v>
      </c>
      <c r="M673">
        <v>0.16300000000000001</v>
      </c>
      <c r="N673">
        <v>0.32300000000000001</v>
      </c>
      <c r="O673">
        <v>0</v>
      </c>
      <c r="P673">
        <v>7.3800000000000004E-2</v>
      </c>
      <c r="Q673">
        <v>0.45400000000000001</v>
      </c>
      <c r="R673">
        <v>138.01499999999999</v>
      </c>
      <c r="S673">
        <v>4</v>
      </c>
      <c r="T673">
        <v>129241</v>
      </c>
      <c r="U673">
        <v>4</v>
      </c>
      <c r="V673">
        <v>129241</v>
      </c>
      <c r="W673">
        <v>4</v>
      </c>
      <c r="X673">
        <v>129241</v>
      </c>
      <c r="Y673" t="s">
        <v>17</v>
      </c>
      <c r="Z673" t="str">
        <f>LOOKUP(B673,{0,1083,124200,681950},{"1st","2nd","3rd","4th"})&amp;" Quartile"</f>
        <v>2nd Quartile</v>
      </c>
    </row>
    <row r="674" spans="1:26">
      <c r="A674">
        <v>2021</v>
      </c>
      <c r="B674">
        <v>3765</v>
      </c>
      <c r="C674" t="s">
        <v>1327</v>
      </c>
      <c r="D674" t="s">
        <v>1328</v>
      </c>
      <c r="E674">
        <v>66</v>
      </c>
      <c r="F674" t="s">
        <v>1327</v>
      </c>
      <c r="G674">
        <v>75</v>
      </c>
      <c r="H674">
        <v>0.66900000000000004</v>
      </c>
      <c r="I674">
        <v>0.68700000000000006</v>
      </c>
      <c r="J674">
        <v>-4.7530000000000001</v>
      </c>
      <c r="K674">
        <v>1</v>
      </c>
      <c r="L674">
        <v>0</v>
      </c>
      <c r="M674">
        <v>4.2999999999999997E-2</v>
      </c>
      <c r="N674">
        <v>0.152</v>
      </c>
      <c r="O674">
        <v>1.5999999999999999E-5</v>
      </c>
      <c r="P674">
        <v>0.308</v>
      </c>
      <c r="Q674">
        <v>0.38600000000000001</v>
      </c>
      <c r="R674">
        <v>123.90300000000001</v>
      </c>
      <c r="S674">
        <v>4</v>
      </c>
      <c r="T674">
        <v>145161</v>
      </c>
      <c r="U674">
        <v>4</v>
      </c>
      <c r="V674">
        <v>145161</v>
      </c>
      <c r="W674">
        <v>4</v>
      </c>
      <c r="X674">
        <v>145161</v>
      </c>
      <c r="Y674" t="s">
        <v>17</v>
      </c>
      <c r="Z674" t="str">
        <f>LOOKUP(B674,{0,1083,124200,681950},{"1st","2nd","3rd","4th"})&amp;" Quartile"</f>
        <v>2nd Quartile</v>
      </c>
    </row>
    <row r="675" spans="1:26">
      <c r="A675">
        <v>2022</v>
      </c>
      <c r="B675">
        <v>3764</v>
      </c>
      <c r="C675" t="s">
        <v>1327</v>
      </c>
      <c r="D675" t="s">
        <v>1328</v>
      </c>
      <c r="E675">
        <v>66</v>
      </c>
      <c r="F675" t="s">
        <v>1327</v>
      </c>
      <c r="G675">
        <v>75</v>
      </c>
      <c r="H675">
        <v>0.66900000000000004</v>
      </c>
      <c r="I675">
        <v>0.68700000000000006</v>
      </c>
      <c r="J675">
        <v>-4.7530000000000001</v>
      </c>
      <c r="K675">
        <v>1</v>
      </c>
      <c r="L675">
        <v>0</v>
      </c>
      <c r="M675">
        <v>4.2999999999999997E-2</v>
      </c>
      <c r="N675">
        <v>0.152</v>
      </c>
      <c r="O675">
        <v>1.5999999999999999E-5</v>
      </c>
      <c r="P675">
        <v>0.308</v>
      </c>
      <c r="Q675">
        <v>0.38600000000000001</v>
      </c>
      <c r="R675">
        <v>123.90300000000001</v>
      </c>
      <c r="S675">
        <v>4</v>
      </c>
      <c r="T675">
        <v>145161</v>
      </c>
      <c r="U675">
        <v>4</v>
      </c>
      <c r="V675">
        <v>145161</v>
      </c>
      <c r="W675">
        <v>4</v>
      </c>
      <c r="X675">
        <v>145161</v>
      </c>
      <c r="Y675" t="s">
        <v>17</v>
      </c>
      <c r="Z675" t="str">
        <f>LOOKUP(B675,{0,1083,124200,681950},{"1st","2nd","3rd","4th"})&amp;" Quartile"</f>
        <v>2nd Quartile</v>
      </c>
    </row>
    <row r="676" spans="1:26">
      <c r="A676">
        <v>2020</v>
      </c>
      <c r="B676">
        <v>3744</v>
      </c>
      <c r="C676" t="s">
        <v>824</v>
      </c>
      <c r="D676" t="s">
        <v>823</v>
      </c>
      <c r="E676">
        <v>80</v>
      </c>
      <c r="F676" t="s">
        <v>822</v>
      </c>
      <c r="G676">
        <v>76</v>
      </c>
      <c r="H676">
        <v>0.65900000000000003</v>
      </c>
      <c r="I676">
        <v>0.628</v>
      </c>
      <c r="J676">
        <v>-8.6850000000000005</v>
      </c>
      <c r="K676">
        <v>0</v>
      </c>
      <c r="L676">
        <v>0</v>
      </c>
      <c r="M676">
        <v>0.17899999999999999</v>
      </c>
      <c r="N676">
        <v>0.186</v>
      </c>
      <c r="O676">
        <v>0</v>
      </c>
      <c r="P676">
        <v>0.105</v>
      </c>
      <c r="Q676">
        <v>0.26200000000000001</v>
      </c>
      <c r="R676">
        <v>94.05</v>
      </c>
      <c r="S676">
        <v>4</v>
      </c>
      <c r="T676">
        <v>219427</v>
      </c>
      <c r="U676">
        <v>4</v>
      </c>
      <c r="V676">
        <v>219427</v>
      </c>
      <c r="W676">
        <v>4</v>
      </c>
      <c r="X676">
        <v>219427</v>
      </c>
      <c r="Y676" t="s">
        <v>17</v>
      </c>
      <c r="Z676" t="str">
        <f>LOOKUP(B676,{0,1083,124200,681950},{"1st","2nd","3rd","4th"})&amp;" Quartile"</f>
        <v>2nd Quartile</v>
      </c>
    </row>
    <row r="677" spans="1:26">
      <c r="A677">
        <v>2020</v>
      </c>
      <c r="B677">
        <v>3677</v>
      </c>
      <c r="C677" t="s">
        <v>749</v>
      </c>
      <c r="D677" t="s">
        <v>75</v>
      </c>
      <c r="E677">
        <v>93</v>
      </c>
      <c r="F677" t="s">
        <v>748</v>
      </c>
      <c r="G677">
        <v>64</v>
      </c>
      <c r="H677">
        <v>0.56000000000000005</v>
      </c>
      <c r="I677">
        <v>0.78</v>
      </c>
      <c r="J677">
        <v>-4.8949999999999996</v>
      </c>
      <c r="K677">
        <v>0</v>
      </c>
      <c r="L677">
        <v>5</v>
      </c>
      <c r="M677">
        <v>5.1700000000000003E-2</v>
      </c>
      <c r="N677">
        <v>2.4399999999999999E-3</v>
      </c>
      <c r="O677">
        <v>0</v>
      </c>
      <c r="P677">
        <v>7.1400000000000005E-2</v>
      </c>
      <c r="Q677">
        <v>0.60199999999999998</v>
      </c>
      <c r="R677">
        <v>93.516000000000005</v>
      </c>
      <c r="S677">
        <v>4</v>
      </c>
      <c r="T677">
        <v>157507</v>
      </c>
      <c r="U677">
        <v>4</v>
      </c>
      <c r="V677">
        <v>157507</v>
      </c>
      <c r="W677">
        <v>4</v>
      </c>
      <c r="X677">
        <v>157507</v>
      </c>
      <c r="Y677" t="s">
        <v>17</v>
      </c>
      <c r="Z677" t="str">
        <f>LOOKUP(B677,{0,1083,124200,681950},{"1st","2nd","3rd","4th"})&amp;" Quartile"</f>
        <v>2nd Quartile</v>
      </c>
    </row>
    <row r="678" spans="1:26">
      <c r="A678">
        <v>2022</v>
      </c>
      <c r="B678">
        <v>3635</v>
      </c>
      <c r="C678" t="s">
        <v>1531</v>
      </c>
      <c r="D678" t="s">
        <v>1530</v>
      </c>
      <c r="E678">
        <v>67</v>
      </c>
      <c r="F678" t="s">
        <v>1529</v>
      </c>
      <c r="G678">
        <v>70</v>
      </c>
      <c r="H678">
        <v>0.876</v>
      </c>
      <c r="I678">
        <v>0.51900000000000002</v>
      </c>
      <c r="J678">
        <v>-6.5309999999999997</v>
      </c>
      <c r="K678">
        <v>1</v>
      </c>
      <c r="L678">
        <v>11</v>
      </c>
      <c r="M678">
        <v>0.14299999999999999</v>
      </c>
      <c r="N678">
        <v>0.20200000000000001</v>
      </c>
      <c r="O678">
        <v>0</v>
      </c>
      <c r="P678">
        <v>0.108</v>
      </c>
      <c r="Q678">
        <v>0.158</v>
      </c>
      <c r="R678">
        <v>94.980999999999995</v>
      </c>
      <c r="S678">
        <v>4</v>
      </c>
      <c r="T678">
        <v>175230</v>
      </c>
      <c r="U678">
        <v>4</v>
      </c>
      <c r="V678">
        <v>175230</v>
      </c>
      <c r="W678">
        <v>4</v>
      </c>
      <c r="X678">
        <v>175230</v>
      </c>
      <c r="Y678" t="s">
        <v>17</v>
      </c>
      <c r="Z678" t="str">
        <f>LOOKUP(B678,{0,1083,124200,681950},{"1st","2nd","3rd","4th"})&amp;" Quartile"</f>
        <v>2nd Quartile</v>
      </c>
    </row>
    <row r="679" spans="1:26">
      <c r="A679">
        <v>2021</v>
      </c>
      <c r="B679">
        <v>3624</v>
      </c>
      <c r="C679" t="s">
        <v>1239</v>
      </c>
      <c r="D679" t="s">
        <v>1238</v>
      </c>
      <c r="E679">
        <v>79</v>
      </c>
      <c r="F679" t="s">
        <v>1237</v>
      </c>
      <c r="G679">
        <v>63</v>
      </c>
      <c r="H679">
        <v>0.501</v>
      </c>
      <c r="I679">
        <v>0.68200000000000005</v>
      </c>
      <c r="J679">
        <v>-4.6639999999999997</v>
      </c>
      <c r="K679">
        <v>0</v>
      </c>
      <c r="L679">
        <v>0</v>
      </c>
      <c r="M679">
        <v>6.8400000000000002E-2</v>
      </c>
      <c r="N679">
        <v>0.13500000000000001</v>
      </c>
      <c r="O679">
        <v>0</v>
      </c>
      <c r="P679">
        <v>0.14499999999999999</v>
      </c>
      <c r="Q679">
        <v>0.503</v>
      </c>
      <c r="R679">
        <v>173.92599999999999</v>
      </c>
      <c r="S679">
        <v>4</v>
      </c>
      <c r="T679">
        <v>164537</v>
      </c>
      <c r="U679">
        <v>4</v>
      </c>
      <c r="V679">
        <v>164537</v>
      </c>
      <c r="W679">
        <v>4</v>
      </c>
      <c r="X679">
        <v>164537</v>
      </c>
      <c r="Y679" t="s">
        <v>17</v>
      </c>
      <c r="Z679" t="str">
        <f>LOOKUP(B679,{0,1083,124200,681950},{"1st","2nd","3rd","4th"})&amp;" Quartile"</f>
        <v>2nd Quartile</v>
      </c>
    </row>
    <row r="680" spans="1:26">
      <c r="A680">
        <v>2019</v>
      </c>
      <c r="B680">
        <v>3547</v>
      </c>
      <c r="C680" t="s">
        <v>346</v>
      </c>
      <c r="D680" t="s">
        <v>345</v>
      </c>
      <c r="E680">
        <v>87</v>
      </c>
      <c r="F680" t="s">
        <v>344</v>
      </c>
      <c r="G680">
        <v>76</v>
      </c>
      <c r="H680">
        <v>0.70699999999999996</v>
      </c>
      <c r="I680">
        <v>0.81299999999999994</v>
      </c>
      <c r="J680">
        <v>-4.5149999999999997</v>
      </c>
      <c r="K680">
        <v>0</v>
      </c>
      <c r="L680">
        <v>11</v>
      </c>
      <c r="M680">
        <v>5.7099999999999998E-2</v>
      </c>
      <c r="N680">
        <v>8.6300000000000002E-2</v>
      </c>
      <c r="O680">
        <v>0</v>
      </c>
      <c r="P680">
        <v>0.16800000000000001</v>
      </c>
      <c r="Q680">
        <v>0.72199999999999998</v>
      </c>
      <c r="R680">
        <v>124.92100000000001</v>
      </c>
      <c r="S680">
        <v>4</v>
      </c>
      <c r="T680">
        <v>238627</v>
      </c>
      <c r="U680">
        <v>4</v>
      </c>
      <c r="V680">
        <v>238627</v>
      </c>
      <c r="W680">
        <v>4</v>
      </c>
      <c r="X680">
        <v>238627</v>
      </c>
      <c r="Y680" t="s">
        <v>17</v>
      </c>
      <c r="Z680" t="str">
        <f>LOOKUP(B680,{0,1083,124200,681950},{"1st","2nd","3rd","4th"})&amp;" Quartile"</f>
        <v>2nd Quartile</v>
      </c>
    </row>
    <row r="681" spans="1:26">
      <c r="A681">
        <v>2019</v>
      </c>
      <c r="B681">
        <v>3523</v>
      </c>
      <c r="C681" t="s">
        <v>199</v>
      </c>
      <c r="D681" t="s">
        <v>200</v>
      </c>
      <c r="E681">
        <v>47</v>
      </c>
      <c r="F681" t="s">
        <v>199</v>
      </c>
      <c r="G681">
        <v>61</v>
      </c>
      <c r="H681">
        <v>0.77700000000000002</v>
      </c>
      <c r="I681">
        <v>0.63500000000000001</v>
      </c>
      <c r="J681">
        <v>-6.3230000000000004</v>
      </c>
      <c r="K681">
        <v>0</v>
      </c>
      <c r="L681">
        <v>5</v>
      </c>
      <c r="M681">
        <v>3.9199999999999999E-2</v>
      </c>
      <c r="N681">
        <v>0.76400000000000001</v>
      </c>
      <c r="O681">
        <v>2.2500000000000001E-6</v>
      </c>
      <c r="P681">
        <v>0.155</v>
      </c>
      <c r="Q681">
        <v>0.65300000000000002</v>
      </c>
      <c r="R681">
        <v>138.04</v>
      </c>
      <c r="S681">
        <v>4</v>
      </c>
      <c r="T681">
        <v>184360</v>
      </c>
      <c r="U681">
        <v>4</v>
      </c>
      <c r="V681">
        <v>184360</v>
      </c>
      <c r="W681">
        <v>4</v>
      </c>
      <c r="X681">
        <v>184360</v>
      </c>
      <c r="Y681" t="s">
        <v>17</v>
      </c>
      <c r="Z681" t="str">
        <f>LOOKUP(B681,{0,1083,124200,681950},{"1st","2nd","3rd","4th"})&amp;" Quartile"</f>
        <v>2nd Quartile</v>
      </c>
    </row>
    <row r="682" spans="1:26">
      <c r="A682">
        <v>2019</v>
      </c>
      <c r="B682">
        <v>3466</v>
      </c>
      <c r="C682" t="s">
        <v>491</v>
      </c>
      <c r="D682" t="s">
        <v>490</v>
      </c>
      <c r="E682">
        <v>68</v>
      </c>
      <c r="F682" t="s">
        <v>489</v>
      </c>
      <c r="G682">
        <v>63</v>
      </c>
      <c r="H682">
        <v>0.746</v>
      </c>
      <c r="I682">
        <v>0.86199999999999999</v>
      </c>
      <c r="J682">
        <v>-6.11</v>
      </c>
      <c r="K682">
        <v>1</v>
      </c>
      <c r="L682">
        <v>8</v>
      </c>
      <c r="M682">
        <v>7.7600000000000002E-2</v>
      </c>
      <c r="N682">
        <v>0.21</v>
      </c>
      <c r="O682">
        <v>3.6299999999999999E-2</v>
      </c>
      <c r="P682">
        <v>0.22500000000000001</v>
      </c>
      <c r="Q682">
        <v>0.60399999999999998</v>
      </c>
      <c r="R682">
        <v>122.011</v>
      </c>
      <c r="S682">
        <v>4</v>
      </c>
      <c r="T682">
        <v>246970</v>
      </c>
      <c r="U682">
        <v>4</v>
      </c>
      <c r="V682">
        <v>246970</v>
      </c>
      <c r="W682">
        <v>4</v>
      </c>
      <c r="X682">
        <v>246970</v>
      </c>
      <c r="Y682" t="s">
        <v>17</v>
      </c>
      <c r="Z682" t="str">
        <f>LOOKUP(B682,{0,1083,124200,681950},{"1st","2nd","3rd","4th"})&amp;" Quartile"</f>
        <v>2nd Quartile</v>
      </c>
    </row>
    <row r="683" spans="1:26">
      <c r="A683">
        <v>2020</v>
      </c>
      <c r="B683">
        <v>3396</v>
      </c>
      <c r="C683" t="s">
        <v>389</v>
      </c>
      <c r="D683" t="s">
        <v>388</v>
      </c>
      <c r="E683">
        <v>52</v>
      </c>
      <c r="F683" t="s">
        <v>906</v>
      </c>
      <c r="G683">
        <v>56</v>
      </c>
      <c r="H683">
        <v>0.61599999999999999</v>
      </c>
      <c r="I683">
        <v>0.42599999999999999</v>
      </c>
      <c r="J683">
        <v>-8.3989999999999991</v>
      </c>
      <c r="K683">
        <v>1</v>
      </c>
      <c r="L683">
        <v>9</v>
      </c>
      <c r="M683">
        <v>4.2099999999999999E-2</v>
      </c>
      <c r="N683">
        <v>0.63400000000000001</v>
      </c>
      <c r="O683">
        <v>0</v>
      </c>
      <c r="P683">
        <v>6.9500000000000006E-2</v>
      </c>
      <c r="Q683">
        <v>0.58899999999999997</v>
      </c>
      <c r="R683">
        <v>110.395</v>
      </c>
      <c r="S683">
        <v>4</v>
      </c>
      <c r="T683">
        <v>143613</v>
      </c>
      <c r="U683">
        <v>4</v>
      </c>
      <c r="V683">
        <v>143613</v>
      </c>
      <c r="W683">
        <v>4</v>
      </c>
      <c r="X683">
        <v>143613</v>
      </c>
      <c r="Y683" t="s">
        <v>17</v>
      </c>
      <c r="Z683" t="str">
        <f>LOOKUP(B683,{0,1083,124200,681950},{"1st","2nd","3rd","4th"})&amp;" Quartile"</f>
        <v>2nd Quartile</v>
      </c>
    </row>
    <row r="684" spans="1:26">
      <c r="A684">
        <v>2019</v>
      </c>
      <c r="B684">
        <v>3396</v>
      </c>
      <c r="C684" t="s">
        <v>389</v>
      </c>
      <c r="D684" t="s">
        <v>388</v>
      </c>
      <c r="E684">
        <v>52</v>
      </c>
      <c r="F684" t="s">
        <v>388</v>
      </c>
      <c r="G684">
        <v>50</v>
      </c>
      <c r="H684">
        <v>0.626</v>
      </c>
      <c r="I684">
        <v>0.53500000000000003</v>
      </c>
      <c r="J684">
        <v>-4.4409999999999998</v>
      </c>
      <c r="K684">
        <v>1</v>
      </c>
      <c r="L684">
        <v>9</v>
      </c>
      <c r="M684">
        <v>4.4299999999999999E-2</v>
      </c>
      <c r="N684">
        <v>0.85</v>
      </c>
      <c r="O684">
        <v>0</v>
      </c>
      <c r="P684">
        <v>5.6099999999999997E-2</v>
      </c>
      <c r="Q684">
        <v>0.67100000000000004</v>
      </c>
      <c r="R684">
        <v>108.804</v>
      </c>
      <c r="S684">
        <v>4</v>
      </c>
      <c r="T684">
        <v>144200</v>
      </c>
      <c r="U684">
        <v>4</v>
      </c>
      <c r="V684">
        <v>144200</v>
      </c>
      <c r="W684">
        <v>4</v>
      </c>
      <c r="X684">
        <v>144200</v>
      </c>
      <c r="Y684" t="s">
        <v>17</v>
      </c>
      <c r="Z684" t="str">
        <f>LOOKUP(B684,{0,1083,124200,681950},{"1st","2nd","3rd","4th"})&amp;" Quartile"</f>
        <v>2nd Quartile</v>
      </c>
    </row>
    <row r="685" spans="1:26">
      <c r="A685">
        <v>2020</v>
      </c>
      <c r="B685">
        <v>3027</v>
      </c>
      <c r="C685" t="s">
        <v>919</v>
      </c>
      <c r="D685" t="s">
        <v>644</v>
      </c>
      <c r="E685">
        <v>84</v>
      </c>
      <c r="F685" t="s">
        <v>918</v>
      </c>
      <c r="G685">
        <v>80</v>
      </c>
      <c r="H685">
        <v>0.83099999999999996</v>
      </c>
      <c r="I685">
        <v>0.42699999999999999</v>
      </c>
      <c r="J685">
        <v>-6.9029999999999996</v>
      </c>
      <c r="K685">
        <v>1</v>
      </c>
      <c r="L685">
        <v>2</v>
      </c>
      <c r="M685">
        <v>0.106</v>
      </c>
      <c r="N685">
        <v>5.3100000000000001E-2</v>
      </c>
      <c r="O685">
        <v>0</v>
      </c>
      <c r="P685">
        <v>0.307</v>
      </c>
      <c r="Q685">
        <v>0.216</v>
      </c>
      <c r="R685">
        <v>93.004000000000005</v>
      </c>
      <c r="S685">
        <v>4</v>
      </c>
      <c r="T685">
        <v>235320</v>
      </c>
      <c r="U685">
        <v>4</v>
      </c>
      <c r="V685">
        <v>235320</v>
      </c>
      <c r="W685">
        <v>4</v>
      </c>
      <c r="X685">
        <v>235320</v>
      </c>
      <c r="Y685" t="s">
        <v>17</v>
      </c>
      <c r="Z685" t="str">
        <f>LOOKUP(B685,{0,1083,124200,681950},{"1st","2nd","3rd","4th"})&amp;" Quartile"</f>
        <v>2nd Quartile</v>
      </c>
    </row>
    <row r="686" spans="1:26">
      <c r="A686">
        <v>2020</v>
      </c>
      <c r="B686">
        <v>2933</v>
      </c>
      <c r="C686" t="s">
        <v>624</v>
      </c>
      <c r="D686" t="s">
        <v>623</v>
      </c>
      <c r="E686">
        <v>66</v>
      </c>
      <c r="F686" t="s">
        <v>622</v>
      </c>
      <c r="G686">
        <v>79</v>
      </c>
      <c r="H686">
        <v>0.47099999999999997</v>
      </c>
      <c r="I686">
        <v>0.92400000000000004</v>
      </c>
      <c r="J686">
        <v>-3.9060000000000001</v>
      </c>
      <c r="K686">
        <v>1</v>
      </c>
      <c r="L686">
        <v>8</v>
      </c>
      <c r="M686">
        <v>5.8599999999999999E-2</v>
      </c>
      <c r="N686">
        <v>3.0100000000000001E-3</v>
      </c>
      <c r="O686">
        <v>0</v>
      </c>
      <c r="P686">
        <v>0.313</v>
      </c>
      <c r="Q686">
        <v>0.72499999999999998</v>
      </c>
      <c r="R686">
        <v>154.96100000000001</v>
      </c>
      <c r="S686">
        <v>4</v>
      </c>
      <c r="T686">
        <v>177280</v>
      </c>
      <c r="U686">
        <v>4</v>
      </c>
      <c r="V686">
        <v>177280</v>
      </c>
      <c r="W686">
        <v>4</v>
      </c>
      <c r="X686">
        <v>177280</v>
      </c>
      <c r="Y686" t="s">
        <v>17</v>
      </c>
      <c r="Z686" t="str">
        <f>LOOKUP(B686,{0,1083,124200,681950},{"1st","2nd","3rd","4th"})&amp;" Quartile"</f>
        <v>2nd Quartile</v>
      </c>
    </row>
    <row r="687" spans="1:26">
      <c r="A687">
        <v>2019</v>
      </c>
      <c r="B687">
        <v>2889</v>
      </c>
      <c r="C687" t="s">
        <v>212</v>
      </c>
      <c r="D687" t="s">
        <v>213</v>
      </c>
      <c r="E687">
        <v>75</v>
      </c>
      <c r="F687" t="s">
        <v>212</v>
      </c>
      <c r="G687">
        <v>72</v>
      </c>
      <c r="H687">
        <v>0.79900000000000004</v>
      </c>
      <c r="I687">
        <v>0.58599999999999997</v>
      </c>
      <c r="J687">
        <v>-6.7350000000000003</v>
      </c>
      <c r="K687">
        <v>1</v>
      </c>
      <c r="L687">
        <v>11</v>
      </c>
      <c r="M687">
        <v>3.7699999999999997E-2</v>
      </c>
      <c r="N687">
        <v>0.16200000000000001</v>
      </c>
      <c r="O687">
        <v>2.03E-6</v>
      </c>
      <c r="P687">
        <v>0.193</v>
      </c>
      <c r="Q687">
        <v>0.54900000000000004</v>
      </c>
      <c r="R687">
        <v>120.97</v>
      </c>
      <c r="S687">
        <v>4</v>
      </c>
      <c r="T687">
        <v>227833</v>
      </c>
      <c r="U687">
        <v>4</v>
      </c>
      <c r="V687">
        <v>227833</v>
      </c>
      <c r="W687">
        <v>4</v>
      </c>
      <c r="X687">
        <v>227833</v>
      </c>
      <c r="Y687" t="s">
        <v>17</v>
      </c>
      <c r="Z687" t="str">
        <f>LOOKUP(B687,{0,1083,124200,681950},{"1st","2nd","3rd","4th"})&amp;" Quartile"</f>
        <v>2nd Quartile</v>
      </c>
    </row>
    <row r="688" spans="1:26">
      <c r="A688">
        <v>2019</v>
      </c>
      <c r="B688">
        <v>2880</v>
      </c>
      <c r="C688" t="s">
        <v>278</v>
      </c>
      <c r="D688" t="s">
        <v>279</v>
      </c>
      <c r="E688">
        <v>60</v>
      </c>
      <c r="F688" t="s">
        <v>278</v>
      </c>
      <c r="G688">
        <v>51</v>
      </c>
      <c r="H688">
        <v>0.85899999999999999</v>
      </c>
      <c r="I688">
        <v>0.39100000000000001</v>
      </c>
      <c r="J688">
        <v>-10.252000000000001</v>
      </c>
      <c r="K688">
        <v>0</v>
      </c>
      <c r="L688">
        <v>7</v>
      </c>
      <c r="M688">
        <v>0.70099999999999996</v>
      </c>
      <c r="N688">
        <v>2.1600000000000001E-2</v>
      </c>
      <c r="O688">
        <v>0</v>
      </c>
      <c r="P688">
        <v>9.6799999999999997E-2</v>
      </c>
      <c r="Q688">
        <v>0.35399999999999998</v>
      </c>
      <c r="R688">
        <v>157.03700000000001</v>
      </c>
      <c r="S688">
        <v>4</v>
      </c>
      <c r="T688">
        <v>159745</v>
      </c>
      <c r="U688">
        <v>4</v>
      </c>
      <c r="V688">
        <v>159745</v>
      </c>
      <c r="W688">
        <v>4</v>
      </c>
      <c r="X688">
        <v>159745</v>
      </c>
      <c r="Y688" t="s">
        <v>17</v>
      </c>
      <c r="Z688" t="str">
        <f>LOOKUP(B688,{0,1083,124200,681950},{"1st","2nd","3rd","4th"})&amp;" Quartile"</f>
        <v>2nd Quartile</v>
      </c>
    </row>
    <row r="689" spans="1:26">
      <c r="A689">
        <v>2020</v>
      </c>
      <c r="B689">
        <v>2817</v>
      </c>
      <c r="C689" t="s">
        <v>762</v>
      </c>
      <c r="D689" t="s">
        <v>288</v>
      </c>
      <c r="E689">
        <v>85</v>
      </c>
      <c r="F689" t="s">
        <v>761</v>
      </c>
      <c r="G689">
        <v>64</v>
      </c>
      <c r="H689">
        <v>0.89800000000000002</v>
      </c>
      <c r="I689">
        <v>0.73299999999999998</v>
      </c>
      <c r="J689">
        <v>-4.75</v>
      </c>
      <c r="K689">
        <v>1</v>
      </c>
      <c r="L689">
        <v>7</v>
      </c>
      <c r="M689">
        <v>0.17799999999999999</v>
      </c>
      <c r="N689">
        <v>5.33E-2</v>
      </c>
      <c r="O689">
        <v>1.15E-4</v>
      </c>
      <c r="P689">
        <v>0.10199999999999999</v>
      </c>
      <c r="Q689">
        <v>0.29499999999999998</v>
      </c>
      <c r="R689">
        <v>96.51</v>
      </c>
      <c r="S689">
        <v>4</v>
      </c>
      <c r="T689">
        <v>237493</v>
      </c>
      <c r="U689">
        <v>4</v>
      </c>
      <c r="V689">
        <v>237493</v>
      </c>
      <c r="W689">
        <v>4</v>
      </c>
      <c r="X689">
        <v>237493</v>
      </c>
      <c r="Y689" t="s">
        <v>17</v>
      </c>
      <c r="Z689" t="str">
        <f>LOOKUP(B689,{0,1083,124200,681950},{"1st","2nd","3rd","4th"})&amp;" Quartile"</f>
        <v>2nd Quartile</v>
      </c>
    </row>
    <row r="690" spans="1:26">
      <c r="A690">
        <v>2020</v>
      </c>
      <c r="B690">
        <v>2812</v>
      </c>
      <c r="C690" t="s">
        <v>755</v>
      </c>
      <c r="D690" t="s">
        <v>754</v>
      </c>
      <c r="E690">
        <v>52</v>
      </c>
      <c r="F690" t="s">
        <v>753</v>
      </c>
      <c r="G690">
        <v>52</v>
      </c>
      <c r="H690">
        <v>0.82199999999999995</v>
      </c>
      <c r="I690">
        <v>0.65500000000000003</v>
      </c>
      <c r="J690">
        <v>-8.3160000000000007</v>
      </c>
      <c r="K690">
        <v>1</v>
      </c>
      <c r="L690">
        <v>9</v>
      </c>
      <c r="M690">
        <v>3.6299999999999999E-2</v>
      </c>
      <c r="N690">
        <v>0.20499999999999999</v>
      </c>
      <c r="O690">
        <v>5.3499999999999999E-4</v>
      </c>
      <c r="P690">
        <v>0.1</v>
      </c>
      <c r="Q690">
        <v>0.51800000000000002</v>
      </c>
      <c r="R690">
        <v>106.977</v>
      </c>
      <c r="S690">
        <v>4</v>
      </c>
      <c r="T690">
        <v>215387</v>
      </c>
      <c r="U690">
        <v>4</v>
      </c>
      <c r="V690">
        <v>215387</v>
      </c>
      <c r="W690">
        <v>4</v>
      </c>
      <c r="X690">
        <v>215387</v>
      </c>
      <c r="Y690" t="s">
        <v>17</v>
      </c>
      <c r="Z690" t="str">
        <f>LOOKUP(B690,{0,1083,124200,681950},{"1st","2nd","3rd","4th"})&amp;" Quartile"</f>
        <v>2nd Quartile</v>
      </c>
    </row>
    <row r="691" spans="1:26">
      <c r="A691">
        <v>2022</v>
      </c>
      <c r="B691">
        <v>2555</v>
      </c>
      <c r="C691" t="s">
        <v>1559</v>
      </c>
      <c r="D691" t="s">
        <v>319</v>
      </c>
      <c r="E691">
        <v>90</v>
      </c>
      <c r="F691" t="s">
        <v>1558</v>
      </c>
      <c r="G691">
        <v>77</v>
      </c>
      <c r="H691">
        <v>0.80600000000000005</v>
      </c>
      <c r="I691">
        <v>0.54600000000000004</v>
      </c>
      <c r="J691">
        <v>-6.6369999999999996</v>
      </c>
      <c r="K691">
        <v>1</v>
      </c>
      <c r="L691">
        <v>9</v>
      </c>
      <c r="M691">
        <v>5.7500000000000002E-2</v>
      </c>
      <c r="N691">
        <v>0.3</v>
      </c>
      <c r="O691">
        <v>0</v>
      </c>
      <c r="P691">
        <v>0.10199999999999999</v>
      </c>
      <c r="Q691">
        <v>0.874</v>
      </c>
      <c r="R691">
        <v>147.98599999999999</v>
      </c>
      <c r="S691">
        <v>4</v>
      </c>
      <c r="T691">
        <v>212867</v>
      </c>
      <c r="U691">
        <v>4</v>
      </c>
      <c r="V691">
        <v>212867</v>
      </c>
      <c r="W691">
        <v>4</v>
      </c>
      <c r="X691">
        <v>212867</v>
      </c>
      <c r="Y691" t="s">
        <v>17</v>
      </c>
      <c r="Z691" t="str">
        <f>LOOKUP(B691,{0,1083,124200,681950},{"1st","2nd","3rd","4th"})&amp;" Quartile"</f>
        <v>2nd Quartile</v>
      </c>
    </row>
    <row r="692" spans="1:26">
      <c r="A692">
        <v>2019</v>
      </c>
      <c r="B692">
        <v>2516</v>
      </c>
      <c r="C692" t="s">
        <v>239</v>
      </c>
      <c r="D692" t="s">
        <v>238</v>
      </c>
      <c r="E692">
        <v>61</v>
      </c>
      <c r="F692" t="s">
        <v>237</v>
      </c>
      <c r="G692">
        <v>58</v>
      </c>
      <c r="H692">
        <v>0.69</v>
      </c>
      <c r="I692">
        <v>0.80700000000000005</v>
      </c>
      <c r="J692">
        <v>-4.9119999999999999</v>
      </c>
      <c r="K692">
        <v>1</v>
      </c>
      <c r="L692">
        <v>3</v>
      </c>
      <c r="M692">
        <v>3.2599999999999997E-2</v>
      </c>
      <c r="N692">
        <v>0.23899999999999999</v>
      </c>
      <c r="O692">
        <v>0</v>
      </c>
      <c r="P692">
        <v>0.20499999999999999</v>
      </c>
      <c r="Q692">
        <v>0.86899999999999999</v>
      </c>
      <c r="R692">
        <v>96.991</v>
      </c>
      <c r="S692">
        <v>4</v>
      </c>
      <c r="T692">
        <v>166573</v>
      </c>
      <c r="U692">
        <v>4</v>
      </c>
      <c r="V692">
        <v>166573</v>
      </c>
      <c r="W692">
        <v>4</v>
      </c>
      <c r="X692">
        <v>166573</v>
      </c>
      <c r="Y692" t="s">
        <v>17</v>
      </c>
      <c r="Z692" t="str">
        <f>LOOKUP(B692,{0,1083,124200,681950},{"1st","2nd","3rd","4th"})&amp;" Quartile"</f>
        <v>2nd Quartile</v>
      </c>
    </row>
    <row r="693" spans="1:26">
      <c r="A693">
        <v>2022</v>
      </c>
      <c r="B693">
        <v>2507</v>
      </c>
      <c r="C693" t="s">
        <v>1458</v>
      </c>
      <c r="D693" t="s">
        <v>396</v>
      </c>
      <c r="E693">
        <v>81</v>
      </c>
      <c r="F693" t="s">
        <v>1458</v>
      </c>
      <c r="G693">
        <v>4</v>
      </c>
      <c r="H693">
        <v>0.61</v>
      </c>
      <c r="I693">
        <v>0.50800000000000001</v>
      </c>
      <c r="J693">
        <v>-6.6820000000000004</v>
      </c>
      <c r="K693">
        <v>0</v>
      </c>
      <c r="L693">
        <v>8</v>
      </c>
      <c r="M693">
        <v>0.152</v>
      </c>
      <c r="N693">
        <v>0.29699999999999999</v>
      </c>
      <c r="O693">
        <v>0</v>
      </c>
      <c r="P693">
        <v>0.38400000000000001</v>
      </c>
      <c r="Q693">
        <v>0.75800000000000001</v>
      </c>
      <c r="R693">
        <v>178.81800000000001</v>
      </c>
      <c r="S693">
        <v>4</v>
      </c>
      <c r="T693">
        <v>137876</v>
      </c>
      <c r="U693">
        <v>4</v>
      </c>
      <c r="V693">
        <v>137876</v>
      </c>
      <c r="W693">
        <v>4</v>
      </c>
      <c r="X693">
        <v>137876</v>
      </c>
      <c r="Y693" t="s">
        <v>17</v>
      </c>
      <c r="Z693" t="str">
        <f>LOOKUP(B693,{0,1083,124200,681950},{"1st","2nd","3rd","4th"})&amp;" Quartile"</f>
        <v>2nd Quartile</v>
      </c>
    </row>
    <row r="694" spans="1:26">
      <c r="A694">
        <v>2021</v>
      </c>
      <c r="B694">
        <v>2507</v>
      </c>
      <c r="C694" t="s">
        <v>1458</v>
      </c>
      <c r="D694" t="s">
        <v>396</v>
      </c>
      <c r="E694">
        <v>81</v>
      </c>
      <c r="F694" t="s">
        <v>1458</v>
      </c>
      <c r="G694">
        <v>4</v>
      </c>
      <c r="H694">
        <v>0.61</v>
      </c>
      <c r="I694">
        <v>0.50800000000000001</v>
      </c>
      <c r="J694">
        <v>-6.6820000000000004</v>
      </c>
      <c r="K694">
        <v>0</v>
      </c>
      <c r="L694">
        <v>8</v>
      </c>
      <c r="M694">
        <v>0.152</v>
      </c>
      <c r="N694">
        <v>0.29699999999999999</v>
      </c>
      <c r="O694">
        <v>0</v>
      </c>
      <c r="P694">
        <v>0.38400000000000001</v>
      </c>
      <c r="Q694">
        <v>0.75800000000000001</v>
      </c>
      <c r="R694">
        <v>178.81800000000001</v>
      </c>
      <c r="S694">
        <v>4</v>
      </c>
      <c r="T694">
        <v>137876</v>
      </c>
      <c r="U694">
        <v>4</v>
      </c>
      <c r="V694">
        <v>137876</v>
      </c>
      <c r="W694">
        <v>4</v>
      </c>
      <c r="X694">
        <v>137876</v>
      </c>
      <c r="Y694" t="s">
        <v>17</v>
      </c>
      <c r="Z694" t="str">
        <f>LOOKUP(B694,{0,1083,124200,681950},{"1st","2nd","3rd","4th"})&amp;" Quartile"</f>
        <v>2nd Quartile</v>
      </c>
    </row>
    <row r="695" spans="1:26">
      <c r="A695">
        <v>2020</v>
      </c>
      <c r="B695">
        <v>2254</v>
      </c>
      <c r="C695" t="s">
        <v>904</v>
      </c>
      <c r="D695" t="s">
        <v>905</v>
      </c>
      <c r="E695">
        <v>51</v>
      </c>
      <c r="F695" t="s">
        <v>904</v>
      </c>
      <c r="G695">
        <v>64</v>
      </c>
      <c r="H695">
        <v>0.78600000000000003</v>
      </c>
      <c r="I695">
        <v>0.71199999999999997</v>
      </c>
      <c r="J695">
        <v>-5.3490000000000002</v>
      </c>
      <c r="K695">
        <v>0</v>
      </c>
      <c r="L695">
        <v>3</v>
      </c>
      <c r="M695">
        <v>6.7799999999999999E-2</v>
      </c>
      <c r="N695">
        <v>7.0599999999999996E-2</v>
      </c>
      <c r="O695">
        <v>0</v>
      </c>
      <c r="P695">
        <v>0.23599999999999999</v>
      </c>
      <c r="Q695">
        <v>0.79500000000000004</v>
      </c>
      <c r="R695">
        <v>130.14400000000001</v>
      </c>
      <c r="S695">
        <v>4</v>
      </c>
      <c r="T695">
        <v>180231</v>
      </c>
      <c r="U695">
        <v>4</v>
      </c>
      <c r="V695">
        <v>180231</v>
      </c>
      <c r="W695">
        <v>4</v>
      </c>
      <c r="X695">
        <v>180231</v>
      </c>
      <c r="Y695" t="s">
        <v>17</v>
      </c>
      <c r="Z695" t="str">
        <f>LOOKUP(B695,{0,1083,124200,681950},{"1st","2nd","3rd","4th"})&amp;" Quartile"</f>
        <v>2nd Quartile</v>
      </c>
    </row>
    <row r="696" spans="1:26">
      <c r="A696">
        <v>2019</v>
      </c>
      <c r="B696">
        <v>2194</v>
      </c>
      <c r="C696" t="s">
        <v>189</v>
      </c>
      <c r="D696" t="s">
        <v>188</v>
      </c>
      <c r="E696">
        <v>72</v>
      </c>
      <c r="F696" t="s">
        <v>187</v>
      </c>
      <c r="G696">
        <v>78</v>
      </c>
      <c r="H696">
        <v>0.42099999999999999</v>
      </c>
      <c r="I696">
        <v>0.873</v>
      </c>
      <c r="J696">
        <v>-4.343</v>
      </c>
      <c r="K696">
        <v>1</v>
      </c>
      <c r="L696">
        <v>10</v>
      </c>
      <c r="M696">
        <v>5.6399999999999999E-2</v>
      </c>
      <c r="N696">
        <v>6.54E-2</v>
      </c>
      <c r="O696">
        <v>0</v>
      </c>
      <c r="P696">
        <v>0.123</v>
      </c>
      <c r="Q696">
        <v>0.629</v>
      </c>
      <c r="R696">
        <v>84.786000000000001</v>
      </c>
      <c r="S696">
        <v>4</v>
      </c>
      <c r="T696">
        <v>202533</v>
      </c>
      <c r="U696">
        <v>4</v>
      </c>
      <c r="V696">
        <v>202533</v>
      </c>
      <c r="W696">
        <v>4</v>
      </c>
      <c r="X696">
        <v>202533</v>
      </c>
      <c r="Y696" t="s">
        <v>17</v>
      </c>
      <c r="Z696" t="str">
        <f>LOOKUP(B696,{0,1083,124200,681950},{"1st","2nd","3rd","4th"})&amp;" Quartile"</f>
        <v>2nd Quartile</v>
      </c>
    </row>
    <row r="697" spans="1:26">
      <c r="A697">
        <v>2022</v>
      </c>
      <c r="B697">
        <v>2133</v>
      </c>
      <c r="C697" t="s">
        <v>1792</v>
      </c>
      <c r="D697" t="s">
        <v>1791</v>
      </c>
      <c r="E697">
        <v>31</v>
      </c>
      <c r="F697" t="s">
        <v>1790</v>
      </c>
      <c r="G697">
        <v>0</v>
      </c>
      <c r="H697">
        <v>0.78200000000000003</v>
      </c>
      <c r="I697">
        <v>0.58599999999999997</v>
      </c>
      <c r="J697">
        <v>-6.0670000000000002</v>
      </c>
      <c r="K697">
        <v>0</v>
      </c>
      <c r="L697">
        <v>10</v>
      </c>
      <c r="M697">
        <v>5.67E-2</v>
      </c>
      <c r="N697">
        <v>6.08E-2</v>
      </c>
      <c r="O697">
        <v>4.0899999999999999E-3</v>
      </c>
      <c r="P697">
        <v>0.115</v>
      </c>
      <c r="Q697">
        <v>0.72399999999999998</v>
      </c>
      <c r="R697">
        <v>120.018</v>
      </c>
      <c r="S697">
        <v>4</v>
      </c>
      <c r="T697">
        <v>156000</v>
      </c>
      <c r="U697">
        <v>4</v>
      </c>
      <c r="V697">
        <v>156000</v>
      </c>
      <c r="W697">
        <v>4</v>
      </c>
      <c r="X697">
        <v>156000</v>
      </c>
      <c r="Y697" t="s">
        <v>17</v>
      </c>
      <c r="Z697" t="str">
        <f>LOOKUP(B697,{0,1083,124200,681950},{"1st","2nd","3rd","4th"})&amp;" Quartile"</f>
        <v>2nd Quartile</v>
      </c>
    </row>
    <row r="698" spans="1:26">
      <c r="A698">
        <v>2020</v>
      </c>
      <c r="B698">
        <v>2130</v>
      </c>
      <c r="C698" t="s">
        <v>274</v>
      </c>
      <c r="D698" t="s">
        <v>273</v>
      </c>
      <c r="E698">
        <v>39</v>
      </c>
      <c r="F698" t="s">
        <v>272</v>
      </c>
      <c r="G698">
        <v>52</v>
      </c>
      <c r="H698">
        <v>0.68</v>
      </c>
      <c r="I698">
        <v>0.32</v>
      </c>
      <c r="J698">
        <v>-7.5439999999999996</v>
      </c>
      <c r="K698">
        <v>0</v>
      </c>
      <c r="L698">
        <v>10</v>
      </c>
      <c r="M698">
        <v>2.8899999999999999E-2</v>
      </c>
      <c r="N698">
        <v>0.95399999999999996</v>
      </c>
      <c r="O698">
        <v>0</v>
      </c>
      <c r="P698">
        <v>9.4799999999999995E-2</v>
      </c>
      <c r="Q698">
        <v>0.76900000000000002</v>
      </c>
      <c r="R698">
        <v>108.07</v>
      </c>
      <c r="S698">
        <v>4</v>
      </c>
      <c r="T698">
        <v>115227</v>
      </c>
      <c r="U698">
        <v>4</v>
      </c>
      <c r="V698">
        <v>115227</v>
      </c>
      <c r="W698">
        <v>4</v>
      </c>
      <c r="X698">
        <v>115227</v>
      </c>
      <c r="Y698" t="s">
        <v>17</v>
      </c>
      <c r="Z698" t="str">
        <f>LOOKUP(B698,{0,1083,124200,681950},{"1st","2nd","3rd","4th"})&amp;" Quartile"</f>
        <v>2nd Quartile</v>
      </c>
    </row>
    <row r="699" spans="1:26">
      <c r="A699">
        <v>2022</v>
      </c>
      <c r="B699">
        <v>2118</v>
      </c>
      <c r="C699" t="s">
        <v>1760</v>
      </c>
      <c r="D699" t="s">
        <v>849</v>
      </c>
      <c r="E699">
        <v>91</v>
      </c>
      <c r="F699" t="s">
        <v>1759</v>
      </c>
      <c r="G699">
        <v>93</v>
      </c>
      <c r="H699">
        <v>0.71399999999999997</v>
      </c>
      <c r="I699">
        <v>0.72799999999999998</v>
      </c>
      <c r="J699">
        <v>-4.5949999999999998</v>
      </c>
      <c r="K699">
        <v>1</v>
      </c>
      <c r="L699">
        <v>10</v>
      </c>
      <c r="M699">
        <v>4.6800000000000001E-2</v>
      </c>
      <c r="N699">
        <v>0.29799999999999999</v>
      </c>
      <c r="O699">
        <v>0</v>
      </c>
      <c r="P699">
        <v>0.106</v>
      </c>
      <c r="Q699">
        <v>0.90100000000000002</v>
      </c>
      <c r="R699">
        <v>114.996</v>
      </c>
      <c r="S699">
        <v>4</v>
      </c>
      <c r="T699">
        <v>177955</v>
      </c>
      <c r="U699">
        <v>4</v>
      </c>
      <c r="V699">
        <v>177955</v>
      </c>
      <c r="W699">
        <v>4</v>
      </c>
      <c r="X699">
        <v>177955</v>
      </c>
      <c r="Y699" t="s">
        <v>17</v>
      </c>
      <c r="Z699" t="str">
        <f>LOOKUP(B699,{0,1083,124200,681950},{"1st","2nd","3rd","4th"})&amp;" Quartile"</f>
        <v>2nd Quartile</v>
      </c>
    </row>
    <row r="700" spans="1:26">
      <c r="A700">
        <v>2021</v>
      </c>
      <c r="B700">
        <v>2058</v>
      </c>
      <c r="C700" t="s">
        <v>1415</v>
      </c>
      <c r="D700" t="s">
        <v>1414</v>
      </c>
      <c r="E700">
        <v>60</v>
      </c>
      <c r="F700" t="s">
        <v>1413</v>
      </c>
      <c r="G700">
        <v>73</v>
      </c>
      <c r="H700">
        <v>0.94899999999999995</v>
      </c>
      <c r="I700">
        <v>0.79</v>
      </c>
      <c r="J700">
        <v>-5.9569999999999999</v>
      </c>
      <c r="K700">
        <v>1</v>
      </c>
      <c r="L700">
        <v>8</v>
      </c>
      <c r="M700">
        <v>7.5600000000000001E-2</v>
      </c>
      <c r="N700">
        <v>4.3699999999999998E-3</v>
      </c>
      <c r="O700">
        <v>0</v>
      </c>
      <c r="P700">
        <v>8.1600000000000006E-2</v>
      </c>
      <c r="Q700">
        <v>0.80700000000000005</v>
      </c>
      <c r="R700">
        <v>117.002</v>
      </c>
      <c r="S700">
        <v>4</v>
      </c>
      <c r="T700">
        <v>246053</v>
      </c>
      <c r="U700">
        <v>4</v>
      </c>
      <c r="V700">
        <v>246053</v>
      </c>
      <c r="W700">
        <v>4</v>
      </c>
      <c r="X700">
        <v>246053</v>
      </c>
      <c r="Y700" t="s">
        <v>17</v>
      </c>
      <c r="Z700" t="str">
        <f>LOOKUP(B700,{0,1083,124200,681950},{"1st","2nd","3rd","4th"})&amp;" Quartile"</f>
        <v>2nd Quartile</v>
      </c>
    </row>
    <row r="701" spans="1:26">
      <c r="A701">
        <v>2020</v>
      </c>
      <c r="B701">
        <v>2034</v>
      </c>
      <c r="C701" t="s">
        <v>627</v>
      </c>
      <c r="D701" t="s">
        <v>626</v>
      </c>
      <c r="E701">
        <v>79</v>
      </c>
      <c r="F701" t="s">
        <v>625</v>
      </c>
      <c r="G701">
        <v>64</v>
      </c>
      <c r="H701">
        <v>0.86299999999999999</v>
      </c>
      <c r="I701">
        <v>0.501</v>
      </c>
      <c r="J701">
        <v>-8.7530000000000001</v>
      </c>
      <c r="K701">
        <v>0</v>
      </c>
      <c r="L701">
        <v>9</v>
      </c>
      <c r="M701">
        <v>4.3299999999999998E-2</v>
      </c>
      <c r="N701">
        <v>1.6400000000000001E-2</v>
      </c>
      <c r="O701">
        <v>0</v>
      </c>
      <c r="P701">
        <v>0.27200000000000002</v>
      </c>
      <c r="Q701">
        <v>0.35699999999999998</v>
      </c>
      <c r="R701">
        <v>99.994</v>
      </c>
      <c r="S701">
        <v>4</v>
      </c>
      <c r="T701">
        <v>246765</v>
      </c>
      <c r="U701">
        <v>4</v>
      </c>
      <c r="V701">
        <v>246765</v>
      </c>
      <c r="W701">
        <v>4</v>
      </c>
      <c r="X701">
        <v>246765</v>
      </c>
      <c r="Y701" t="s">
        <v>17</v>
      </c>
      <c r="Z701" t="str">
        <f>LOOKUP(B701,{0,1083,124200,681950},{"1st","2nd","3rd","4th"})&amp;" Quartile"</f>
        <v>2nd Quartile</v>
      </c>
    </row>
    <row r="702" spans="1:26">
      <c r="A702">
        <v>2021</v>
      </c>
      <c r="B702">
        <v>2030</v>
      </c>
      <c r="C702" t="s">
        <v>627</v>
      </c>
      <c r="D702" t="s">
        <v>626</v>
      </c>
      <c r="E702">
        <v>79</v>
      </c>
      <c r="F702" t="s">
        <v>1186</v>
      </c>
      <c r="G702">
        <v>14</v>
      </c>
      <c r="H702">
        <v>0.86499999999999999</v>
      </c>
      <c r="I702">
        <v>0.45</v>
      </c>
      <c r="J702">
        <v>-9.3870000000000005</v>
      </c>
      <c r="K702">
        <v>1</v>
      </c>
      <c r="L702">
        <v>0</v>
      </c>
      <c r="M702">
        <v>4.1700000000000001E-2</v>
      </c>
      <c r="N702">
        <v>3.5900000000000001E-2</v>
      </c>
      <c r="O702">
        <v>1.28E-6</v>
      </c>
      <c r="P702">
        <v>0.308</v>
      </c>
      <c r="Q702">
        <v>0.35199999999999998</v>
      </c>
      <c r="R702">
        <v>99.989000000000004</v>
      </c>
      <c r="S702">
        <v>4</v>
      </c>
      <c r="T702">
        <v>247067</v>
      </c>
      <c r="U702">
        <v>4</v>
      </c>
      <c r="V702">
        <v>247067</v>
      </c>
      <c r="W702">
        <v>4</v>
      </c>
      <c r="X702">
        <v>247067</v>
      </c>
      <c r="Y702" t="s">
        <v>17</v>
      </c>
      <c r="Z702" t="str">
        <f>LOOKUP(B702,{0,1083,124200,681950},{"1st","2nd","3rd","4th"})&amp;" Quartile"</f>
        <v>2nd Quartile</v>
      </c>
    </row>
    <row r="703" spans="1:26">
      <c r="A703">
        <v>2020</v>
      </c>
      <c r="B703">
        <v>2012</v>
      </c>
      <c r="C703" t="s">
        <v>1139</v>
      </c>
      <c r="D703" t="s">
        <v>328</v>
      </c>
      <c r="E703">
        <v>84</v>
      </c>
      <c r="F703" t="s">
        <v>1137</v>
      </c>
      <c r="G703">
        <v>64</v>
      </c>
      <c r="H703">
        <v>0.69799999999999995</v>
      </c>
      <c r="I703">
        <v>0.79900000000000004</v>
      </c>
      <c r="J703">
        <v>-4.3719999999999999</v>
      </c>
      <c r="K703">
        <v>1</v>
      </c>
      <c r="L703">
        <v>2</v>
      </c>
      <c r="M703">
        <v>3.4200000000000001E-2</v>
      </c>
      <c r="N703">
        <v>1.29E-2</v>
      </c>
      <c r="O703">
        <v>5.4600000000000002E-6</v>
      </c>
      <c r="P703">
        <v>0.215</v>
      </c>
      <c r="Q703">
        <v>0.35099999999999998</v>
      </c>
      <c r="R703">
        <v>115.95699999999999</v>
      </c>
      <c r="S703">
        <v>4</v>
      </c>
      <c r="T703">
        <v>161733</v>
      </c>
      <c r="U703">
        <v>4</v>
      </c>
      <c r="V703">
        <v>161733</v>
      </c>
      <c r="W703">
        <v>4</v>
      </c>
      <c r="X703">
        <v>161733</v>
      </c>
      <c r="Y703" t="s">
        <v>17</v>
      </c>
      <c r="Z703" t="str">
        <f>LOOKUP(B703,{0,1083,124200,681950},{"1st","2nd","3rd","4th"})&amp;" Quartile"</f>
        <v>2nd Quartile</v>
      </c>
    </row>
    <row r="704" spans="1:26">
      <c r="A704">
        <v>2022</v>
      </c>
      <c r="B704">
        <v>2001</v>
      </c>
      <c r="C704" t="s">
        <v>1727</v>
      </c>
      <c r="D704" t="s">
        <v>1574</v>
      </c>
      <c r="E704">
        <v>60</v>
      </c>
      <c r="F704" t="s">
        <v>1727</v>
      </c>
      <c r="G704">
        <v>64</v>
      </c>
      <c r="H704">
        <v>0.745</v>
      </c>
      <c r="I704">
        <v>0.86199999999999999</v>
      </c>
      <c r="J704">
        <v>-4.18</v>
      </c>
      <c r="K704">
        <v>1</v>
      </c>
      <c r="L704">
        <v>8</v>
      </c>
      <c r="M704">
        <v>0.11600000000000001</v>
      </c>
      <c r="N704">
        <v>0.33500000000000002</v>
      </c>
      <c r="O704">
        <v>6.2299999999999996E-4</v>
      </c>
      <c r="P704">
        <v>0.10199999999999999</v>
      </c>
      <c r="Q704">
        <v>0.73799999999999999</v>
      </c>
      <c r="R704">
        <v>123.979</v>
      </c>
      <c r="S704">
        <v>4</v>
      </c>
      <c r="T704">
        <v>138453</v>
      </c>
      <c r="U704">
        <v>4</v>
      </c>
      <c r="V704">
        <v>138453</v>
      </c>
      <c r="W704">
        <v>4</v>
      </c>
      <c r="X704">
        <v>138453</v>
      </c>
      <c r="Y704" t="s">
        <v>17</v>
      </c>
      <c r="Z704" t="str">
        <f>LOOKUP(B704,{0,1083,124200,681950},{"1st","2nd","3rd","4th"})&amp;" Quartile"</f>
        <v>2nd Quartile</v>
      </c>
    </row>
    <row r="705" spans="1:26">
      <c r="A705">
        <v>2021</v>
      </c>
      <c r="B705">
        <v>1982</v>
      </c>
      <c r="C705" t="s">
        <v>1159</v>
      </c>
      <c r="D705" t="s">
        <v>345</v>
      </c>
      <c r="E705">
        <v>87</v>
      </c>
      <c r="F705" t="s">
        <v>1158</v>
      </c>
      <c r="G705">
        <v>77</v>
      </c>
      <c r="H705">
        <v>0.73399999999999999</v>
      </c>
      <c r="I705">
        <v>0.76600000000000001</v>
      </c>
      <c r="J705">
        <v>-4.4850000000000003</v>
      </c>
      <c r="K705">
        <v>1</v>
      </c>
      <c r="L705">
        <v>1</v>
      </c>
      <c r="M705">
        <v>3.8300000000000001E-2</v>
      </c>
      <c r="N705">
        <v>2.5000000000000001E-2</v>
      </c>
      <c r="O705">
        <v>1.3799999999999999E-3</v>
      </c>
      <c r="P705">
        <v>0.108</v>
      </c>
      <c r="Q705">
        <v>0.6</v>
      </c>
      <c r="R705">
        <v>127.986</v>
      </c>
      <c r="S705">
        <v>4</v>
      </c>
      <c r="T705">
        <v>215227</v>
      </c>
      <c r="U705">
        <v>4</v>
      </c>
      <c r="V705">
        <v>215227</v>
      </c>
      <c r="W705">
        <v>4</v>
      </c>
      <c r="X705">
        <v>215227</v>
      </c>
      <c r="Y705" t="s">
        <v>17</v>
      </c>
      <c r="Z705" t="str">
        <f>LOOKUP(B705,{0,1083,124200,681950},{"1st","2nd","3rd","4th"})&amp;" Quartile"</f>
        <v>2nd Quartile</v>
      </c>
    </row>
    <row r="706" spans="1:26">
      <c r="A706">
        <v>2020</v>
      </c>
      <c r="B706">
        <v>1952</v>
      </c>
      <c r="C706" t="s">
        <v>874</v>
      </c>
      <c r="D706" t="s">
        <v>873</v>
      </c>
      <c r="E706">
        <v>62</v>
      </c>
      <c r="F706" t="s">
        <v>872</v>
      </c>
      <c r="G706">
        <v>73</v>
      </c>
      <c r="H706">
        <v>0.71499999999999997</v>
      </c>
      <c r="I706">
        <v>0.872</v>
      </c>
      <c r="J706">
        <v>-3.835</v>
      </c>
      <c r="K706">
        <v>1</v>
      </c>
      <c r="L706">
        <v>2</v>
      </c>
      <c r="M706">
        <v>5.0900000000000001E-2</v>
      </c>
      <c r="N706">
        <v>3.5100000000000001E-3</v>
      </c>
      <c r="O706">
        <v>3.8399999999999998E-5</v>
      </c>
      <c r="P706">
        <v>0.107</v>
      </c>
      <c r="Q706">
        <v>0.748</v>
      </c>
      <c r="R706">
        <v>93.043000000000006</v>
      </c>
      <c r="S706">
        <v>4</v>
      </c>
      <c r="T706">
        <v>200947</v>
      </c>
      <c r="U706">
        <v>4</v>
      </c>
      <c r="V706">
        <v>200947</v>
      </c>
      <c r="W706">
        <v>4</v>
      </c>
      <c r="X706">
        <v>200947</v>
      </c>
      <c r="Y706" t="s">
        <v>17</v>
      </c>
      <c r="Z706" t="str">
        <f>LOOKUP(B706,{0,1083,124200,681950},{"1st","2nd","3rd","4th"})&amp;" Quartile"</f>
        <v>2nd Quartile</v>
      </c>
    </row>
    <row r="707" spans="1:26">
      <c r="A707">
        <v>2021</v>
      </c>
      <c r="B707">
        <v>1860</v>
      </c>
      <c r="C707" t="s">
        <v>1171</v>
      </c>
      <c r="D707" t="s">
        <v>1170</v>
      </c>
      <c r="E707">
        <v>71</v>
      </c>
      <c r="F707" t="s">
        <v>1169</v>
      </c>
      <c r="G707">
        <v>81</v>
      </c>
      <c r="H707">
        <v>0.621</v>
      </c>
      <c r="I707">
        <v>0.98899999999999999</v>
      </c>
      <c r="J707">
        <v>-4.2249999999999996</v>
      </c>
      <c r="K707">
        <v>0</v>
      </c>
      <c r="L707">
        <v>10</v>
      </c>
      <c r="M707">
        <v>4.3400000000000001E-2</v>
      </c>
      <c r="N707">
        <v>1.4999999999999999E-2</v>
      </c>
      <c r="O707">
        <v>0.35699999999999998</v>
      </c>
      <c r="P707">
        <v>0.184</v>
      </c>
      <c r="Q707">
        <v>3.4799999999999998E-2</v>
      </c>
      <c r="R707">
        <v>126.002</v>
      </c>
      <c r="S707">
        <v>4</v>
      </c>
      <c r="T707">
        <v>158095</v>
      </c>
      <c r="U707">
        <v>4</v>
      </c>
      <c r="V707">
        <v>158095</v>
      </c>
      <c r="W707">
        <v>4</v>
      </c>
      <c r="X707">
        <v>158095</v>
      </c>
      <c r="Y707" t="s">
        <v>17</v>
      </c>
      <c r="Z707" t="str">
        <f>LOOKUP(B707,{0,1083,124200,681950},{"1st","2nd","3rd","4th"})&amp;" Quartile"</f>
        <v>2nd Quartile</v>
      </c>
    </row>
    <row r="708" spans="1:26">
      <c r="A708">
        <v>2019</v>
      </c>
      <c r="B708">
        <v>1848</v>
      </c>
      <c r="C708" t="s">
        <v>427</v>
      </c>
      <c r="D708" t="s">
        <v>428</v>
      </c>
      <c r="E708">
        <v>50</v>
      </c>
      <c r="F708" t="s">
        <v>427</v>
      </c>
      <c r="G708">
        <v>52</v>
      </c>
      <c r="H708">
        <v>0.61899999999999999</v>
      </c>
      <c r="I708">
        <v>0.85799999999999998</v>
      </c>
      <c r="J708">
        <v>-2.3119999999999998</v>
      </c>
      <c r="K708">
        <v>1</v>
      </c>
      <c r="L708">
        <v>8</v>
      </c>
      <c r="M708">
        <v>0.223</v>
      </c>
      <c r="N708">
        <v>2.9000000000000001E-2</v>
      </c>
      <c r="O708">
        <v>0</v>
      </c>
      <c r="P708">
        <v>0.16400000000000001</v>
      </c>
      <c r="Q708">
        <v>0.58799999999999997</v>
      </c>
      <c r="R708">
        <v>104.753</v>
      </c>
      <c r="S708">
        <v>4</v>
      </c>
      <c r="T708">
        <v>241452</v>
      </c>
      <c r="U708">
        <v>4</v>
      </c>
      <c r="V708">
        <v>241452</v>
      </c>
      <c r="W708">
        <v>4</v>
      </c>
      <c r="X708">
        <v>241452</v>
      </c>
      <c r="Y708" t="s">
        <v>17</v>
      </c>
      <c r="Z708" t="str">
        <f>LOOKUP(B708,{0,1083,124200,681950},{"1st","2nd","3rd","4th"})&amp;" Quartile"</f>
        <v>2nd Quartile</v>
      </c>
    </row>
    <row r="709" spans="1:26">
      <c r="A709">
        <v>2022</v>
      </c>
      <c r="B709">
        <v>1758</v>
      </c>
      <c r="C709" t="s">
        <v>586</v>
      </c>
      <c r="D709" t="s">
        <v>587</v>
      </c>
      <c r="E709">
        <v>57</v>
      </c>
      <c r="F709" t="s">
        <v>586</v>
      </c>
      <c r="G709">
        <v>1</v>
      </c>
      <c r="H709">
        <v>0.51600000000000001</v>
      </c>
      <c r="I709">
        <v>0.35799999999999998</v>
      </c>
      <c r="J709">
        <v>-12.018000000000001</v>
      </c>
      <c r="K709">
        <v>0</v>
      </c>
      <c r="L709">
        <v>8</v>
      </c>
      <c r="M709">
        <v>0.42399999999999999</v>
      </c>
      <c r="N709">
        <v>0.74299999999999999</v>
      </c>
      <c r="O709">
        <v>1.3E-6</v>
      </c>
      <c r="P709">
        <v>8.1299999999999997E-2</v>
      </c>
      <c r="Q709">
        <v>0.39700000000000002</v>
      </c>
      <c r="R709">
        <v>79.509</v>
      </c>
      <c r="S709">
        <v>4</v>
      </c>
      <c r="T709">
        <v>124000</v>
      </c>
      <c r="U709">
        <v>4</v>
      </c>
      <c r="V709">
        <v>124000</v>
      </c>
      <c r="W709">
        <v>4</v>
      </c>
      <c r="X709">
        <v>124000</v>
      </c>
      <c r="Y709" t="s">
        <v>17</v>
      </c>
      <c r="Z709" t="str">
        <f>LOOKUP(B709,{0,1083,124200,681950},{"1st","2nd","3rd","4th"})&amp;" Quartile"</f>
        <v>2nd Quartile</v>
      </c>
    </row>
    <row r="710" spans="1:26">
      <c r="A710">
        <v>2019</v>
      </c>
      <c r="B710">
        <v>1758</v>
      </c>
      <c r="C710" t="s">
        <v>586</v>
      </c>
      <c r="D710" t="s">
        <v>587</v>
      </c>
      <c r="E710">
        <v>57</v>
      </c>
      <c r="F710" t="s">
        <v>586</v>
      </c>
      <c r="G710">
        <v>1</v>
      </c>
      <c r="H710">
        <v>0.51600000000000001</v>
      </c>
      <c r="I710">
        <v>0.35799999999999998</v>
      </c>
      <c r="J710">
        <v>-12.018000000000001</v>
      </c>
      <c r="K710">
        <v>0</v>
      </c>
      <c r="L710">
        <v>8</v>
      </c>
      <c r="M710">
        <v>0.42399999999999999</v>
      </c>
      <c r="N710">
        <v>0.74299999999999999</v>
      </c>
      <c r="O710">
        <v>1.3E-6</v>
      </c>
      <c r="P710">
        <v>8.1299999999999997E-2</v>
      </c>
      <c r="Q710">
        <v>0.39700000000000002</v>
      </c>
      <c r="R710">
        <v>79.509</v>
      </c>
      <c r="S710">
        <v>4</v>
      </c>
      <c r="T710">
        <v>124000</v>
      </c>
      <c r="U710">
        <v>4</v>
      </c>
      <c r="V710">
        <v>124000</v>
      </c>
      <c r="W710">
        <v>4</v>
      </c>
      <c r="X710">
        <v>124000</v>
      </c>
      <c r="Y710" t="s">
        <v>17</v>
      </c>
      <c r="Z710" t="str">
        <f>LOOKUP(B710,{0,1083,124200,681950},{"1st","2nd","3rd","4th"})&amp;" Quartile"</f>
        <v>2nd Quartile</v>
      </c>
    </row>
    <row r="711" spans="1:26">
      <c r="A711">
        <v>2019</v>
      </c>
      <c r="B711">
        <v>1636</v>
      </c>
      <c r="C711" t="s">
        <v>259</v>
      </c>
      <c r="D711" t="s">
        <v>258</v>
      </c>
      <c r="E711">
        <v>76</v>
      </c>
      <c r="F711" t="s">
        <v>257</v>
      </c>
      <c r="G711">
        <v>1</v>
      </c>
      <c r="H711">
        <v>0.79400000000000004</v>
      </c>
      <c r="I711">
        <v>0.49299999999999999</v>
      </c>
      <c r="J711">
        <v>-7.2569999999999997</v>
      </c>
      <c r="K711">
        <v>1</v>
      </c>
      <c r="L711">
        <v>5</v>
      </c>
      <c r="M711">
        <v>5.6300000000000003E-2</v>
      </c>
      <c r="N711">
        <v>0.21199999999999999</v>
      </c>
      <c r="O711">
        <v>1.3299999999999999E-2</v>
      </c>
      <c r="P711">
        <v>0.13</v>
      </c>
      <c r="Q711">
        <v>0.626</v>
      </c>
      <c r="R711">
        <v>92.025999999999996</v>
      </c>
      <c r="S711">
        <v>4</v>
      </c>
      <c r="T711">
        <v>201434</v>
      </c>
      <c r="U711">
        <v>4</v>
      </c>
      <c r="V711">
        <v>201434</v>
      </c>
      <c r="W711">
        <v>4</v>
      </c>
      <c r="X711">
        <v>201434</v>
      </c>
      <c r="Y711" t="s">
        <v>17</v>
      </c>
      <c r="Z711" t="str">
        <f>LOOKUP(B711,{0,1083,124200,681950},{"1st","2nd","3rd","4th"})&amp;" Quartile"</f>
        <v>2nd Quartile</v>
      </c>
    </row>
    <row r="712" spans="1:26">
      <c r="A712">
        <v>2022</v>
      </c>
      <c r="B712">
        <v>1540</v>
      </c>
      <c r="C712" t="s">
        <v>1573</v>
      </c>
      <c r="D712" t="s">
        <v>1574</v>
      </c>
      <c r="E712">
        <v>60</v>
      </c>
      <c r="F712" t="s">
        <v>1573</v>
      </c>
      <c r="G712">
        <v>52</v>
      </c>
      <c r="H712">
        <v>0.79200000000000004</v>
      </c>
      <c r="I712">
        <v>0.83199999999999996</v>
      </c>
      <c r="J712">
        <v>-4.4059999999999997</v>
      </c>
      <c r="K712">
        <v>0</v>
      </c>
      <c r="L712">
        <v>11</v>
      </c>
      <c r="M712">
        <v>3.9699999999999999E-2</v>
      </c>
      <c r="N712">
        <v>0.36699999999999999</v>
      </c>
      <c r="O712">
        <v>1.64E-3</v>
      </c>
      <c r="P712">
        <v>0.19800000000000001</v>
      </c>
      <c r="Q712">
        <v>0.186</v>
      </c>
      <c r="R712">
        <v>127.983</v>
      </c>
      <c r="S712">
        <v>4</v>
      </c>
      <c r="T712">
        <v>146465</v>
      </c>
      <c r="U712">
        <v>4</v>
      </c>
      <c r="V712">
        <v>146465</v>
      </c>
      <c r="W712">
        <v>4</v>
      </c>
      <c r="X712">
        <v>146465</v>
      </c>
      <c r="Y712" t="s">
        <v>17</v>
      </c>
      <c r="Z712" t="str">
        <f>LOOKUP(B712,{0,1083,124200,681950},{"1st","2nd","3rd","4th"})&amp;" Quartile"</f>
        <v>2nd Quartile</v>
      </c>
    </row>
    <row r="713" spans="1:26">
      <c r="A713">
        <v>2020</v>
      </c>
      <c r="B713">
        <v>1487</v>
      </c>
      <c r="C713" t="s">
        <v>1073</v>
      </c>
      <c r="D713" t="s">
        <v>1074</v>
      </c>
      <c r="E713">
        <v>64</v>
      </c>
      <c r="F713" t="s">
        <v>1073</v>
      </c>
      <c r="G713">
        <v>78</v>
      </c>
      <c r="H713">
        <v>0.67400000000000004</v>
      </c>
      <c r="I713">
        <v>0.77400000000000002</v>
      </c>
      <c r="J713">
        <v>-7.5670000000000002</v>
      </c>
      <c r="K713">
        <v>0</v>
      </c>
      <c r="L713">
        <v>11</v>
      </c>
      <c r="M713">
        <v>8.9200000000000002E-2</v>
      </c>
      <c r="N713">
        <v>6.8599999999999994E-2</v>
      </c>
      <c r="O713">
        <v>1.8799999999999999E-3</v>
      </c>
      <c r="P713">
        <v>0.39300000000000002</v>
      </c>
      <c r="Q713">
        <v>0.33</v>
      </c>
      <c r="R713">
        <v>112.05</v>
      </c>
      <c r="S713">
        <v>4</v>
      </c>
      <c r="T713">
        <v>176547</v>
      </c>
      <c r="U713">
        <v>4</v>
      </c>
      <c r="V713">
        <v>176547</v>
      </c>
      <c r="W713">
        <v>4</v>
      </c>
      <c r="X713">
        <v>176547</v>
      </c>
      <c r="Y713" t="s">
        <v>17</v>
      </c>
      <c r="Z713" t="str">
        <f>LOOKUP(B713,{0,1083,124200,681950},{"1st","2nd","3rd","4th"})&amp;" Quartile"</f>
        <v>2nd Quartile</v>
      </c>
    </row>
    <row r="714" spans="1:26">
      <c r="A714">
        <v>2021</v>
      </c>
      <c r="B714">
        <v>1435</v>
      </c>
      <c r="C714" t="s">
        <v>1341</v>
      </c>
      <c r="D714" t="s">
        <v>1340</v>
      </c>
      <c r="E714">
        <v>60</v>
      </c>
      <c r="F714" t="s">
        <v>1339</v>
      </c>
      <c r="G714">
        <v>70</v>
      </c>
      <c r="H714">
        <v>0.66600000000000004</v>
      </c>
      <c r="I714">
        <v>0.72799999999999998</v>
      </c>
      <c r="J714">
        <v>-5.8079999999999998</v>
      </c>
      <c r="K714">
        <v>1</v>
      </c>
      <c r="L714">
        <v>7</v>
      </c>
      <c r="M714">
        <v>4.19E-2</v>
      </c>
      <c r="N714">
        <v>1.75E-3</v>
      </c>
      <c r="O714">
        <v>4.2599999999999999E-6</v>
      </c>
      <c r="P714">
        <v>4.2900000000000001E-2</v>
      </c>
      <c r="Q714">
        <v>0.51</v>
      </c>
      <c r="R714">
        <v>122.996</v>
      </c>
      <c r="S714">
        <v>4</v>
      </c>
      <c r="T714">
        <v>204878</v>
      </c>
      <c r="U714">
        <v>4</v>
      </c>
      <c r="V714">
        <v>204878</v>
      </c>
      <c r="W714">
        <v>4</v>
      </c>
      <c r="X714">
        <v>204878</v>
      </c>
      <c r="Y714" t="s">
        <v>17</v>
      </c>
      <c r="Z714" t="str">
        <f>LOOKUP(B714,{0,1083,124200,681950},{"1st","2nd","3rd","4th"})&amp;" Quartile"</f>
        <v>2nd Quartile</v>
      </c>
    </row>
    <row r="715" spans="1:26">
      <c r="A715">
        <v>2020</v>
      </c>
      <c r="B715">
        <v>1420</v>
      </c>
      <c r="C715" t="s">
        <v>985</v>
      </c>
      <c r="D715" t="s">
        <v>175</v>
      </c>
      <c r="E715">
        <v>88</v>
      </c>
      <c r="F715" t="s">
        <v>985</v>
      </c>
      <c r="G715">
        <v>65</v>
      </c>
      <c r="H715">
        <v>0.85599999999999998</v>
      </c>
      <c r="I715">
        <v>0.64100000000000001</v>
      </c>
      <c r="J715">
        <v>-4.6399999999999997</v>
      </c>
      <c r="K715">
        <v>0</v>
      </c>
      <c r="L715">
        <v>11</v>
      </c>
      <c r="M715">
        <v>0.20399999999999999</v>
      </c>
      <c r="N715">
        <v>0.11899999999999999</v>
      </c>
      <c r="O715">
        <v>4.9699999999999998E-6</v>
      </c>
      <c r="P715">
        <v>0.42699999999999999</v>
      </c>
      <c r="Q715">
        <v>0.745</v>
      </c>
      <c r="R715">
        <v>111.004</v>
      </c>
      <c r="S715">
        <v>4</v>
      </c>
      <c r="T715">
        <v>206221</v>
      </c>
      <c r="U715">
        <v>4</v>
      </c>
      <c r="V715">
        <v>206221</v>
      </c>
      <c r="W715">
        <v>4</v>
      </c>
      <c r="X715">
        <v>206221</v>
      </c>
      <c r="Y715" t="s">
        <v>17</v>
      </c>
      <c r="Z715" t="str">
        <f>LOOKUP(B715,{0,1083,124200,681950},{"1st","2nd","3rd","4th"})&amp;" Quartile"</f>
        <v>2nd Quartile</v>
      </c>
    </row>
    <row r="716" spans="1:26">
      <c r="A716">
        <v>2019</v>
      </c>
      <c r="B716">
        <v>1420</v>
      </c>
      <c r="C716" t="s">
        <v>429</v>
      </c>
      <c r="D716" t="s">
        <v>430</v>
      </c>
      <c r="E716">
        <v>42</v>
      </c>
      <c r="F716" t="s">
        <v>429</v>
      </c>
      <c r="G716">
        <v>0</v>
      </c>
      <c r="H716">
        <v>0.621</v>
      </c>
      <c r="I716">
        <v>0.44600000000000001</v>
      </c>
      <c r="J716">
        <v>-4.6529999999999996</v>
      </c>
      <c r="K716">
        <v>1</v>
      </c>
      <c r="L716">
        <v>7</v>
      </c>
      <c r="M716">
        <v>3.8399999999999997E-2</v>
      </c>
      <c r="N716">
        <v>0.73599999999999999</v>
      </c>
      <c r="O716">
        <v>0</v>
      </c>
      <c r="P716">
        <v>0.61299999999999999</v>
      </c>
      <c r="Q716">
        <v>0.97</v>
      </c>
      <c r="R716">
        <v>108.727</v>
      </c>
      <c r="S716">
        <v>4</v>
      </c>
      <c r="T716">
        <v>45424</v>
      </c>
      <c r="U716">
        <v>4</v>
      </c>
      <c r="V716">
        <v>45424</v>
      </c>
      <c r="W716">
        <v>4</v>
      </c>
      <c r="X716">
        <v>45424</v>
      </c>
      <c r="Y716" t="s">
        <v>17</v>
      </c>
      <c r="Z716" t="str">
        <f>LOOKUP(B716,{0,1083,124200,681950},{"1st","2nd","3rd","4th"})&amp;" Quartile"</f>
        <v>2nd Quartile</v>
      </c>
    </row>
    <row r="717" spans="1:26">
      <c r="A717">
        <v>2019</v>
      </c>
      <c r="B717">
        <v>1336</v>
      </c>
      <c r="C717" t="s">
        <v>317</v>
      </c>
      <c r="D717" t="s">
        <v>316</v>
      </c>
      <c r="E717">
        <v>64</v>
      </c>
      <c r="F717" t="s">
        <v>315</v>
      </c>
      <c r="G717">
        <v>78</v>
      </c>
      <c r="H717">
        <v>0.72</v>
      </c>
      <c r="I717">
        <v>0.74099999999999999</v>
      </c>
      <c r="J717">
        <v>-6.5289999999999999</v>
      </c>
      <c r="K717">
        <v>0</v>
      </c>
      <c r="L717">
        <v>10</v>
      </c>
      <c r="M717">
        <v>2.87E-2</v>
      </c>
      <c r="N717">
        <v>0.10100000000000001</v>
      </c>
      <c r="O717">
        <v>1.4100000000000001E-5</v>
      </c>
      <c r="P717">
        <v>0.28899999999999998</v>
      </c>
      <c r="Q717">
        <v>0.35699999999999998</v>
      </c>
      <c r="R717">
        <v>119.896</v>
      </c>
      <c r="S717">
        <v>4</v>
      </c>
      <c r="T717">
        <v>198053</v>
      </c>
      <c r="U717">
        <v>4</v>
      </c>
      <c r="V717">
        <v>198053</v>
      </c>
      <c r="W717">
        <v>4</v>
      </c>
      <c r="X717">
        <v>198053</v>
      </c>
      <c r="Y717" t="s">
        <v>17</v>
      </c>
      <c r="Z717" t="str">
        <f>LOOKUP(B717,{0,1083,124200,681950},{"1st","2nd","3rd","4th"})&amp;" Quartile"</f>
        <v>2nd Quartile</v>
      </c>
    </row>
    <row r="718" spans="1:26">
      <c r="A718">
        <v>2019</v>
      </c>
      <c r="B718">
        <v>1291</v>
      </c>
      <c r="C718" t="s">
        <v>191</v>
      </c>
      <c r="D718" t="s">
        <v>158</v>
      </c>
      <c r="E718">
        <v>76</v>
      </c>
      <c r="F718" t="s">
        <v>190</v>
      </c>
      <c r="G718">
        <v>61</v>
      </c>
      <c r="H718">
        <v>0.55800000000000005</v>
      </c>
      <c r="I718">
        <v>0.78100000000000003</v>
      </c>
      <c r="J718">
        <v>-5.4480000000000004</v>
      </c>
      <c r="K718">
        <v>0</v>
      </c>
      <c r="L718">
        <v>1</v>
      </c>
      <c r="M718">
        <v>9.6299999999999997E-2</v>
      </c>
      <c r="N718">
        <v>6.5700000000000003E-3</v>
      </c>
      <c r="O718">
        <v>1.4400000000000001E-3</v>
      </c>
      <c r="P718">
        <v>0.10199999999999999</v>
      </c>
      <c r="Q718">
        <v>0.28599999999999998</v>
      </c>
      <c r="R718">
        <v>126.02500000000001</v>
      </c>
      <c r="S718">
        <v>4</v>
      </c>
      <c r="T718">
        <v>214307</v>
      </c>
      <c r="U718">
        <v>4</v>
      </c>
      <c r="V718">
        <v>214307</v>
      </c>
      <c r="W718">
        <v>4</v>
      </c>
      <c r="X718">
        <v>214307</v>
      </c>
      <c r="Y718" t="s">
        <v>17</v>
      </c>
      <c r="Z718" t="str">
        <f>LOOKUP(B718,{0,1083,124200,681950},{"1st","2nd","3rd","4th"})&amp;" Quartile"</f>
        <v>2nd Quartile</v>
      </c>
    </row>
    <row r="719" spans="1:26">
      <c r="A719">
        <v>2021</v>
      </c>
      <c r="B719">
        <v>1257</v>
      </c>
      <c r="C719" t="s">
        <v>1402</v>
      </c>
      <c r="D719" t="s">
        <v>1403</v>
      </c>
      <c r="E719">
        <v>34</v>
      </c>
      <c r="F719" t="s">
        <v>1402</v>
      </c>
      <c r="G719">
        <v>0</v>
      </c>
      <c r="H719">
        <v>0.75700000000000001</v>
      </c>
      <c r="I719">
        <v>0.83599999999999997</v>
      </c>
      <c r="J719">
        <v>-6.4370000000000003</v>
      </c>
      <c r="K719">
        <v>0</v>
      </c>
      <c r="L719">
        <v>1</v>
      </c>
      <c r="M719">
        <v>6.0100000000000001E-2</v>
      </c>
      <c r="N719">
        <v>3.2399999999999998E-3</v>
      </c>
      <c r="O719">
        <v>6.6299999999999996E-4</v>
      </c>
      <c r="P719">
        <v>3.8899999999999997E-2</v>
      </c>
      <c r="Q719">
        <v>0.75600000000000001</v>
      </c>
      <c r="R719">
        <v>136.88300000000001</v>
      </c>
      <c r="S719">
        <v>4</v>
      </c>
      <c r="T719">
        <v>138312</v>
      </c>
      <c r="U719">
        <v>4</v>
      </c>
      <c r="V719">
        <v>138312</v>
      </c>
      <c r="W719">
        <v>4</v>
      </c>
      <c r="X719">
        <v>138312</v>
      </c>
      <c r="Y719" t="s">
        <v>17</v>
      </c>
      <c r="Z719" t="str">
        <f>LOOKUP(B719,{0,1083,124200,681950},{"1st","2nd","3rd","4th"})&amp;" Quartile"</f>
        <v>2nd Quartile</v>
      </c>
    </row>
    <row r="720" spans="1:26">
      <c r="A720">
        <v>2020</v>
      </c>
      <c r="B720">
        <v>1191</v>
      </c>
      <c r="C720" t="s">
        <v>802</v>
      </c>
      <c r="D720" t="s">
        <v>500</v>
      </c>
      <c r="E720">
        <v>66</v>
      </c>
      <c r="F720" t="s">
        <v>801</v>
      </c>
      <c r="G720">
        <v>0</v>
      </c>
      <c r="H720">
        <v>0.48699999999999999</v>
      </c>
      <c r="I720">
        <v>0.61699999999999999</v>
      </c>
      <c r="J720">
        <v>-6.9</v>
      </c>
      <c r="K720">
        <v>1</v>
      </c>
      <c r="L720">
        <v>0</v>
      </c>
      <c r="M720">
        <v>0.27500000000000002</v>
      </c>
      <c r="N720">
        <v>1.5100000000000001E-2</v>
      </c>
      <c r="O720">
        <v>0</v>
      </c>
      <c r="P720">
        <v>0.35599999999999998</v>
      </c>
      <c r="Q720">
        <v>0.60399999999999998</v>
      </c>
      <c r="R720">
        <v>132.08799999999999</v>
      </c>
      <c r="S720">
        <v>4</v>
      </c>
      <c r="T720">
        <v>232368</v>
      </c>
      <c r="U720">
        <v>4</v>
      </c>
      <c r="V720">
        <v>232368</v>
      </c>
      <c r="W720">
        <v>4</v>
      </c>
      <c r="X720">
        <v>232368</v>
      </c>
      <c r="Y720" t="s">
        <v>17</v>
      </c>
      <c r="Z720" t="str">
        <f>LOOKUP(B720,{0,1083,124200,681950},{"1st","2nd","3rd","4th"})&amp;" Quartile"</f>
        <v>2nd Quartile</v>
      </c>
    </row>
    <row r="721" spans="1:26">
      <c r="A721">
        <v>2020</v>
      </c>
      <c r="B721">
        <v>1152</v>
      </c>
      <c r="C721" t="s">
        <v>610</v>
      </c>
      <c r="D721" t="s">
        <v>609</v>
      </c>
      <c r="E721">
        <v>79</v>
      </c>
      <c r="F721" t="s">
        <v>608</v>
      </c>
      <c r="G721">
        <v>74</v>
      </c>
      <c r="H721">
        <v>0.73499999999999999</v>
      </c>
      <c r="I721">
        <v>0.82399999999999995</v>
      </c>
      <c r="J721">
        <v>-4.1429999999999998</v>
      </c>
      <c r="K721">
        <v>0</v>
      </c>
      <c r="L721">
        <v>10</v>
      </c>
      <c r="M721">
        <v>3.5999999999999997E-2</v>
      </c>
      <c r="N721">
        <v>0.61499999999999999</v>
      </c>
      <c r="O721">
        <v>0</v>
      </c>
      <c r="P721">
        <v>0.158</v>
      </c>
      <c r="Q721">
        <v>0.72599999999999998</v>
      </c>
      <c r="R721">
        <v>100.202</v>
      </c>
      <c r="S721">
        <v>4</v>
      </c>
      <c r="T721">
        <v>211666</v>
      </c>
      <c r="U721">
        <v>4</v>
      </c>
      <c r="V721">
        <v>211666</v>
      </c>
      <c r="W721">
        <v>4</v>
      </c>
      <c r="X721">
        <v>211666</v>
      </c>
      <c r="Y721" t="s">
        <v>17</v>
      </c>
      <c r="Z721" t="str">
        <f>LOOKUP(B721,{0,1083,124200,681950},{"1st","2nd","3rd","4th"})&amp;" Quartile"</f>
        <v>2nd Quartile</v>
      </c>
    </row>
    <row r="722" spans="1:26">
      <c r="A722">
        <v>2022</v>
      </c>
      <c r="B722">
        <v>1151</v>
      </c>
      <c r="C722" t="s">
        <v>686</v>
      </c>
      <c r="D722" t="s">
        <v>1574</v>
      </c>
      <c r="E722">
        <v>60</v>
      </c>
      <c r="F722" t="s">
        <v>686</v>
      </c>
      <c r="G722">
        <v>60</v>
      </c>
      <c r="H722">
        <v>0.71199999999999997</v>
      </c>
      <c r="I722">
        <v>0.81599999999999995</v>
      </c>
      <c r="J722">
        <v>-6.56</v>
      </c>
      <c r="K722">
        <v>0</v>
      </c>
      <c r="L722">
        <v>5</v>
      </c>
      <c r="M722">
        <v>4.4699999999999997E-2</v>
      </c>
      <c r="N722">
        <v>0.152</v>
      </c>
      <c r="O722">
        <v>5.1900000000000002E-2</v>
      </c>
      <c r="P722">
        <v>0.24</v>
      </c>
      <c r="Q722">
        <v>0.44900000000000001</v>
      </c>
      <c r="R722">
        <v>125.976</v>
      </c>
      <c r="S722">
        <v>4</v>
      </c>
      <c r="T722">
        <v>128095</v>
      </c>
      <c r="U722">
        <v>4</v>
      </c>
      <c r="V722">
        <v>128095</v>
      </c>
      <c r="W722">
        <v>4</v>
      </c>
      <c r="X722">
        <v>128095</v>
      </c>
      <c r="Y722" t="s">
        <v>17</v>
      </c>
      <c r="Z722" t="str">
        <f>LOOKUP(B722,{0,1083,124200,681950},{"1st","2nd","3rd","4th"})&amp;" Quartile"</f>
        <v>2nd Quartile</v>
      </c>
    </row>
    <row r="723" spans="1:26">
      <c r="A723">
        <v>2021</v>
      </c>
      <c r="B723">
        <v>1128</v>
      </c>
      <c r="C723" t="s">
        <v>1300</v>
      </c>
      <c r="D723" t="s">
        <v>319</v>
      </c>
      <c r="E723">
        <v>90</v>
      </c>
      <c r="F723" t="s">
        <v>1167</v>
      </c>
      <c r="G723">
        <v>78</v>
      </c>
      <c r="H723">
        <v>0.65800000000000003</v>
      </c>
      <c r="I723">
        <v>0.63400000000000001</v>
      </c>
      <c r="J723">
        <v>-6.0679999999999996</v>
      </c>
      <c r="K723">
        <v>0</v>
      </c>
      <c r="L723">
        <v>1</v>
      </c>
      <c r="M723">
        <v>4.3099999999999999E-2</v>
      </c>
      <c r="N723">
        <v>1.04E-2</v>
      </c>
      <c r="O723">
        <v>0</v>
      </c>
      <c r="P723">
        <v>0.12</v>
      </c>
      <c r="Q723">
        <v>0.30199999999999999</v>
      </c>
      <c r="R723">
        <v>140.00200000000001</v>
      </c>
      <c r="S723">
        <v>4</v>
      </c>
      <c r="T723">
        <v>170813</v>
      </c>
      <c r="U723">
        <v>4</v>
      </c>
      <c r="V723">
        <v>170813</v>
      </c>
      <c r="W723">
        <v>4</v>
      </c>
      <c r="X723">
        <v>170813</v>
      </c>
      <c r="Y723" t="s">
        <v>17</v>
      </c>
      <c r="Z723" t="str">
        <f>LOOKUP(B723,{0,1083,124200,681950},{"1st","2nd","3rd","4th"})&amp;" Quartile"</f>
        <v>2nd Quartile</v>
      </c>
    </row>
    <row r="724" spans="1:26">
      <c r="A724">
        <v>2019</v>
      </c>
      <c r="B724">
        <v>1086</v>
      </c>
      <c r="C724" t="s">
        <v>501</v>
      </c>
      <c r="D724" t="s">
        <v>500</v>
      </c>
      <c r="E724">
        <v>65</v>
      </c>
      <c r="F724" t="s">
        <v>499</v>
      </c>
      <c r="G724">
        <v>55</v>
      </c>
      <c r="H724">
        <v>0.80300000000000005</v>
      </c>
      <c r="I724">
        <v>0.499</v>
      </c>
      <c r="J724">
        <v>-5.9320000000000004</v>
      </c>
      <c r="K724">
        <v>1</v>
      </c>
      <c r="L724">
        <v>11</v>
      </c>
      <c r="M724">
        <v>0.30599999999999999</v>
      </c>
      <c r="N724">
        <v>3.6299999999999999E-2</v>
      </c>
      <c r="O724">
        <v>3.4599999999999999E-6</v>
      </c>
      <c r="P724">
        <v>0.129</v>
      </c>
      <c r="Q724">
        <v>0.749</v>
      </c>
      <c r="R724">
        <v>161.042</v>
      </c>
      <c r="S724">
        <v>4</v>
      </c>
      <c r="T724">
        <v>156637</v>
      </c>
      <c r="U724">
        <v>4</v>
      </c>
      <c r="V724">
        <v>156637</v>
      </c>
      <c r="W724">
        <v>4</v>
      </c>
      <c r="X724">
        <v>156637</v>
      </c>
      <c r="Y724" t="s">
        <v>17</v>
      </c>
      <c r="Z724" t="str">
        <f>LOOKUP(B724,{0,1083,124200,681950},{"1st","2nd","3rd","4th"})&amp;" Quartile"</f>
        <v>2nd Quartile</v>
      </c>
    </row>
    <row r="725" spans="1:26">
      <c r="A725">
        <v>2020</v>
      </c>
      <c r="B725">
        <v>1082</v>
      </c>
      <c r="C725" t="s">
        <v>501</v>
      </c>
      <c r="D725" t="s">
        <v>500</v>
      </c>
      <c r="E725">
        <v>66</v>
      </c>
      <c r="F725" t="s">
        <v>501</v>
      </c>
      <c r="G725">
        <v>51</v>
      </c>
      <c r="H725">
        <v>0.80100000000000005</v>
      </c>
      <c r="I725">
        <v>0.505</v>
      </c>
      <c r="J725">
        <v>-5.8289999999999997</v>
      </c>
      <c r="K725">
        <v>1</v>
      </c>
      <c r="L725">
        <v>11</v>
      </c>
      <c r="M725">
        <v>0.29299999999999998</v>
      </c>
      <c r="N725">
        <v>4.4600000000000001E-2</v>
      </c>
      <c r="O725">
        <v>9.5200000000000003E-6</v>
      </c>
      <c r="P725">
        <v>0.122</v>
      </c>
      <c r="Q725">
        <v>0.75700000000000001</v>
      </c>
      <c r="R725">
        <v>161.059</v>
      </c>
      <c r="S725">
        <v>4</v>
      </c>
      <c r="T725">
        <v>156443</v>
      </c>
      <c r="U725">
        <v>4</v>
      </c>
      <c r="V725">
        <v>156443</v>
      </c>
      <c r="W725">
        <v>4</v>
      </c>
      <c r="X725">
        <v>156443</v>
      </c>
      <c r="Y725" t="s">
        <v>17</v>
      </c>
      <c r="Z725" t="str">
        <f>LOOKUP(B725,{0,1083,124200,681950},{"1st","2nd","3rd","4th"})&amp;" Quartile"</f>
        <v>1st Quartile</v>
      </c>
    </row>
    <row r="726" spans="1:26">
      <c r="A726">
        <v>2020</v>
      </c>
      <c r="B726">
        <v>1042</v>
      </c>
      <c r="C726" t="s">
        <v>885</v>
      </c>
      <c r="D726" t="s">
        <v>886</v>
      </c>
      <c r="E726">
        <v>40</v>
      </c>
      <c r="F726" t="s">
        <v>885</v>
      </c>
      <c r="G726">
        <v>49</v>
      </c>
      <c r="H726">
        <v>0.68799999999999994</v>
      </c>
      <c r="I726">
        <v>0.316</v>
      </c>
      <c r="J726">
        <v>-15.548</v>
      </c>
      <c r="K726">
        <v>0</v>
      </c>
      <c r="L726">
        <v>9</v>
      </c>
      <c r="M726">
        <v>3.5700000000000003E-2</v>
      </c>
      <c r="N726">
        <v>0.63100000000000001</v>
      </c>
      <c r="O726">
        <v>0</v>
      </c>
      <c r="P726">
        <v>0.38700000000000001</v>
      </c>
      <c r="Q726">
        <v>0.68799999999999994</v>
      </c>
      <c r="R726">
        <v>128.084</v>
      </c>
      <c r="S726">
        <v>4</v>
      </c>
      <c r="T726">
        <v>195631</v>
      </c>
      <c r="U726">
        <v>4</v>
      </c>
      <c r="V726">
        <v>195631</v>
      </c>
      <c r="W726">
        <v>4</v>
      </c>
      <c r="X726">
        <v>195631</v>
      </c>
      <c r="Y726" t="s">
        <v>17</v>
      </c>
      <c r="Z726" t="str">
        <f>LOOKUP(B726,{0,1083,124200,681950},{"1st","2nd","3rd","4th"})&amp;" Quartile"</f>
        <v>1st Quartile</v>
      </c>
    </row>
    <row r="727" spans="1:26">
      <c r="A727">
        <v>2019</v>
      </c>
      <c r="B727">
        <v>1019</v>
      </c>
      <c r="C727" t="s">
        <v>114</v>
      </c>
      <c r="D727" t="s">
        <v>113</v>
      </c>
      <c r="E727">
        <v>46</v>
      </c>
      <c r="F727" t="s">
        <v>112</v>
      </c>
      <c r="G727">
        <v>64</v>
      </c>
      <c r="H727">
        <v>0.58799999999999997</v>
      </c>
      <c r="I727">
        <v>0.74199999999999999</v>
      </c>
      <c r="J727">
        <v>-6.7569999999999997</v>
      </c>
      <c r="K727">
        <v>1</v>
      </c>
      <c r="L727">
        <v>8</v>
      </c>
      <c r="M727">
        <v>5.28E-2</v>
      </c>
      <c r="N727">
        <v>1.6199999999999999E-2</v>
      </c>
      <c r="O727">
        <v>3.98E-6</v>
      </c>
      <c r="P727">
        <v>0.65300000000000002</v>
      </c>
      <c r="Q727">
        <v>0.82399999999999995</v>
      </c>
      <c r="R727">
        <v>125.819</v>
      </c>
      <c r="S727">
        <v>4</v>
      </c>
      <c r="T727">
        <v>228173</v>
      </c>
      <c r="U727">
        <v>4</v>
      </c>
      <c r="V727">
        <v>228173</v>
      </c>
      <c r="W727">
        <v>4</v>
      </c>
      <c r="X727">
        <v>228173</v>
      </c>
      <c r="Y727" t="s">
        <v>17</v>
      </c>
      <c r="Z727" t="str">
        <f>LOOKUP(B727,{0,1083,124200,681950},{"1st","2nd","3rd","4th"})&amp;" Quartile"</f>
        <v>1st Quartile</v>
      </c>
    </row>
    <row r="728" spans="1:26">
      <c r="A728">
        <v>2020</v>
      </c>
      <c r="B728">
        <v>1014</v>
      </c>
      <c r="C728" t="s">
        <v>114</v>
      </c>
      <c r="D728" t="s">
        <v>113</v>
      </c>
      <c r="E728">
        <v>46</v>
      </c>
      <c r="F728" t="s">
        <v>112</v>
      </c>
      <c r="G728">
        <v>64</v>
      </c>
      <c r="H728">
        <v>0.58799999999999997</v>
      </c>
      <c r="I728">
        <v>0.74199999999999999</v>
      </c>
      <c r="J728">
        <v>-6.7569999999999997</v>
      </c>
      <c r="K728">
        <v>1</v>
      </c>
      <c r="L728">
        <v>8</v>
      </c>
      <c r="M728">
        <v>5.28E-2</v>
      </c>
      <c r="N728">
        <v>1.6199999999999999E-2</v>
      </c>
      <c r="O728">
        <v>3.98E-6</v>
      </c>
      <c r="P728">
        <v>0.65300000000000002</v>
      </c>
      <c r="Q728">
        <v>0.82399999999999995</v>
      </c>
      <c r="R728">
        <v>125.819</v>
      </c>
      <c r="S728">
        <v>4</v>
      </c>
      <c r="T728">
        <v>228173</v>
      </c>
      <c r="U728">
        <v>4</v>
      </c>
      <c r="V728">
        <v>228173</v>
      </c>
      <c r="W728">
        <v>4</v>
      </c>
      <c r="X728">
        <v>228173</v>
      </c>
      <c r="Y728" t="s">
        <v>17</v>
      </c>
      <c r="Z728" t="str">
        <f>LOOKUP(B728,{0,1083,124200,681950},{"1st","2nd","3rd","4th"})&amp;" Quartile"</f>
        <v>1st Quartile</v>
      </c>
    </row>
    <row r="729" spans="1:26">
      <c r="A729">
        <v>2021</v>
      </c>
      <c r="B729">
        <v>1006</v>
      </c>
      <c r="C729" t="s">
        <v>1431</v>
      </c>
      <c r="D729" t="s">
        <v>1430</v>
      </c>
      <c r="E729">
        <v>67</v>
      </c>
      <c r="F729" t="s">
        <v>1429</v>
      </c>
      <c r="G729">
        <v>78</v>
      </c>
      <c r="H729">
        <v>0.66800000000000004</v>
      </c>
      <c r="I729">
        <v>0.72699999999999998</v>
      </c>
      <c r="J729">
        <v>-6.55</v>
      </c>
      <c r="K729">
        <v>0</v>
      </c>
      <c r="L729">
        <v>7</v>
      </c>
      <c r="M729">
        <v>2.7E-2</v>
      </c>
      <c r="N729">
        <v>0.51400000000000001</v>
      </c>
      <c r="O729">
        <v>1.9000000000000001E-5</v>
      </c>
      <c r="P729">
        <v>0.1</v>
      </c>
      <c r="Q729">
        <v>0.93899999999999995</v>
      </c>
      <c r="R729">
        <v>139.99100000000001</v>
      </c>
      <c r="S729">
        <v>4</v>
      </c>
      <c r="T729">
        <v>344571</v>
      </c>
      <c r="U729">
        <v>4</v>
      </c>
      <c r="V729">
        <v>344571</v>
      </c>
      <c r="W729">
        <v>4</v>
      </c>
      <c r="X729">
        <v>344571</v>
      </c>
      <c r="Y729" t="s">
        <v>17</v>
      </c>
      <c r="Z729" t="str">
        <f>LOOKUP(B729,{0,1083,124200,681950},{"1st","2nd","3rd","4th"})&amp;" Quartile"</f>
        <v>1st Quartile</v>
      </c>
    </row>
    <row r="730" spans="1:26">
      <c r="A730">
        <v>2022</v>
      </c>
      <c r="B730">
        <v>958</v>
      </c>
      <c r="C730" t="s">
        <v>1775</v>
      </c>
      <c r="D730" t="s">
        <v>1776</v>
      </c>
      <c r="E730">
        <v>29</v>
      </c>
      <c r="F730" t="s">
        <v>1775</v>
      </c>
      <c r="G730">
        <v>47</v>
      </c>
      <c r="H730">
        <v>0.64500000000000002</v>
      </c>
      <c r="I730">
        <v>0.68100000000000005</v>
      </c>
      <c r="J730">
        <v>-5.9610000000000003</v>
      </c>
      <c r="K730">
        <v>1</v>
      </c>
      <c r="L730">
        <v>4</v>
      </c>
      <c r="M730">
        <v>0.13900000000000001</v>
      </c>
      <c r="N730">
        <v>3.6999999999999998E-2</v>
      </c>
      <c r="O730">
        <v>0</v>
      </c>
      <c r="P730">
        <v>7.8299999999999995E-2</v>
      </c>
      <c r="Q730">
        <v>0.45800000000000002</v>
      </c>
      <c r="R730">
        <v>163.87</v>
      </c>
      <c r="S730">
        <v>4</v>
      </c>
      <c r="T730">
        <v>142644</v>
      </c>
      <c r="U730">
        <v>4</v>
      </c>
      <c r="V730">
        <v>142644</v>
      </c>
      <c r="W730">
        <v>4</v>
      </c>
      <c r="X730">
        <v>142644</v>
      </c>
      <c r="Y730" t="s">
        <v>17</v>
      </c>
      <c r="Z730" t="str">
        <f>LOOKUP(B730,{0,1083,124200,681950},{"1st","2nd","3rd","4th"})&amp;" Quartile"</f>
        <v>1st Quartile</v>
      </c>
    </row>
    <row r="731" spans="1:26">
      <c r="A731">
        <v>2021</v>
      </c>
      <c r="B731">
        <v>937</v>
      </c>
      <c r="C731" t="s">
        <v>1336</v>
      </c>
      <c r="D731" t="s">
        <v>1335</v>
      </c>
      <c r="E731">
        <v>74</v>
      </c>
      <c r="F731" t="s">
        <v>1334</v>
      </c>
      <c r="G731">
        <v>75</v>
      </c>
      <c r="H731">
        <v>0.73299999999999998</v>
      </c>
      <c r="I731">
        <v>0.65</v>
      </c>
      <c r="J731">
        <v>-3.5390000000000001</v>
      </c>
      <c r="K731">
        <v>1</v>
      </c>
      <c r="L731">
        <v>5</v>
      </c>
      <c r="M731">
        <v>3.15E-2</v>
      </c>
      <c r="N731">
        <v>7.0300000000000001E-2</v>
      </c>
      <c r="O731">
        <v>6.5900000000000003E-5</v>
      </c>
      <c r="P731">
        <v>8.2900000000000001E-2</v>
      </c>
      <c r="Q731">
        <v>0.34799999999999998</v>
      </c>
      <c r="R731">
        <v>110.003</v>
      </c>
      <c r="S731">
        <v>4</v>
      </c>
      <c r="T731">
        <v>209160</v>
      </c>
      <c r="U731">
        <v>4</v>
      </c>
      <c r="V731">
        <v>209160</v>
      </c>
      <c r="W731">
        <v>4</v>
      </c>
      <c r="X731">
        <v>209160</v>
      </c>
      <c r="Y731" t="s">
        <v>17</v>
      </c>
      <c r="Z731" t="str">
        <f>LOOKUP(B731,{0,1083,124200,681950},{"1st","2nd","3rd","4th"})&amp;" Quartile"</f>
        <v>1st Quartile</v>
      </c>
    </row>
    <row r="732" spans="1:26">
      <c r="A732">
        <v>2021</v>
      </c>
      <c r="B732">
        <v>921</v>
      </c>
      <c r="C732" t="s">
        <v>1185</v>
      </c>
      <c r="D732" t="s">
        <v>1184</v>
      </c>
      <c r="E732">
        <v>67</v>
      </c>
      <c r="F732" t="s">
        <v>1183</v>
      </c>
      <c r="G732">
        <v>66</v>
      </c>
      <c r="H732">
        <v>0.61299999999999999</v>
      </c>
      <c r="I732">
        <v>0.66800000000000004</v>
      </c>
      <c r="J732">
        <v>-6.867</v>
      </c>
      <c r="K732">
        <v>1</v>
      </c>
      <c r="L732">
        <v>8</v>
      </c>
      <c r="M732">
        <v>0.26700000000000002</v>
      </c>
      <c r="N732">
        <v>0.245</v>
      </c>
      <c r="O732">
        <v>0</v>
      </c>
      <c r="P732">
        <v>7.3499999999999996E-2</v>
      </c>
      <c r="Q732">
        <v>0.50900000000000001</v>
      </c>
      <c r="R732">
        <v>96.176000000000002</v>
      </c>
      <c r="S732">
        <v>4</v>
      </c>
      <c r="T732">
        <v>209393</v>
      </c>
      <c r="U732">
        <v>4</v>
      </c>
      <c r="V732">
        <v>209393</v>
      </c>
      <c r="W732">
        <v>4</v>
      </c>
      <c r="X732">
        <v>209393</v>
      </c>
      <c r="Y732" t="s">
        <v>17</v>
      </c>
      <c r="Z732" t="str">
        <f>LOOKUP(B732,{0,1083,124200,681950},{"1st","2nd","3rd","4th"})&amp;" Quartile"</f>
        <v>1st Quartile</v>
      </c>
    </row>
    <row r="733" spans="1:26">
      <c r="A733">
        <v>2019</v>
      </c>
      <c r="B733">
        <v>919</v>
      </c>
      <c r="C733" t="s">
        <v>122</v>
      </c>
      <c r="D733" t="s">
        <v>121</v>
      </c>
      <c r="E733">
        <v>62</v>
      </c>
      <c r="F733" t="s">
        <v>120</v>
      </c>
      <c r="G733">
        <v>55</v>
      </c>
      <c r="H733">
        <v>0.89</v>
      </c>
      <c r="I733">
        <v>0.54200000000000004</v>
      </c>
      <c r="J733">
        <v>-4.8259999999999996</v>
      </c>
      <c r="K733">
        <v>0</v>
      </c>
      <c r="L733">
        <v>10</v>
      </c>
      <c r="M733">
        <v>0.314</v>
      </c>
      <c r="N733">
        <v>0.52300000000000002</v>
      </c>
      <c r="O733">
        <v>0</v>
      </c>
      <c r="P733">
        <v>0.123</v>
      </c>
      <c r="Q733">
        <v>0.56499999999999995</v>
      </c>
      <c r="R733">
        <v>78.457999999999998</v>
      </c>
      <c r="S733">
        <v>4</v>
      </c>
      <c r="T733">
        <v>165293</v>
      </c>
      <c r="U733">
        <v>4</v>
      </c>
      <c r="V733">
        <v>165293</v>
      </c>
      <c r="W733">
        <v>4</v>
      </c>
      <c r="X733">
        <v>165293</v>
      </c>
      <c r="Y733" t="s">
        <v>17</v>
      </c>
      <c r="Z733" t="str">
        <f>LOOKUP(B733,{0,1083,124200,681950},{"1st","2nd","3rd","4th"})&amp;" Quartile"</f>
        <v>1st Quartile</v>
      </c>
    </row>
    <row r="734" spans="1:26">
      <c r="A734">
        <v>2021</v>
      </c>
      <c r="B734">
        <v>895</v>
      </c>
      <c r="C734" t="s">
        <v>1396</v>
      </c>
      <c r="D734" t="s">
        <v>1395</v>
      </c>
      <c r="E734">
        <v>57</v>
      </c>
      <c r="F734" t="s">
        <v>1394</v>
      </c>
      <c r="G734">
        <v>0</v>
      </c>
      <c r="H734">
        <v>0.80800000000000005</v>
      </c>
      <c r="I734">
        <v>0.78200000000000003</v>
      </c>
      <c r="J734">
        <v>-8.5050000000000008</v>
      </c>
      <c r="K734">
        <v>0</v>
      </c>
      <c r="L734">
        <v>7</v>
      </c>
      <c r="M734">
        <v>0.19700000000000001</v>
      </c>
      <c r="N734">
        <v>2.41E-2</v>
      </c>
      <c r="O734">
        <v>1.56E-3</v>
      </c>
      <c r="P734">
        <v>0.123</v>
      </c>
      <c r="Q734">
        <v>0.63400000000000001</v>
      </c>
      <c r="R734">
        <v>126.026</v>
      </c>
      <c r="S734">
        <v>4</v>
      </c>
      <c r="T734">
        <v>268355</v>
      </c>
      <c r="U734">
        <v>4</v>
      </c>
      <c r="V734">
        <v>268355</v>
      </c>
      <c r="W734">
        <v>4</v>
      </c>
      <c r="X734">
        <v>268355</v>
      </c>
      <c r="Y734" t="s">
        <v>17</v>
      </c>
      <c r="Z734" t="str">
        <f>LOOKUP(B734,{0,1083,124200,681950},{"1st","2nd","3rd","4th"})&amp;" Quartile"</f>
        <v>1st Quartile</v>
      </c>
    </row>
    <row r="735" spans="1:26">
      <c r="A735">
        <v>2022</v>
      </c>
      <c r="B735">
        <v>882</v>
      </c>
      <c r="C735" t="s">
        <v>1261</v>
      </c>
      <c r="D735" t="s">
        <v>133</v>
      </c>
      <c r="E735">
        <v>80</v>
      </c>
      <c r="F735" t="s">
        <v>1260</v>
      </c>
      <c r="G735">
        <v>65</v>
      </c>
      <c r="H735">
        <v>0.76600000000000001</v>
      </c>
      <c r="I735">
        <v>0.64</v>
      </c>
      <c r="J735">
        <v>-8.8989999999999991</v>
      </c>
      <c r="K735">
        <v>1</v>
      </c>
      <c r="L735">
        <v>0</v>
      </c>
      <c r="M735">
        <v>3.4500000000000003E-2</v>
      </c>
      <c r="N735">
        <v>5.0999999999999997E-2</v>
      </c>
      <c r="O735">
        <v>0</v>
      </c>
      <c r="P735">
        <v>0.23699999999999999</v>
      </c>
      <c r="Q735">
        <v>0.67</v>
      </c>
      <c r="R735">
        <v>100.044</v>
      </c>
      <c r="S735">
        <v>4</v>
      </c>
      <c r="T735">
        <v>165600</v>
      </c>
      <c r="U735">
        <v>4</v>
      </c>
      <c r="V735">
        <v>165600</v>
      </c>
      <c r="W735">
        <v>4</v>
      </c>
      <c r="X735">
        <v>165600</v>
      </c>
      <c r="Y735" t="s">
        <v>17</v>
      </c>
      <c r="Z735" t="str">
        <f>LOOKUP(B735,{0,1083,124200,681950},{"1st","2nd","3rd","4th"})&amp;" Quartile"</f>
        <v>1st Quartile</v>
      </c>
    </row>
    <row r="736" spans="1:26">
      <c r="A736">
        <v>2021</v>
      </c>
      <c r="B736">
        <v>880</v>
      </c>
      <c r="C736" t="s">
        <v>1261</v>
      </c>
      <c r="D736" t="s">
        <v>133</v>
      </c>
      <c r="E736">
        <v>80</v>
      </c>
      <c r="F736" t="s">
        <v>1260</v>
      </c>
      <c r="G736">
        <v>65</v>
      </c>
      <c r="H736">
        <v>0.76600000000000001</v>
      </c>
      <c r="I736">
        <v>0.64</v>
      </c>
      <c r="J736">
        <v>-8.8989999999999991</v>
      </c>
      <c r="K736">
        <v>1</v>
      </c>
      <c r="L736">
        <v>0</v>
      </c>
      <c r="M736">
        <v>3.4500000000000003E-2</v>
      </c>
      <c r="N736">
        <v>5.0999999999999997E-2</v>
      </c>
      <c r="O736">
        <v>0</v>
      </c>
      <c r="P736">
        <v>0.23699999999999999</v>
      </c>
      <c r="Q736">
        <v>0.67</v>
      </c>
      <c r="R736">
        <v>100.044</v>
      </c>
      <c r="S736">
        <v>4</v>
      </c>
      <c r="T736">
        <v>165600</v>
      </c>
      <c r="U736">
        <v>4</v>
      </c>
      <c r="V736">
        <v>165600</v>
      </c>
      <c r="W736">
        <v>4</v>
      </c>
      <c r="X736">
        <v>165600</v>
      </c>
      <c r="Y736" t="s">
        <v>17</v>
      </c>
      <c r="Z736" t="str">
        <f>LOOKUP(B736,{0,1083,124200,681950},{"1st","2nd","3rd","4th"})&amp;" Quartile"</f>
        <v>1st Quartile</v>
      </c>
    </row>
    <row r="737" spans="1:26">
      <c r="A737">
        <v>2020</v>
      </c>
      <c r="B737">
        <v>877</v>
      </c>
      <c r="C737" t="s">
        <v>1140</v>
      </c>
      <c r="D737" t="s">
        <v>328</v>
      </c>
      <c r="E737">
        <v>84</v>
      </c>
      <c r="F737" t="s">
        <v>1140</v>
      </c>
      <c r="G737">
        <v>74</v>
      </c>
      <c r="H737">
        <v>0.67200000000000004</v>
      </c>
      <c r="I737">
        <v>0.85499999999999998</v>
      </c>
      <c r="J737">
        <v>-3.7639999999999998</v>
      </c>
      <c r="K737">
        <v>1</v>
      </c>
      <c r="L737">
        <v>9</v>
      </c>
      <c r="M737">
        <v>3.9699999999999999E-2</v>
      </c>
      <c r="N737">
        <v>2.1000000000000001E-2</v>
      </c>
      <c r="O737">
        <v>0</v>
      </c>
      <c r="P737">
        <v>0.32300000000000001</v>
      </c>
      <c r="Q737">
        <v>0.64600000000000002</v>
      </c>
      <c r="R737">
        <v>123.056</v>
      </c>
      <c r="S737">
        <v>4</v>
      </c>
      <c r="T737">
        <v>182200</v>
      </c>
      <c r="U737">
        <v>4</v>
      </c>
      <c r="V737">
        <v>182200</v>
      </c>
      <c r="W737">
        <v>4</v>
      </c>
      <c r="X737">
        <v>182200</v>
      </c>
      <c r="Y737" t="s">
        <v>17</v>
      </c>
      <c r="Z737" t="str">
        <f>LOOKUP(B737,{0,1083,124200,681950},{"1st","2nd","3rd","4th"})&amp;" Quartile"</f>
        <v>1st Quartile</v>
      </c>
    </row>
    <row r="738" spans="1:26">
      <c r="A738">
        <v>2019</v>
      </c>
      <c r="B738">
        <v>873</v>
      </c>
      <c r="C738" t="s">
        <v>393</v>
      </c>
      <c r="D738" t="s">
        <v>394</v>
      </c>
      <c r="E738">
        <v>42</v>
      </c>
      <c r="F738" t="s">
        <v>393</v>
      </c>
      <c r="G738">
        <v>60</v>
      </c>
      <c r="H738">
        <v>0.80500000000000005</v>
      </c>
      <c r="I738">
        <v>0.64300000000000002</v>
      </c>
      <c r="J738">
        <v>-13.912000000000001</v>
      </c>
      <c r="K738">
        <v>1</v>
      </c>
      <c r="L738">
        <v>10</v>
      </c>
      <c r="M738">
        <v>0.23200000000000001</v>
      </c>
      <c r="N738">
        <v>0.41</v>
      </c>
      <c r="O738">
        <v>0</v>
      </c>
      <c r="P738">
        <v>0.60599999999999998</v>
      </c>
      <c r="Q738">
        <v>0.92700000000000005</v>
      </c>
      <c r="R738">
        <v>104.047</v>
      </c>
      <c r="S738">
        <v>4</v>
      </c>
      <c r="T738">
        <v>196642</v>
      </c>
      <c r="U738">
        <v>4</v>
      </c>
      <c r="V738">
        <v>196642</v>
      </c>
      <c r="W738">
        <v>4</v>
      </c>
      <c r="X738">
        <v>196642</v>
      </c>
      <c r="Y738" t="s">
        <v>17</v>
      </c>
      <c r="Z738" t="str">
        <f>LOOKUP(B738,{0,1083,124200,681950},{"1st","2nd","3rd","4th"})&amp;" Quartile"</f>
        <v>1st Quartile</v>
      </c>
    </row>
    <row r="739" spans="1:26">
      <c r="A739">
        <v>2021</v>
      </c>
      <c r="B739">
        <v>850</v>
      </c>
      <c r="C739" t="s">
        <v>1284</v>
      </c>
      <c r="D739" t="s">
        <v>1285</v>
      </c>
      <c r="E739">
        <v>46</v>
      </c>
      <c r="F739" t="s">
        <v>1284</v>
      </c>
      <c r="G739">
        <v>63</v>
      </c>
      <c r="H739">
        <v>0.73399999999999999</v>
      </c>
      <c r="I739">
        <v>0.495</v>
      </c>
      <c r="J739">
        <v>-8.2279999999999998</v>
      </c>
      <c r="K739">
        <v>0</v>
      </c>
      <c r="L739">
        <v>2</v>
      </c>
      <c r="M739">
        <v>0.24</v>
      </c>
      <c r="N739">
        <v>0.54800000000000004</v>
      </c>
      <c r="O739">
        <v>0</v>
      </c>
      <c r="P739">
        <v>0.121</v>
      </c>
      <c r="Q739">
        <v>0.53900000000000003</v>
      </c>
      <c r="R739">
        <v>150.04400000000001</v>
      </c>
      <c r="S739">
        <v>4</v>
      </c>
      <c r="T739">
        <v>164955</v>
      </c>
      <c r="U739">
        <v>4</v>
      </c>
      <c r="V739">
        <v>164955</v>
      </c>
      <c r="W739">
        <v>4</v>
      </c>
      <c r="X739">
        <v>164955</v>
      </c>
      <c r="Y739" t="s">
        <v>17</v>
      </c>
      <c r="Z739" t="str">
        <f>LOOKUP(B739,{0,1083,124200,681950},{"1st","2nd","3rd","4th"})&amp;" Quartile"</f>
        <v>1st Quartile</v>
      </c>
    </row>
    <row r="740" spans="1:26">
      <c r="A740">
        <v>2020</v>
      </c>
      <c r="B740">
        <v>844</v>
      </c>
      <c r="C740" t="s">
        <v>595</v>
      </c>
      <c r="D740" t="s">
        <v>594</v>
      </c>
      <c r="E740">
        <v>57</v>
      </c>
      <c r="F740" t="s">
        <v>593</v>
      </c>
      <c r="G740">
        <v>69</v>
      </c>
      <c r="H740">
        <v>0.82899999999999996</v>
      </c>
      <c r="I740">
        <v>0.79200000000000004</v>
      </c>
      <c r="J740">
        <v>-3.7549999999999999</v>
      </c>
      <c r="K740">
        <v>0</v>
      </c>
      <c r="L740">
        <v>2</v>
      </c>
      <c r="M740">
        <v>6.6799999999999998E-2</v>
      </c>
      <c r="N740">
        <v>0.72599999999999998</v>
      </c>
      <c r="O740">
        <v>5.8300000000000001E-6</v>
      </c>
      <c r="P740">
        <v>0.122</v>
      </c>
      <c r="Q740">
        <v>0.75800000000000001</v>
      </c>
      <c r="R740">
        <v>118.05</v>
      </c>
      <c r="S740">
        <v>4</v>
      </c>
      <c r="T740">
        <v>215507</v>
      </c>
      <c r="U740">
        <v>4</v>
      </c>
      <c r="V740">
        <v>215507</v>
      </c>
      <c r="W740">
        <v>4</v>
      </c>
      <c r="X740">
        <v>215507</v>
      </c>
      <c r="Y740" t="s">
        <v>17</v>
      </c>
      <c r="Z740" t="str">
        <f>LOOKUP(B740,{0,1083,124200,681950},{"1st","2nd","3rd","4th"})&amp;" Quartile"</f>
        <v>1st Quartile</v>
      </c>
    </row>
    <row r="741" spans="1:26">
      <c r="A741">
        <v>2019</v>
      </c>
      <c r="B741">
        <v>844</v>
      </c>
      <c r="C741" t="s">
        <v>595</v>
      </c>
      <c r="D741" t="s">
        <v>594</v>
      </c>
      <c r="E741">
        <v>57</v>
      </c>
      <c r="F741" t="s">
        <v>593</v>
      </c>
      <c r="G741">
        <v>69</v>
      </c>
      <c r="H741">
        <v>0.82899999999999996</v>
      </c>
      <c r="I741">
        <v>0.79200000000000004</v>
      </c>
      <c r="J741">
        <v>-3.7549999999999999</v>
      </c>
      <c r="K741">
        <v>0</v>
      </c>
      <c r="L741">
        <v>2</v>
      </c>
      <c r="M741">
        <v>6.6799999999999998E-2</v>
      </c>
      <c r="N741">
        <v>0.72599999999999998</v>
      </c>
      <c r="O741">
        <v>5.8300000000000001E-6</v>
      </c>
      <c r="P741">
        <v>0.122</v>
      </c>
      <c r="Q741">
        <v>0.75800000000000001</v>
      </c>
      <c r="R741">
        <v>118.05</v>
      </c>
      <c r="S741">
        <v>4</v>
      </c>
      <c r="T741">
        <v>215507</v>
      </c>
      <c r="U741">
        <v>4</v>
      </c>
      <c r="V741">
        <v>215507</v>
      </c>
      <c r="W741">
        <v>4</v>
      </c>
      <c r="X741">
        <v>215507</v>
      </c>
      <c r="Y741" t="s">
        <v>17</v>
      </c>
      <c r="Z741" t="str">
        <f>LOOKUP(B741,{0,1083,124200,681950},{"1st","2nd","3rd","4th"})&amp;" Quartile"</f>
        <v>1st Quartile</v>
      </c>
    </row>
    <row r="742" spans="1:26">
      <c r="A742">
        <v>2021</v>
      </c>
      <c r="B742">
        <v>830</v>
      </c>
      <c r="C742" t="s">
        <v>1209</v>
      </c>
      <c r="D742" t="s">
        <v>1208</v>
      </c>
      <c r="E742">
        <v>81</v>
      </c>
      <c r="F742" t="s">
        <v>1207</v>
      </c>
      <c r="G742">
        <v>62</v>
      </c>
      <c r="H742">
        <v>0.88</v>
      </c>
      <c r="I742">
        <v>0.44500000000000001</v>
      </c>
      <c r="J742">
        <v>-6.1539999999999999</v>
      </c>
      <c r="K742">
        <v>0</v>
      </c>
      <c r="L742">
        <v>11</v>
      </c>
      <c r="M742">
        <v>6.6000000000000003E-2</v>
      </c>
      <c r="N742">
        <v>0.51500000000000001</v>
      </c>
      <c r="O742">
        <v>4.5700000000000003E-6</v>
      </c>
      <c r="P742">
        <v>0.10199999999999999</v>
      </c>
      <c r="Q742">
        <v>0.78700000000000003</v>
      </c>
      <c r="R742">
        <v>138.048</v>
      </c>
      <c r="S742">
        <v>4</v>
      </c>
      <c r="T742">
        <v>222067</v>
      </c>
      <c r="U742">
        <v>4</v>
      </c>
      <c r="V742">
        <v>222067</v>
      </c>
      <c r="W742">
        <v>4</v>
      </c>
      <c r="X742">
        <v>222067</v>
      </c>
      <c r="Y742" t="s">
        <v>17</v>
      </c>
      <c r="Z742" t="str">
        <f>LOOKUP(B742,{0,1083,124200,681950},{"1st","2nd","3rd","4th"})&amp;" Quartile"</f>
        <v>1st Quartile</v>
      </c>
    </row>
    <row r="743" spans="1:26">
      <c r="A743">
        <v>2020</v>
      </c>
      <c r="B743">
        <v>803</v>
      </c>
      <c r="C743" t="s">
        <v>783</v>
      </c>
      <c r="D743" t="s">
        <v>421</v>
      </c>
      <c r="E743">
        <v>82</v>
      </c>
      <c r="F743" t="s">
        <v>783</v>
      </c>
      <c r="G743">
        <v>67</v>
      </c>
      <c r="H743">
        <v>0.82199999999999995</v>
      </c>
      <c r="I743">
        <v>0.74299999999999999</v>
      </c>
      <c r="J743">
        <v>-4.7720000000000002</v>
      </c>
      <c r="K743">
        <v>0</v>
      </c>
      <c r="L743">
        <v>10</v>
      </c>
      <c r="M743">
        <v>0.28000000000000003</v>
      </c>
      <c r="N743">
        <v>1.6E-2</v>
      </c>
      <c r="O743">
        <v>0</v>
      </c>
      <c r="P743">
        <v>0.127</v>
      </c>
      <c r="Q743">
        <v>0.63600000000000001</v>
      </c>
      <c r="R743">
        <v>84.459000000000003</v>
      </c>
      <c r="S743">
        <v>4</v>
      </c>
      <c r="T743">
        <v>242001</v>
      </c>
      <c r="U743">
        <v>4</v>
      </c>
      <c r="V743">
        <v>242001</v>
      </c>
      <c r="W743">
        <v>4</v>
      </c>
      <c r="X743">
        <v>242001</v>
      </c>
      <c r="Y743" t="s">
        <v>17</v>
      </c>
      <c r="Z743" t="str">
        <f>LOOKUP(B743,{0,1083,124200,681950},{"1st","2nd","3rd","4th"})&amp;" Quartile"</f>
        <v>1st Quartile</v>
      </c>
    </row>
    <row r="744" spans="1:26">
      <c r="A744">
        <v>2022</v>
      </c>
      <c r="B744">
        <v>749</v>
      </c>
      <c r="C744" t="s">
        <v>1823</v>
      </c>
      <c r="D744" t="s">
        <v>1824</v>
      </c>
      <c r="E744">
        <v>40</v>
      </c>
      <c r="F744" t="s">
        <v>1823</v>
      </c>
      <c r="G744">
        <v>55</v>
      </c>
      <c r="H744">
        <v>0.76700000000000002</v>
      </c>
      <c r="I744">
        <v>0.75800000000000001</v>
      </c>
      <c r="J744">
        <v>-3.1909999999999998</v>
      </c>
      <c r="K744">
        <v>0</v>
      </c>
      <c r="L744">
        <v>11</v>
      </c>
      <c r="M744">
        <v>8.4000000000000005E-2</v>
      </c>
      <c r="N744">
        <v>3.6799999999999999E-2</v>
      </c>
      <c r="O744">
        <v>0</v>
      </c>
      <c r="P744">
        <v>6.8199999999999997E-2</v>
      </c>
      <c r="Q744">
        <v>0.84399999999999997</v>
      </c>
      <c r="R744">
        <v>111.986</v>
      </c>
      <c r="S744">
        <v>4</v>
      </c>
      <c r="T744">
        <v>160982</v>
      </c>
      <c r="U744">
        <v>4</v>
      </c>
      <c r="V744">
        <v>160982</v>
      </c>
      <c r="W744">
        <v>4</v>
      </c>
      <c r="X744">
        <v>160982</v>
      </c>
      <c r="Y744" t="s">
        <v>17</v>
      </c>
      <c r="Z744" t="str">
        <f>LOOKUP(B744,{0,1083,124200,681950},{"1st","2nd","3rd","4th"})&amp;" Quartile"</f>
        <v>1st Quartile</v>
      </c>
    </row>
    <row r="745" spans="1:26">
      <c r="A745">
        <v>2019</v>
      </c>
      <c r="B745">
        <v>732</v>
      </c>
      <c r="C745" t="s">
        <v>479</v>
      </c>
      <c r="D745" t="s">
        <v>480</v>
      </c>
      <c r="E745">
        <v>46</v>
      </c>
      <c r="F745" t="s">
        <v>479</v>
      </c>
      <c r="G745">
        <v>56</v>
      </c>
      <c r="H745">
        <v>0.877</v>
      </c>
      <c r="I745">
        <v>0.55800000000000005</v>
      </c>
      <c r="J745">
        <v>-4.8959999999999999</v>
      </c>
      <c r="K745">
        <v>1</v>
      </c>
      <c r="L745">
        <v>1</v>
      </c>
      <c r="M745">
        <v>0.34200000000000003</v>
      </c>
      <c r="N745">
        <v>6.6000000000000003E-2</v>
      </c>
      <c r="O745">
        <v>0</v>
      </c>
      <c r="P745">
        <v>7.4499999999999997E-2</v>
      </c>
      <c r="Q745">
        <v>0.49299999999999999</v>
      </c>
      <c r="R745">
        <v>157.02699999999999</v>
      </c>
      <c r="S745">
        <v>4</v>
      </c>
      <c r="T745">
        <v>226533</v>
      </c>
      <c r="U745">
        <v>4</v>
      </c>
      <c r="V745">
        <v>226533</v>
      </c>
      <c r="W745">
        <v>4</v>
      </c>
      <c r="X745">
        <v>226533</v>
      </c>
      <c r="Y745" t="s">
        <v>17</v>
      </c>
      <c r="Z745" t="str">
        <f>LOOKUP(B745,{0,1083,124200,681950},{"1st","2nd","3rd","4th"})&amp;" Quartile"</f>
        <v>1st Quartile</v>
      </c>
    </row>
    <row r="746" spans="1:26">
      <c r="A746">
        <v>2019</v>
      </c>
      <c r="B746">
        <v>589</v>
      </c>
      <c r="C746" t="s">
        <v>574</v>
      </c>
      <c r="D746" t="s">
        <v>575</v>
      </c>
      <c r="E746">
        <v>43</v>
      </c>
      <c r="F746" t="s">
        <v>574</v>
      </c>
      <c r="G746">
        <v>43</v>
      </c>
      <c r="H746">
        <v>0.754</v>
      </c>
      <c r="I746">
        <v>0.52600000000000002</v>
      </c>
      <c r="J746">
        <v>-12.96</v>
      </c>
      <c r="K746">
        <v>1</v>
      </c>
      <c r="L746">
        <v>1</v>
      </c>
      <c r="M746">
        <v>4.3499999999999997E-2</v>
      </c>
      <c r="N746">
        <v>2.6099999999999999E-3</v>
      </c>
      <c r="O746">
        <v>0.46600000000000003</v>
      </c>
      <c r="P746">
        <v>0.113</v>
      </c>
      <c r="Q746">
        <v>0.71599999999999997</v>
      </c>
      <c r="R746">
        <v>117.051</v>
      </c>
      <c r="S746">
        <v>4</v>
      </c>
      <c r="T746">
        <v>167180</v>
      </c>
      <c r="U746">
        <v>4</v>
      </c>
      <c r="V746">
        <v>167180</v>
      </c>
      <c r="W746">
        <v>4</v>
      </c>
      <c r="X746">
        <v>167180</v>
      </c>
      <c r="Y746" t="s">
        <v>17</v>
      </c>
      <c r="Z746" t="str">
        <f>LOOKUP(B746,{0,1083,124200,681950},{"1st","2nd","3rd","4th"})&amp;" Quartile"</f>
        <v>1st Quartile</v>
      </c>
    </row>
    <row r="747" spans="1:26">
      <c r="A747">
        <v>2020</v>
      </c>
      <c r="B747">
        <v>578</v>
      </c>
      <c r="C747" t="s">
        <v>984</v>
      </c>
      <c r="D747" t="s">
        <v>345</v>
      </c>
      <c r="E747">
        <v>87</v>
      </c>
      <c r="F747" t="s">
        <v>983</v>
      </c>
      <c r="G747">
        <v>54</v>
      </c>
      <c r="H747">
        <v>0.69</v>
      </c>
      <c r="I747">
        <v>0.78600000000000003</v>
      </c>
      <c r="J747">
        <v>-2.9590000000000001</v>
      </c>
      <c r="K747">
        <v>1</v>
      </c>
      <c r="L747">
        <v>2</v>
      </c>
      <c r="M747">
        <v>6.9199999999999998E-2</v>
      </c>
      <c r="N747">
        <v>0.22900000000000001</v>
      </c>
      <c r="O747">
        <v>0</v>
      </c>
      <c r="P747">
        <v>7.9699999999999993E-2</v>
      </c>
      <c r="Q747">
        <v>0.58299999999999996</v>
      </c>
      <c r="R747">
        <v>100.04900000000001</v>
      </c>
      <c r="S747">
        <v>4</v>
      </c>
      <c r="T747">
        <v>263173</v>
      </c>
      <c r="U747">
        <v>4</v>
      </c>
      <c r="V747">
        <v>263173</v>
      </c>
      <c r="W747">
        <v>4</v>
      </c>
      <c r="X747">
        <v>263173</v>
      </c>
      <c r="Y747" t="s">
        <v>17</v>
      </c>
      <c r="Z747" t="str">
        <f>LOOKUP(B747,{0,1083,124200,681950},{"1st","2nd","3rd","4th"})&amp;" Quartile"</f>
        <v>1st Quartile</v>
      </c>
    </row>
    <row r="748" spans="1:26">
      <c r="A748">
        <v>2022</v>
      </c>
      <c r="B748">
        <v>574</v>
      </c>
      <c r="C748" t="s">
        <v>1769</v>
      </c>
      <c r="D748" t="s">
        <v>1568</v>
      </c>
      <c r="E748">
        <v>46</v>
      </c>
      <c r="F748" t="s">
        <v>1769</v>
      </c>
      <c r="G748">
        <v>52</v>
      </c>
      <c r="H748">
        <v>0.77200000000000002</v>
      </c>
      <c r="I748">
        <v>0.754</v>
      </c>
      <c r="J748">
        <v>-4.57</v>
      </c>
      <c r="K748">
        <v>0</v>
      </c>
      <c r="L748">
        <v>9</v>
      </c>
      <c r="M748">
        <v>0.05</v>
      </c>
      <c r="N748">
        <v>0.34799999999999998</v>
      </c>
      <c r="O748">
        <v>0.39700000000000002</v>
      </c>
      <c r="P748">
        <v>7.8399999999999997E-2</v>
      </c>
      <c r="Q748">
        <v>0.88</v>
      </c>
      <c r="R748">
        <v>112.04300000000001</v>
      </c>
      <c r="S748">
        <v>4</v>
      </c>
      <c r="T748">
        <v>149787</v>
      </c>
      <c r="U748">
        <v>4</v>
      </c>
      <c r="V748">
        <v>149787</v>
      </c>
      <c r="W748">
        <v>4</v>
      </c>
      <c r="X748">
        <v>149787</v>
      </c>
      <c r="Y748" t="s">
        <v>17</v>
      </c>
      <c r="Z748" t="str">
        <f>LOOKUP(B748,{0,1083,124200,681950},{"1st","2nd","3rd","4th"})&amp;" Quartile"</f>
        <v>1st Quartile</v>
      </c>
    </row>
    <row r="749" spans="1:26">
      <c r="A749">
        <v>2020</v>
      </c>
      <c r="B749">
        <v>572</v>
      </c>
      <c r="C749" t="s">
        <v>882</v>
      </c>
      <c r="D749" t="s">
        <v>881</v>
      </c>
      <c r="E749">
        <v>66</v>
      </c>
      <c r="F749" t="s">
        <v>881</v>
      </c>
      <c r="G749">
        <v>68</v>
      </c>
      <c r="H749">
        <v>0.67500000000000004</v>
      </c>
      <c r="I749">
        <v>0.60899999999999999</v>
      </c>
      <c r="J749">
        <v>-5.0270000000000001</v>
      </c>
      <c r="K749">
        <v>0</v>
      </c>
      <c r="L749">
        <v>7</v>
      </c>
      <c r="M749">
        <v>5.8599999999999999E-2</v>
      </c>
      <c r="N749">
        <v>8.4000000000000005E-2</v>
      </c>
      <c r="O749">
        <v>0</v>
      </c>
      <c r="P749">
        <v>9.5699999999999993E-2</v>
      </c>
      <c r="Q749">
        <v>0.378</v>
      </c>
      <c r="R749">
        <v>120.039</v>
      </c>
      <c r="S749">
        <v>4</v>
      </c>
      <c r="T749">
        <v>208729</v>
      </c>
      <c r="U749">
        <v>4</v>
      </c>
      <c r="V749">
        <v>208729</v>
      </c>
      <c r="W749">
        <v>4</v>
      </c>
      <c r="X749">
        <v>208729</v>
      </c>
      <c r="Y749" t="s">
        <v>17</v>
      </c>
      <c r="Z749" t="str">
        <f>LOOKUP(B749,{0,1083,124200,681950},{"1st","2nd","3rd","4th"})&amp;" Quartile"</f>
        <v>1st Quartile</v>
      </c>
    </row>
    <row r="750" spans="1:26">
      <c r="A750">
        <v>2019</v>
      </c>
      <c r="B750">
        <v>555</v>
      </c>
      <c r="C750" t="s">
        <v>153</v>
      </c>
      <c r="D750" t="s">
        <v>152</v>
      </c>
      <c r="E750">
        <v>64</v>
      </c>
      <c r="F750" t="s">
        <v>151</v>
      </c>
      <c r="G750">
        <v>69</v>
      </c>
      <c r="H750">
        <v>0.93500000000000005</v>
      </c>
      <c r="I750">
        <v>0.80500000000000005</v>
      </c>
      <c r="J750">
        <v>-4.782</v>
      </c>
      <c r="K750">
        <v>1</v>
      </c>
      <c r="L750">
        <v>7</v>
      </c>
      <c r="M750">
        <v>0.22500000000000001</v>
      </c>
      <c r="N750">
        <v>1.43E-2</v>
      </c>
      <c r="O750">
        <v>1.53E-6</v>
      </c>
      <c r="P750">
        <v>0.29799999999999999</v>
      </c>
      <c r="Q750">
        <v>0.624</v>
      </c>
      <c r="R750">
        <v>105.64100000000001</v>
      </c>
      <c r="S750">
        <v>4</v>
      </c>
      <c r="T750">
        <v>234360</v>
      </c>
      <c r="U750">
        <v>4</v>
      </c>
      <c r="V750">
        <v>234360</v>
      </c>
      <c r="W750">
        <v>4</v>
      </c>
      <c r="X750">
        <v>234360</v>
      </c>
      <c r="Y750" t="s">
        <v>17</v>
      </c>
      <c r="Z750" t="str">
        <f>LOOKUP(B750,{0,1083,124200,681950},{"1st","2nd","3rd","4th"})&amp;" Quartile"</f>
        <v>1st Quartile</v>
      </c>
    </row>
    <row r="751" spans="1:26">
      <c r="A751">
        <v>2020</v>
      </c>
      <c r="B751">
        <v>554</v>
      </c>
      <c r="C751" t="s">
        <v>284</v>
      </c>
      <c r="D751" t="s">
        <v>283</v>
      </c>
      <c r="E751">
        <v>63</v>
      </c>
      <c r="F751" t="s">
        <v>282</v>
      </c>
      <c r="G751">
        <v>56</v>
      </c>
      <c r="H751">
        <v>0.91500000000000004</v>
      </c>
      <c r="I751">
        <v>0.55600000000000005</v>
      </c>
      <c r="J751">
        <v>-8.6010000000000009</v>
      </c>
      <c r="K751">
        <v>1</v>
      </c>
      <c r="L751">
        <v>1</v>
      </c>
      <c r="M751">
        <v>0.216</v>
      </c>
      <c r="N751">
        <v>1.4500000000000001E-2</v>
      </c>
      <c r="O751">
        <v>1.7899999999999999E-4</v>
      </c>
      <c r="P751">
        <v>7.3300000000000004E-2</v>
      </c>
      <c r="Q751">
        <v>0.67</v>
      </c>
      <c r="R751">
        <v>148.964</v>
      </c>
      <c r="S751">
        <v>4</v>
      </c>
      <c r="T751">
        <v>170947</v>
      </c>
      <c r="U751">
        <v>4</v>
      </c>
      <c r="V751">
        <v>170947</v>
      </c>
      <c r="W751">
        <v>4</v>
      </c>
      <c r="X751">
        <v>170947</v>
      </c>
      <c r="Y751" t="s">
        <v>17</v>
      </c>
      <c r="Z751" t="str">
        <f>LOOKUP(B751,{0,1083,124200,681950},{"1st","2nd","3rd","4th"})&amp;" Quartile"</f>
        <v>1st Quartile</v>
      </c>
    </row>
    <row r="752" spans="1:26">
      <c r="A752">
        <v>2020</v>
      </c>
      <c r="B752">
        <v>541</v>
      </c>
      <c r="C752" t="s">
        <v>305</v>
      </c>
      <c r="D752" t="s">
        <v>306</v>
      </c>
      <c r="E752">
        <v>72</v>
      </c>
      <c r="F752" t="s">
        <v>305</v>
      </c>
      <c r="G752">
        <v>69</v>
      </c>
      <c r="H752">
        <v>0.79200000000000004</v>
      </c>
      <c r="I752">
        <v>0.69799999999999995</v>
      </c>
      <c r="J752">
        <v>-6.3639999999999999</v>
      </c>
      <c r="K752">
        <v>1</v>
      </c>
      <c r="L752">
        <v>1</v>
      </c>
      <c r="M752">
        <v>0.17199999999999999</v>
      </c>
      <c r="N752">
        <v>0.48899999999999999</v>
      </c>
      <c r="O752">
        <v>7.8799999999999995E-2</v>
      </c>
      <c r="P752">
        <v>0.127</v>
      </c>
      <c r="Q752">
        <v>0.751</v>
      </c>
      <c r="R752">
        <v>129.971</v>
      </c>
      <c r="S752">
        <v>4</v>
      </c>
      <c r="T752">
        <v>173938</v>
      </c>
      <c r="U752">
        <v>4</v>
      </c>
      <c r="V752">
        <v>173938</v>
      </c>
      <c r="W752">
        <v>4</v>
      </c>
      <c r="X752">
        <v>173938</v>
      </c>
      <c r="Y752" t="s">
        <v>17</v>
      </c>
      <c r="Z752" t="str">
        <f>LOOKUP(B752,{0,1083,124200,681950},{"1st","2nd","3rd","4th"})&amp;" Quartile"</f>
        <v>1st Quartile</v>
      </c>
    </row>
    <row r="753" spans="1:26">
      <c r="A753">
        <v>2019</v>
      </c>
      <c r="B753">
        <v>541</v>
      </c>
      <c r="C753" t="s">
        <v>305</v>
      </c>
      <c r="D753" t="s">
        <v>306</v>
      </c>
      <c r="E753">
        <v>72</v>
      </c>
      <c r="F753" t="s">
        <v>305</v>
      </c>
      <c r="G753">
        <v>0</v>
      </c>
      <c r="H753">
        <v>0.70799999999999996</v>
      </c>
      <c r="I753">
        <v>0.69599999999999995</v>
      </c>
      <c r="J753">
        <v>-6.3630000000000004</v>
      </c>
      <c r="K753">
        <v>1</v>
      </c>
      <c r="L753">
        <v>1</v>
      </c>
      <c r="M753">
        <v>0.17199999999999999</v>
      </c>
      <c r="N753">
        <v>0.48699999999999999</v>
      </c>
      <c r="O753">
        <v>7.1800000000000003E-2</v>
      </c>
      <c r="P753">
        <v>0.128</v>
      </c>
      <c r="Q753">
        <v>0.74299999999999999</v>
      </c>
      <c r="R753">
        <v>129.96</v>
      </c>
      <c r="S753">
        <v>4</v>
      </c>
      <c r="T753">
        <v>173897</v>
      </c>
      <c r="U753">
        <v>4</v>
      </c>
      <c r="V753">
        <v>173897</v>
      </c>
      <c r="W753">
        <v>4</v>
      </c>
      <c r="X753">
        <v>173897</v>
      </c>
      <c r="Y753" t="s">
        <v>17</v>
      </c>
      <c r="Z753" t="str">
        <f>LOOKUP(B753,{0,1083,124200,681950},{"1st","2nd","3rd","4th"})&amp;" Quartile"</f>
        <v>1st Quartile</v>
      </c>
    </row>
    <row r="754" spans="1:26">
      <c r="A754">
        <v>2020</v>
      </c>
      <c r="B754">
        <v>449</v>
      </c>
      <c r="C754" t="s">
        <v>951</v>
      </c>
      <c r="D754" t="s">
        <v>950</v>
      </c>
      <c r="E754">
        <v>44</v>
      </c>
      <c r="F754" t="s">
        <v>949</v>
      </c>
      <c r="G754">
        <v>54</v>
      </c>
      <c r="H754">
        <v>0.65500000000000003</v>
      </c>
      <c r="I754">
        <v>0.78900000000000003</v>
      </c>
      <c r="J754">
        <v>-3.9950000000000001</v>
      </c>
      <c r="K754">
        <v>1</v>
      </c>
      <c r="L754">
        <v>4</v>
      </c>
      <c r="M754">
        <v>4.8899999999999999E-2</v>
      </c>
      <c r="N754">
        <v>0.42299999999999999</v>
      </c>
      <c r="O754">
        <v>0</v>
      </c>
      <c r="P754">
        <v>0.13</v>
      </c>
      <c r="Q754">
        <v>0.66</v>
      </c>
      <c r="R754">
        <v>92.968000000000004</v>
      </c>
      <c r="S754">
        <v>4</v>
      </c>
      <c r="T754">
        <v>52867</v>
      </c>
      <c r="U754">
        <v>4</v>
      </c>
      <c r="V754">
        <v>52867</v>
      </c>
      <c r="W754">
        <v>4</v>
      </c>
      <c r="X754">
        <v>52867</v>
      </c>
      <c r="Y754" t="s">
        <v>17</v>
      </c>
      <c r="Z754" t="str">
        <f>LOOKUP(B754,{0,1083,124200,681950},{"1st","2nd","3rd","4th"})&amp;" Quartile"</f>
        <v>1st Quartile</v>
      </c>
    </row>
    <row r="755" spans="1:26">
      <c r="A755">
        <v>2020</v>
      </c>
      <c r="B755">
        <v>377</v>
      </c>
      <c r="C755" t="s">
        <v>1094</v>
      </c>
      <c r="D755" t="s">
        <v>1095</v>
      </c>
      <c r="E755">
        <v>83</v>
      </c>
      <c r="F755" t="s">
        <v>1094</v>
      </c>
      <c r="G755">
        <v>54</v>
      </c>
      <c r="H755">
        <v>0.92</v>
      </c>
      <c r="I755">
        <v>0.83299999999999996</v>
      </c>
      <c r="J755">
        <v>-3.18</v>
      </c>
      <c r="K755">
        <v>1</v>
      </c>
      <c r="L755">
        <v>1</v>
      </c>
      <c r="M755">
        <v>0.253</v>
      </c>
      <c r="N755">
        <v>2.7699999999999999E-2</v>
      </c>
      <c r="O755">
        <v>0</v>
      </c>
      <c r="P755">
        <v>5.96E-2</v>
      </c>
      <c r="Q755">
        <v>0.64500000000000002</v>
      </c>
      <c r="R755">
        <v>141.03399999999999</v>
      </c>
      <c r="S755">
        <v>4</v>
      </c>
      <c r="T755">
        <v>165726</v>
      </c>
      <c r="U755">
        <v>4</v>
      </c>
      <c r="V755">
        <v>165726</v>
      </c>
      <c r="W755">
        <v>4</v>
      </c>
      <c r="X755">
        <v>165726</v>
      </c>
      <c r="Y755" t="s">
        <v>17</v>
      </c>
      <c r="Z755" t="str">
        <f>LOOKUP(B755,{0,1083,124200,681950},{"1st","2nd","3rd","4th"})&amp;" Quartile"</f>
        <v>1st Quartile</v>
      </c>
    </row>
    <row r="756" spans="1:26">
      <c r="A756">
        <v>2022</v>
      </c>
      <c r="B756">
        <v>366</v>
      </c>
      <c r="C756" t="s">
        <v>1777</v>
      </c>
      <c r="D756" t="s">
        <v>1778</v>
      </c>
      <c r="E756">
        <v>62</v>
      </c>
      <c r="F756" t="s">
        <v>1777</v>
      </c>
      <c r="G756">
        <v>53</v>
      </c>
      <c r="H756">
        <v>0.78300000000000003</v>
      </c>
      <c r="I756">
        <v>0.753</v>
      </c>
      <c r="J756">
        <v>-5.0030000000000001</v>
      </c>
      <c r="K756">
        <v>1</v>
      </c>
      <c r="L756">
        <v>11</v>
      </c>
      <c r="M756">
        <v>0.32500000000000001</v>
      </c>
      <c r="N756">
        <v>1.17E-2</v>
      </c>
      <c r="O756">
        <v>0</v>
      </c>
      <c r="P756">
        <v>0.13900000000000001</v>
      </c>
      <c r="Q756">
        <v>0.66300000000000003</v>
      </c>
      <c r="R756">
        <v>124.036</v>
      </c>
      <c r="S756">
        <v>4</v>
      </c>
      <c r="T756">
        <v>145161</v>
      </c>
      <c r="U756">
        <v>4</v>
      </c>
      <c r="V756">
        <v>145161</v>
      </c>
      <c r="W756">
        <v>4</v>
      </c>
      <c r="X756">
        <v>145161</v>
      </c>
      <c r="Y756" t="s">
        <v>17</v>
      </c>
      <c r="Z756" t="str">
        <f>LOOKUP(B756,{0,1083,124200,681950},{"1st","2nd","3rd","4th"})&amp;" Quartile"</f>
        <v>1st Quartile</v>
      </c>
    </row>
    <row r="757" spans="1:26">
      <c r="A757">
        <v>2020</v>
      </c>
      <c r="B757">
        <v>340</v>
      </c>
      <c r="C757" t="s">
        <v>719</v>
      </c>
      <c r="D757" t="s">
        <v>718</v>
      </c>
      <c r="E757">
        <v>82</v>
      </c>
      <c r="F757" t="s">
        <v>717</v>
      </c>
      <c r="G757">
        <v>73</v>
      </c>
      <c r="H757">
        <v>0.92500000000000004</v>
      </c>
      <c r="I757">
        <v>0.65900000000000003</v>
      </c>
      <c r="J757">
        <v>-4.7629999999999999</v>
      </c>
      <c r="K757">
        <v>1</v>
      </c>
      <c r="L757">
        <v>3</v>
      </c>
      <c r="M757">
        <v>0.23100000000000001</v>
      </c>
      <c r="N757">
        <v>0.20599999999999999</v>
      </c>
      <c r="O757">
        <v>7.8800000000000004E-5</v>
      </c>
      <c r="P757">
        <v>0.27900000000000003</v>
      </c>
      <c r="Q757">
        <v>0.71</v>
      </c>
      <c r="R757">
        <v>97.018000000000001</v>
      </c>
      <c r="S757">
        <v>4</v>
      </c>
      <c r="T757">
        <v>214227</v>
      </c>
      <c r="U757">
        <v>4</v>
      </c>
      <c r="V757">
        <v>214227</v>
      </c>
      <c r="W757">
        <v>4</v>
      </c>
      <c r="X757">
        <v>214227</v>
      </c>
      <c r="Y757" t="s">
        <v>17</v>
      </c>
      <c r="Z757" t="str">
        <f>LOOKUP(B757,{0,1083,124200,681950},{"1st","2nd","3rd","4th"})&amp;" Quartile"</f>
        <v>1st Quartile</v>
      </c>
    </row>
    <row r="758" spans="1:26">
      <c r="A758">
        <v>2020</v>
      </c>
      <c r="B758">
        <v>335</v>
      </c>
      <c r="C758" t="s">
        <v>776</v>
      </c>
      <c r="D758" t="s">
        <v>777</v>
      </c>
      <c r="E758">
        <v>1</v>
      </c>
      <c r="F758" t="s">
        <v>776</v>
      </c>
      <c r="G758">
        <v>0</v>
      </c>
      <c r="H758">
        <v>0.89400000000000002</v>
      </c>
      <c r="I758">
        <v>0.627</v>
      </c>
      <c r="J758">
        <v>-9.4079999999999995</v>
      </c>
      <c r="K758">
        <v>1</v>
      </c>
      <c r="L758">
        <v>7</v>
      </c>
      <c r="M758">
        <v>0.63900000000000001</v>
      </c>
      <c r="N758">
        <v>7.5800000000000006E-2</v>
      </c>
      <c r="O758">
        <v>0</v>
      </c>
      <c r="P758">
        <v>0.108</v>
      </c>
      <c r="Q758">
        <v>0.38300000000000001</v>
      </c>
      <c r="R758">
        <v>139.91</v>
      </c>
      <c r="S758">
        <v>4</v>
      </c>
      <c r="T758">
        <v>118075</v>
      </c>
      <c r="U758">
        <v>4</v>
      </c>
      <c r="V758">
        <v>118075</v>
      </c>
      <c r="W758">
        <v>4</v>
      </c>
      <c r="X758">
        <v>118075</v>
      </c>
      <c r="Y758" t="s">
        <v>17</v>
      </c>
      <c r="Z758" t="str">
        <f>LOOKUP(B758,{0,1083,124200,681950},{"1st","2nd","3rd","4th"})&amp;" Quartile"</f>
        <v>1st Quartile</v>
      </c>
    </row>
    <row r="759" spans="1:26">
      <c r="A759">
        <v>2019</v>
      </c>
      <c r="B759">
        <v>331</v>
      </c>
      <c r="C759" t="s">
        <v>170</v>
      </c>
      <c r="D759" t="s">
        <v>169</v>
      </c>
      <c r="E759">
        <v>61</v>
      </c>
      <c r="F759" t="s">
        <v>168</v>
      </c>
      <c r="G759">
        <v>45</v>
      </c>
      <c r="H759">
        <v>0.48199999999999998</v>
      </c>
      <c r="I759">
        <v>0.27300000000000002</v>
      </c>
      <c r="J759">
        <v>-13.396000000000001</v>
      </c>
      <c r="K759">
        <v>1</v>
      </c>
      <c r="L759">
        <v>0</v>
      </c>
      <c r="M759">
        <v>4.2999999999999997E-2</v>
      </c>
      <c r="N759">
        <v>0.79200000000000004</v>
      </c>
      <c r="O759">
        <v>2.2300000000000002E-3</v>
      </c>
      <c r="P759">
        <v>0.109</v>
      </c>
      <c r="Q759">
        <v>0.14199999999999999</v>
      </c>
      <c r="R759">
        <v>118.952</v>
      </c>
      <c r="S759">
        <v>4</v>
      </c>
      <c r="T759">
        <v>143290</v>
      </c>
      <c r="U759">
        <v>4</v>
      </c>
      <c r="V759">
        <v>143290</v>
      </c>
      <c r="W759">
        <v>4</v>
      </c>
      <c r="X759">
        <v>143290</v>
      </c>
      <c r="Y759" t="s">
        <v>17</v>
      </c>
      <c r="Z759" t="str">
        <f>LOOKUP(B759,{0,1083,124200,681950},{"1st","2nd","3rd","4th"})&amp;" Quartile"</f>
        <v>1st Quartile</v>
      </c>
    </row>
    <row r="760" spans="1:26">
      <c r="A760">
        <v>2020</v>
      </c>
      <c r="B760">
        <v>321</v>
      </c>
      <c r="C760" t="s">
        <v>828</v>
      </c>
      <c r="D760" t="s">
        <v>175</v>
      </c>
      <c r="E760">
        <v>88</v>
      </c>
      <c r="F760" t="s">
        <v>174</v>
      </c>
      <c r="G760">
        <v>68</v>
      </c>
      <c r="H760">
        <v>0.80700000000000005</v>
      </c>
      <c r="I760">
        <v>0.78300000000000003</v>
      </c>
      <c r="J760">
        <v>-3.1150000000000002</v>
      </c>
      <c r="K760">
        <v>1</v>
      </c>
      <c r="L760">
        <v>5</v>
      </c>
      <c r="M760">
        <v>9.64E-2</v>
      </c>
      <c r="N760">
        <v>0.35099999999999998</v>
      </c>
      <c r="O760">
        <v>0</v>
      </c>
      <c r="P760">
        <v>0.14000000000000001</v>
      </c>
      <c r="Q760">
        <v>0.59199999999999997</v>
      </c>
      <c r="R760">
        <v>127.996</v>
      </c>
      <c r="S760">
        <v>4</v>
      </c>
      <c r="T760">
        <v>195213</v>
      </c>
      <c r="U760">
        <v>4</v>
      </c>
      <c r="V760">
        <v>195213</v>
      </c>
      <c r="W760">
        <v>4</v>
      </c>
      <c r="X760">
        <v>195213</v>
      </c>
      <c r="Y760" t="s">
        <v>17</v>
      </c>
      <c r="Z760" t="str">
        <f>LOOKUP(B760,{0,1083,124200,681950},{"1st","2nd","3rd","4th"})&amp;" Quartile"</f>
        <v>1st Quartile</v>
      </c>
    </row>
    <row r="761" spans="1:26">
      <c r="A761">
        <v>2020</v>
      </c>
      <c r="B761">
        <v>319</v>
      </c>
      <c r="C761" t="s">
        <v>738</v>
      </c>
      <c r="D761" t="s">
        <v>737</v>
      </c>
      <c r="E761">
        <v>75</v>
      </c>
      <c r="F761" t="s">
        <v>736</v>
      </c>
      <c r="G761">
        <v>68</v>
      </c>
      <c r="H761">
        <v>0.83899999999999997</v>
      </c>
      <c r="I761">
        <v>0.47299999999999998</v>
      </c>
      <c r="J761">
        <v>-7.835</v>
      </c>
      <c r="K761">
        <v>0</v>
      </c>
      <c r="L761">
        <v>10</v>
      </c>
      <c r="M761">
        <v>6.0699999999999997E-2</v>
      </c>
      <c r="N761">
        <v>0.64100000000000001</v>
      </c>
      <c r="O761">
        <v>4.5899999999999999E-4</v>
      </c>
      <c r="P761">
        <v>9.3899999999999997E-2</v>
      </c>
      <c r="Q761">
        <v>6.4399999999999999E-2</v>
      </c>
      <c r="R761">
        <v>98.731999999999999</v>
      </c>
      <c r="S761">
        <v>4</v>
      </c>
      <c r="T761">
        <v>135016</v>
      </c>
      <c r="U761">
        <v>4</v>
      </c>
      <c r="V761">
        <v>135016</v>
      </c>
      <c r="W761">
        <v>4</v>
      </c>
      <c r="X761">
        <v>135016</v>
      </c>
      <c r="Y761" t="s">
        <v>17</v>
      </c>
      <c r="Z761" t="str">
        <f>LOOKUP(B761,{0,1083,124200,681950},{"1st","2nd","3rd","4th"})&amp;" Quartile"</f>
        <v>1st Quartile</v>
      </c>
    </row>
    <row r="762" spans="1:26">
      <c r="A762">
        <v>2020</v>
      </c>
      <c r="B762">
        <v>305</v>
      </c>
      <c r="C762" t="s">
        <v>693</v>
      </c>
      <c r="D762" t="s">
        <v>692</v>
      </c>
      <c r="E762">
        <v>78</v>
      </c>
      <c r="F762" t="s">
        <v>691</v>
      </c>
      <c r="G762">
        <v>4</v>
      </c>
      <c r="H762">
        <v>0.874</v>
      </c>
      <c r="I762">
        <v>0.443</v>
      </c>
      <c r="J762">
        <v>-9.6280000000000001</v>
      </c>
      <c r="K762">
        <v>0</v>
      </c>
      <c r="L762">
        <v>5</v>
      </c>
      <c r="M762">
        <v>0.24099999999999999</v>
      </c>
      <c r="N762">
        <v>0.14699999999999999</v>
      </c>
      <c r="O762">
        <v>0</v>
      </c>
      <c r="P762">
        <v>0.124</v>
      </c>
      <c r="Q762">
        <v>0.29799999999999999</v>
      </c>
      <c r="R762">
        <v>118.004</v>
      </c>
      <c r="S762">
        <v>4</v>
      </c>
      <c r="T762">
        <v>235988</v>
      </c>
      <c r="U762">
        <v>4</v>
      </c>
      <c r="V762">
        <v>235988</v>
      </c>
      <c r="W762">
        <v>4</v>
      </c>
      <c r="X762">
        <v>235988</v>
      </c>
      <c r="Y762" t="s">
        <v>17</v>
      </c>
      <c r="Z762" t="str">
        <f>LOOKUP(B762,{0,1083,124200,681950},{"1st","2nd","3rd","4th"})&amp;" Quartile"</f>
        <v>1st Quartile</v>
      </c>
    </row>
    <row r="763" spans="1:26">
      <c r="A763">
        <v>2020</v>
      </c>
      <c r="B763">
        <v>304</v>
      </c>
      <c r="C763" t="s">
        <v>693</v>
      </c>
      <c r="D763" t="s">
        <v>692</v>
      </c>
      <c r="E763">
        <v>78</v>
      </c>
      <c r="F763" t="s">
        <v>691</v>
      </c>
      <c r="G763">
        <v>71</v>
      </c>
      <c r="H763">
        <v>0.874</v>
      </c>
      <c r="I763">
        <v>0.443</v>
      </c>
      <c r="J763">
        <v>-9.6280000000000001</v>
      </c>
      <c r="K763">
        <v>0</v>
      </c>
      <c r="L763">
        <v>5</v>
      </c>
      <c r="M763">
        <v>0.24099999999999999</v>
      </c>
      <c r="N763">
        <v>0.14699999999999999</v>
      </c>
      <c r="O763">
        <v>0</v>
      </c>
      <c r="P763">
        <v>0.124</v>
      </c>
      <c r="Q763">
        <v>0.29799999999999999</v>
      </c>
      <c r="R763">
        <v>118.004</v>
      </c>
      <c r="S763">
        <v>4</v>
      </c>
      <c r="T763">
        <v>235988</v>
      </c>
      <c r="U763">
        <v>4</v>
      </c>
      <c r="V763">
        <v>235988</v>
      </c>
      <c r="W763">
        <v>4</v>
      </c>
      <c r="X763">
        <v>235988</v>
      </c>
      <c r="Y763" t="s">
        <v>17</v>
      </c>
      <c r="Z763" t="str">
        <f>LOOKUP(B763,{0,1083,124200,681950},{"1st","2nd","3rd","4th"})&amp;" Quartile"</f>
        <v>1st Quartile</v>
      </c>
    </row>
    <row r="764" spans="1:26">
      <c r="A764">
        <v>2019</v>
      </c>
      <c r="B764">
        <v>302</v>
      </c>
      <c r="C764" t="s">
        <v>203</v>
      </c>
      <c r="D764" t="s">
        <v>202</v>
      </c>
      <c r="E764">
        <v>72</v>
      </c>
      <c r="F764" t="s">
        <v>201</v>
      </c>
      <c r="G764">
        <v>60</v>
      </c>
      <c r="H764">
        <v>0.42899999999999999</v>
      </c>
      <c r="I764">
        <v>0.54300000000000004</v>
      </c>
      <c r="J764">
        <v>-9.1389999999999993</v>
      </c>
      <c r="K764">
        <v>1</v>
      </c>
      <c r="L764">
        <v>5</v>
      </c>
      <c r="M764">
        <v>3.4700000000000002E-2</v>
      </c>
      <c r="N764">
        <v>0.53600000000000003</v>
      </c>
      <c r="O764">
        <v>2.5400000000000001E-5</v>
      </c>
      <c r="P764">
        <v>0.125</v>
      </c>
      <c r="Q764">
        <v>0.69299999999999995</v>
      </c>
      <c r="R764">
        <v>122.619</v>
      </c>
      <c r="S764">
        <v>4</v>
      </c>
      <c r="T764">
        <v>145107</v>
      </c>
      <c r="U764">
        <v>4</v>
      </c>
      <c r="V764">
        <v>145107</v>
      </c>
      <c r="W764">
        <v>4</v>
      </c>
      <c r="X764">
        <v>145107</v>
      </c>
      <c r="Y764" t="s">
        <v>17</v>
      </c>
      <c r="Z764" t="str">
        <f>LOOKUP(B764,{0,1083,124200,681950},{"1st","2nd","3rd","4th"})&amp;" Quartile"</f>
        <v>1st Quartile</v>
      </c>
    </row>
    <row r="765" spans="1:26">
      <c r="A765">
        <v>2021</v>
      </c>
      <c r="B765">
        <v>300</v>
      </c>
      <c r="C765" t="s">
        <v>1508</v>
      </c>
      <c r="D765" t="s">
        <v>899</v>
      </c>
      <c r="E765">
        <v>85</v>
      </c>
      <c r="F765" t="s">
        <v>1382</v>
      </c>
      <c r="G765">
        <v>88</v>
      </c>
      <c r="H765">
        <v>0.442</v>
      </c>
      <c r="I765">
        <v>0.61199999999999999</v>
      </c>
      <c r="J765">
        <v>-7.2220000000000004</v>
      </c>
      <c r="K765">
        <v>1</v>
      </c>
      <c r="L765">
        <v>2</v>
      </c>
      <c r="M765">
        <v>0.112</v>
      </c>
      <c r="N765">
        <v>0.58399999999999996</v>
      </c>
      <c r="O765">
        <v>5.6999999999999996E-6</v>
      </c>
      <c r="P765">
        <v>0.37</v>
      </c>
      <c r="Q765">
        <v>0.17799999999999999</v>
      </c>
      <c r="R765">
        <v>180.917</v>
      </c>
      <c r="S765">
        <v>4</v>
      </c>
      <c r="T765">
        <v>215507</v>
      </c>
      <c r="U765">
        <v>4</v>
      </c>
      <c r="V765">
        <v>215507</v>
      </c>
      <c r="W765">
        <v>4</v>
      </c>
      <c r="X765">
        <v>215507</v>
      </c>
      <c r="Y765" t="s">
        <v>17</v>
      </c>
      <c r="Z765" t="str">
        <f>LOOKUP(B765,{0,1083,124200,681950},{"1st","2nd","3rd","4th"})&amp;" Quartile"</f>
        <v>1st Quartile</v>
      </c>
    </row>
    <row r="766" spans="1:26">
      <c r="A766">
        <v>2021</v>
      </c>
      <c r="B766">
        <v>271</v>
      </c>
      <c r="C766" t="s">
        <v>1150</v>
      </c>
      <c r="D766" t="s">
        <v>1151</v>
      </c>
      <c r="E766">
        <v>75</v>
      </c>
      <c r="F766" t="s">
        <v>1150</v>
      </c>
      <c r="G766">
        <v>76</v>
      </c>
      <c r="H766">
        <v>0.752</v>
      </c>
      <c r="I766">
        <v>0.49399999999999999</v>
      </c>
      <c r="J766">
        <v>-8.18</v>
      </c>
      <c r="K766">
        <v>1</v>
      </c>
      <c r="L766">
        <v>0</v>
      </c>
      <c r="M766">
        <v>5.5899999999999998E-2</v>
      </c>
      <c r="N766">
        <v>0.432</v>
      </c>
      <c r="O766">
        <v>0</v>
      </c>
      <c r="P766">
        <v>8.6900000000000005E-2</v>
      </c>
      <c r="Q766">
        <v>0.22700000000000001</v>
      </c>
      <c r="R766">
        <v>117.901</v>
      </c>
      <c r="S766">
        <v>4</v>
      </c>
      <c r="T766">
        <v>171356</v>
      </c>
      <c r="U766">
        <v>4</v>
      </c>
      <c r="V766">
        <v>171356</v>
      </c>
      <c r="W766">
        <v>4</v>
      </c>
      <c r="X766">
        <v>171356</v>
      </c>
      <c r="Y766" t="s">
        <v>17</v>
      </c>
      <c r="Z766" t="str">
        <f>LOOKUP(B766,{0,1083,124200,681950},{"1st","2nd","3rd","4th"})&amp;" Quartile"</f>
        <v>1st Quartile</v>
      </c>
    </row>
    <row r="767" spans="1:26">
      <c r="A767">
        <v>2019</v>
      </c>
      <c r="B767">
        <v>233</v>
      </c>
      <c r="C767" t="s">
        <v>335</v>
      </c>
      <c r="D767" t="s">
        <v>130</v>
      </c>
      <c r="E767">
        <v>61</v>
      </c>
      <c r="F767" t="s">
        <v>129</v>
      </c>
      <c r="G767">
        <v>63</v>
      </c>
      <c r="H767">
        <v>0.73799999999999999</v>
      </c>
      <c r="I767">
        <v>0.53200000000000003</v>
      </c>
      <c r="J767">
        <v>-7.9669999999999996</v>
      </c>
      <c r="K767">
        <v>0</v>
      </c>
      <c r="L767">
        <v>11</v>
      </c>
      <c r="M767">
        <v>0.187</v>
      </c>
      <c r="N767">
        <v>0.30199999999999999</v>
      </c>
      <c r="O767">
        <v>0</v>
      </c>
      <c r="P767">
        <v>8.5500000000000007E-2</v>
      </c>
      <c r="Q767">
        <v>0.59599999999999997</v>
      </c>
      <c r="R767">
        <v>143.99100000000001</v>
      </c>
      <c r="S767">
        <v>4</v>
      </c>
      <c r="T767">
        <v>410089</v>
      </c>
      <c r="U767">
        <v>4</v>
      </c>
      <c r="V767">
        <v>410089</v>
      </c>
      <c r="W767">
        <v>4</v>
      </c>
      <c r="X767">
        <v>410089</v>
      </c>
      <c r="Y767" t="s">
        <v>17</v>
      </c>
      <c r="Z767" t="str">
        <f>LOOKUP(B767,{0,1083,124200,681950},{"1st","2nd","3rd","4th"})&amp;" Quartile"</f>
        <v>1st Quartile</v>
      </c>
    </row>
    <row r="768" spans="1:26">
      <c r="A768">
        <v>2019</v>
      </c>
      <c r="B768">
        <v>230</v>
      </c>
      <c r="C768" t="s">
        <v>564</v>
      </c>
      <c r="D768" t="s">
        <v>563</v>
      </c>
      <c r="E768">
        <v>80</v>
      </c>
      <c r="F768" t="s">
        <v>562</v>
      </c>
      <c r="G768">
        <v>56</v>
      </c>
      <c r="H768">
        <v>0.61099999999999999</v>
      </c>
      <c r="I768">
        <v>0.93600000000000005</v>
      </c>
      <c r="J768">
        <v>-3.6970000000000001</v>
      </c>
      <c r="K768">
        <v>0</v>
      </c>
      <c r="L768">
        <v>7</v>
      </c>
      <c r="M768">
        <v>0.11</v>
      </c>
      <c r="N768">
        <v>3.09E-2</v>
      </c>
      <c r="O768">
        <v>0</v>
      </c>
      <c r="P768">
        <v>0.12</v>
      </c>
      <c r="Q768">
        <v>0.69699999999999995</v>
      </c>
      <c r="R768">
        <v>144.90100000000001</v>
      </c>
      <c r="S768">
        <v>4</v>
      </c>
      <c r="T768">
        <v>201427</v>
      </c>
      <c r="U768">
        <v>4</v>
      </c>
      <c r="V768">
        <v>201427</v>
      </c>
      <c r="W768">
        <v>4</v>
      </c>
      <c r="X768">
        <v>201427</v>
      </c>
      <c r="Y768" t="s">
        <v>17</v>
      </c>
      <c r="Z768" t="str">
        <f>LOOKUP(B768,{0,1083,124200,681950},{"1st","2nd","3rd","4th"})&amp;" Quartile"</f>
        <v>1st Quartile</v>
      </c>
    </row>
    <row r="769" spans="1:26">
      <c r="A769">
        <v>2022</v>
      </c>
      <c r="B769">
        <v>220</v>
      </c>
      <c r="C769" t="s">
        <v>1708</v>
      </c>
      <c r="D769" t="s">
        <v>1709</v>
      </c>
      <c r="E769">
        <v>61</v>
      </c>
      <c r="F769" t="s">
        <v>1708</v>
      </c>
      <c r="G769">
        <v>65</v>
      </c>
      <c r="H769">
        <v>0.61499999999999999</v>
      </c>
      <c r="I769">
        <v>0.82899999999999996</v>
      </c>
      <c r="J769">
        <v>-4.5670000000000002</v>
      </c>
      <c r="K769">
        <v>1</v>
      </c>
      <c r="L769">
        <v>6</v>
      </c>
      <c r="M769">
        <v>4.2099999999999999E-2</v>
      </c>
      <c r="N769">
        <v>5.5500000000000001E-2</v>
      </c>
      <c r="O769">
        <v>1.56E-3</v>
      </c>
      <c r="P769">
        <v>0.42599999999999999</v>
      </c>
      <c r="Q769">
        <v>7.5399999999999995E-2</v>
      </c>
      <c r="R769">
        <v>124.01300000000001</v>
      </c>
      <c r="S769">
        <v>4</v>
      </c>
      <c r="T769">
        <v>203226</v>
      </c>
      <c r="U769">
        <v>4</v>
      </c>
      <c r="V769">
        <v>203226</v>
      </c>
      <c r="W769">
        <v>4</v>
      </c>
      <c r="X769">
        <v>203226</v>
      </c>
      <c r="Y769" t="s">
        <v>17</v>
      </c>
      <c r="Z769" t="str">
        <f>LOOKUP(B769,{0,1083,124200,681950},{"1st","2nd","3rd","4th"})&amp;" Quartile"</f>
        <v>1st Quartile</v>
      </c>
    </row>
    <row r="770" spans="1:26">
      <c r="A770">
        <v>2020</v>
      </c>
      <c r="B770">
        <v>220</v>
      </c>
      <c r="C770" t="s">
        <v>999</v>
      </c>
      <c r="D770" t="s">
        <v>442</v>
      </c>
      <c r="E770">
        <v>72</v>
      </c>
      <c r="F770" t="s">
        <v>619</v>
      </c>
      <c r="G770">
        <v>53</v>
      </c>
      <c r="H770">
        <v>0.84799999999999998</v>
      </c>
      <c r="I770">
        <v>0.69399999999999995</v>
      </c>
      <c r="J770">
        <v>-4.2720000000000002</v>
      </c>
      <c r="K770">
        <v>1</v>
      </c>
      <c r="L770">
        <v>1</v>
      </c>
      <c r="M770">
        <v>5.7200000000000001E-2</v>
      </c>
      <c r="N770">
        <v>4.9299999999999997E-2</v>
      </c>
      <c r="O770">
        <v>1.15E-5</v>
      </c>
      <c r="P770">
        <v>0.105</v>
      </c>
      <c r="Q770">
        <v>0.72799999999999998</v>
      </c>
      <c r="R770">
        <v>130.07499999999999</v>
      </c>
      <c r="S770">
        <v>4</v>
      </c>
      <c r="T770">
        <v>251013</v>
      </c>
      <c r="U770">
        <v>4</v>
      </c>
      <c r="V770">
        <v>251013</v>
      </c>
      <c r="W770">
        <v>4</v>
      </c>
      <c r="X770">
        <v>251013</v>
      </c>
      <c r="Y770" t="s">
        <v>17</v>
      </c>
      <c r="Z770" t="str">
        <f>LOOKUP(B770,{0,1083,124200,681950},{"1st","2nd","3rd","4th"})&amp;" Quartile"</f>
        <v>1st Quartile</v>
      </c>
    </row>
    <row r="771" spans="1:26">
      <c r="A771">
        <v>2019</v>
      </c>
      <c r="B771">
        <v>213</v>
      </c>
      <c r="C771" t="s">
        <v>274</v>
      </c>
      <c r="D771" t="s">
        <v>273</v>
      </c>
      <c r="E771">
        <v>39</v>
      </c>
      <c r="F771" t="s">
        <v>272</v>
      </c>
      <c r="G771">
        <v>52</v>
      </c>
      <c r="H771">
        <v>0.68</v>
      </c>
      <c r="I771">
        <v>0.32</v>
      </c>
      <c r="J771">
        <v>-7.5439999999999996</v>
      </c>
      <c r="K771">
        <v>0</v>
      </c>
      <c r="L771">
        <v>10</v>
      </c>
      <c r="M771">
        <v>2.8899999999999999E-2</v>
      </c>
      <c r="N771">
        <v>0.95399999999999996</v>
      </c>
      <c r="O771">
        <v>0</v>
      </c>
      <c r="P771">
        <v>9.4799999999999995E-2</v>
      </c>
      <c r="Q771">
        <v>0.76900000000000002</v>
      </c>
      <c r="R771">
        <v>108.07</v>
      </c>
      <c r="S771">
        <v>4</v>
      </c>
      <c r="T771">
        <v>115227</v>
      </c>
      <c r="U771">
        <v>4</v>
      </c>
      <c r="V771">
        <v>115227</v>
      </c>
      <c r="W771">
        <v>4</v>
      </c>
      <c r="X771">
        <v>115227</v>
      </c>
      <c r="Y771" t="s">
        <v>17</v>
      </c>
      <c r="Z771" t="str">
        <f>LOOKUP(B771,{0,1083,124200,681950},{"1st","2nd","3rd","4th"})&amp;" Quartile"</f>
        <v>1st Quartile</v>
      </c>
    </row>
    <row r="772" spans="1:26">
      <c r="A772">
        <v>2021</v>
      </c>
      <c r="B772">
        <v>201</v>
      </c>
      <c r="C772" t="s">
        <v>1299</v>
      </c>
      <c r="D772" t="s">
        <v>1298</v>
      </c>
      <c r="E772">
        <v>69</v>
      </c>
      <c r="F772" t="s">
        <v>1297</v>
      </c>
      <c r="G772">
        <v>76</v>
      </c>
      <c r="H772">
        <v>0.52600000000000002</v>
      </c>
      <c r="I772">
        <v>0.81799999999999995</v>
      </c>
      <c r="J772">
        <v>-5.952</v>
      </c>
      <c r="K772">
        <v>1</v>
      </c>
      <c r="L772">
        <v>3</v>
      </c>
      <c r="M772">
        <v>3.5799999999999998E-2</v>
      </c>
      <c r="N772">
        <v>5.8700000000000002E-2</v>
      </c>
      <c r="O772">
        <v>0</v>
      </c>
      <c r="P772">
        <v>0.33300000000000002</v>
      </c>
      <c r="Q772">
        <v>0.89600000000000002</v>
      </c>
      <c r="R772">
        <v>171.96</v>
      </c>
      <c r="S772">
        <v>4</v>
      </c>
      <c r="T772">
        <v>185098</v>
      </c>
      <c r="U772">
        <v>4</v>
      </c>
      <c r="V772">
        <v>185098</v>
      </c>
      <c r="W772">
        <v>4</v>
      </c>
      <c r="X772">
        <v>185098</v>
      </c>
      <c r="Y772" t="s">
        <v>17</v>
      </c>
      <c r="Z772" t="str">
        <f>LOOKUP(B772,{0,1083,124200,681950},{"1st","2nd","3rd","4th"})&amp;" Quartile"</f>
        <v>1st Quartile</v>
      </c>
    </row>
    <row r="773" spans="1:26">
      <c r="A773">
        <v>2020</v>
      </c>
      <c r="B773">
        <v>174</v>
      </c>
      <c r="C773" t="s">
        <v>289</v>
      </c>
      <c r="D773" t="s">
        <v>288</v>
      </c>
      <c r="E773">
        <v>85</v>
      </c>
      <c r="F773" t="s">
        <v>619</v>
      </c>
      <c r="G773">
        <v>52</v>
      </c>
      <c r="H773">
        <v>0.68</v>
      </c>
      <c r="I773">
        <v>0.88100000000000001</v>
      </c>
      <c r="J773">
        <v>-3.883</v>
      </c>
      <c r="K773">
        <v>1</v>
      </c>
      <c r="L773">
        <v>11</v>
      </c>
      <c r="M773">
        <v>0.23699999999999999</v>
      </c>
      <c r="N773">
        <v>0.40600000000000003</v>
      </c>
      <c r="O773">
        <v>0</v>
      </c>
      <c r="P773">
        <v>0.24199999999999999</v>
      </c>
      <c r="Q773">
        <v>0.38600000000000001</v>
      </c>
      <c r="R773">
        <v>97.941000000000003</v>
      </c>
      <c r="S773">
        <v>4</v>
      </c>
      <c r="T773">
        <v>279307</v>
      </c>
      <c r="U773">
        <v>4</v>
      </c>
      <c r="V773">
        <v>279307</v>
      </c>
      <c r="W773">
        <v>4</v>
      </c>
      <c r="X773">
        <v>279307</v>
      </c>
      <c r="Y773" t="s">
        <v>17</v>
      </c>
      <c r="Z773" t="str">
        <f>LOOKUP(B773,{0,1083,124200,681950},{"1st","2nd","3rd","4th"})&amp;" Quartile"</f>
        <v>1st Quartile</v>
      </c>
    </row>
    <row r="774" spans="1:26">
      <c r="A774">
        <v>2019</v>
      </c>
      <c r="B774">
        <v>174</v>
      </c>
      <c r="C774" t="s">
        <v>289</v>
      </c>
      <c r="D774" t="s">
        <v>288</v>
      </c>
      <c r="E774">
        <v>85</v>
      </c>
      <c r="F774" t="s">
        <v>287</v>
      </c>
      <c r="G774">
        <v>0</v>
      </c>
      <c r="H774">
        <v>0.68</v>
      </c>
      <c r="I774">
        <v>0.88200000000000001</v>
      </c>
      <c r="J774">
        <v>-3.883</v>
      </c>
      <c r="K774">
        <v>1</v>
      </c>
      <c r="L774">
        <v>11</v>
      </c>
      <c r="M774">
        <v>0.23599999999999999</v>
      </c>
      <c r="N774">
        <v>0.40600000000000003</v>
      </c>
      <c r="O774">
        <v>0</v>
      </c>
      <c r="P774">
        <v>0.24099999999999999</v>
      </c>
      <c r="Q774">
        <v>0.38600000000000001</v>
      </c>
      <c r="R774">
        <v>97.942999999999998</v>
      </c>
      <c r="S774">
        <v>4</v>
      </c>
      <c r="T774">
        <v>279307</v>
      </c>
      <c r="U774">
        <v>4</v>
      </c>
      <c r="V774">
        <v>279307</v>
      </c>
      <c r="W774">
        <v>4</v>
      </c>
      <c r="X774">
        <v>279307</v>
      </c>
      <c r="Y774" t="s">
        <v>17</v>
      </c>
      <c r="Z774" t="str">
        <f>LOOKUP(B774,{0,1083,124200,681950},{"1st","2nd","3rd","4th"})&amp;" Quartile"</f>
        <v>1st Quartile</v>
      </c>
    </row>
    <row r="775" spans="1:26">
      <c r="A775">
        <v>2021</v>
      </c>
      <c r="B775">
        <v>170</v>
      </c>
      <c r="C775" t="s">
        <v>1173</v>
      </c>
      <c r="D775" t="s">
        <v>319</v>
      </c>
      <c r="E775">
        <v>90</v>
      </c>
      <c r="F775" t="s">
        <v>1172</v>
      </c>
      <c r="G775">
        <v>72</v>
      </c>
      <c r="H775">
        <v>0.58099999999999996</v>
      </c>
      <c r="I775">
        <v>0.68100000000000005</v>
      </c>
      <c r="J775">
        <v>-4.4690000000000003</v>
      </c>
      <c r="K775">
        <v>1</v>
      </c>
      <c r="L775">
        <v>7</v>
      </c>
      <c r="M775">
        <v>4.3499999999999997E-2</v>
      </c>
      <c r="N775">
        <v>4.7199999999999999E-2</v>
      </c>
      <c r="O775">
        <v>0</v>
      </c>
      <c r="P775">
        <v>0.104</v>
      </c>
      <c r="Q775">
        <v>0.63400000000000001</v>
      </c>
      <c r="R775">
        <v>176.03399999999999</v>
      </c>
      <c r="S775">
        <v>4</v>
      </c>
      <c r="T775">
        <v>256800</v>
      </c>
      <c r="U775">
        <v>4</v>
      </c>
      <c r="V775">
        <v>256800</v>
      </c>
      <c r="W775">
        <v>4</v>
      </c>
      <c r="X775">
        <v>256800</v>
      </c>
      <c r="Y775" t="s">
        <v>17</v>
      </c>
      <c r="Z775" t="str">
        <f>LOOKUP(B775,{0,1083,124200,681950},{"1st","2nd","3rd","4th"})&amp;" Quartile"</f>
        <v>1st Quartile</v>
      </c>
    </row>
    <row r="776" spans="1:26">
      <c r="A776">
        <v>2019</v>
      </c>
      <c r="B776">
        <v>167</v>
      </c>
      <c r="C776" t="s">
        <v>314</v>
      </c>
      <c r="D776" t="s">
        <v>313</v>
      </c>
      <c r="E776">
        <v>52</v>
      </c>
      <c r="F776" t="s">
        <v>312</v>
      </c>
      <c r="G776">
        <v>56</v>
      </c>
      <c r="H776">
        <v>0.56499999999999995</v>
      </c>
      <c r="I776">
        <v>0.61799999999999999</v>
      </c>
      <c r="J776">
        <v>-11.316000000000001</v>
      </c>
      <c r="K776">
        <v>0</v>
      </c>
      <c r="L776">
        <v>1</v>
      </c>
      <c r="M776">
        <v>0.104</v>
      </c>
      <c r="N776">
        <v>6.9699999999999998E-2</v>
      </c>
      <c r="O776">
        <v>6.3700000000000003E-5</v>
      </c>
      <c r="P776">
        <v>0.50900000000000001</v>
      </c>
      <c r="Q776">
        <v>0.5</v>
      </c>
      <c r="R776">
        <v>106.337</v>
      </c>
      <c r="S776">
        <v>4</v>
      </c>
      <c r="T776">
        <v>170299</v>
      </c>
      <c r="U776">
        <v>4</v>
      </c>
      <c r="V776">
        <v>170299</v>
      </c>
      <c r="W776">
        <v>4</v>
      </c>
      <c r="X776">
        <v>170299</v>
      </c>
      <c r="Y776" t="s">
        <v>17</v>
      </c>
      <c r="Z776" t="str">
        <f>LOOKUP(B776,{0,1083,124200,681950},{"1st","2nd","3rd","4th"})&amp;" Quartile"</f>
        <v>1st Quartile</v>
      </c>
    </row>
    <row r="777" spans="1:26">
      <c r="A777">
        <v>2020</v>
      </c>
      <c r="B777">
        <v>162</v>
      </c>
      <c r="C777" t="s">
        <v>729</v>
      </c>
      <c r="D777" t="s">
        <v>728</v>
      </c>
      <c r="E777">
        <v>69</v>
      </c>
      <c r="F777" t="s">
        <v>727</v>
      </c>
      <c r="G777">
        <v>66</v>
      </c>
      <c r="H777">
        <v>0.78500000000000003</v>
      </c>
      <c r="I777">
        <v>0.42499999999999999</v>
      </c>
      <c r="J777">
        <v>-6.665</v>
      </c>
      <c r="K777">
        <v>1</v>
      </c>
      <c r="L777">
        <v>10</v>
      </c>
      <c r="M777">
        <v>0.13700000000000001</v>
      </c>
      <c r="N777">
        <v>3.3500000000000002E-2</v>
      </c>
      <c r="O777">
        <v>4.3599999999999998E-6</v>
      </c>
      <c r="P777">
        <v>0.108</v>
      </c>
      <c r="Q777">
        <v>0.192</v>
      </c>
      <c r="R777">
        <v>174.02799999999999</v>
      </c>
      <c r="S777">
        <v>4</v>
      </c>
      <c r="T777">
        <v>166627</v>
      </c>
      <c r="U777">
        <v>4</v>
      </c>
      <c r="V777">
        <v>166627</v>
      </c>
      <c r="W777">
        <v>4</v>
      </c>
      <c r="X777">
        <v>166627</v>
      </c>
      <c r="Y777" t="s">
        <v>17</v>
      </c>
      <c r="Z777" t="str">
        <f>LOOKUP(B777,{0,1083,124200,681950},{"1st","2nd","3rd","4th"})&amp;" Quartile"</f>
        <v>1st Quartile</v>
      </c>
    </row>
    <row r="778" spans="1:26">
      <c r="A778">
        <v>2022</v>
      </c>
      <c r="B778">
        <v>161</v>
      </c>
      <c r="C778" t="s">
        <v>1623</v>
      </c>
      <c r="D778" t="s">
        <v>1624</v>
      </c>
      <c r="E778">
        <v>46</v>
      </c>
      <c r="F778" t="s">
        <v>1623</v>
      </c>
      <c r="G778">
        <v>43</v>
      </c>
      <c r="H778">
        <v>0.68</v>
      </c>
      <c r="I778">
        <v>0.77800000000000002</v>
      </c>
      <c r="J778">
        <v>-6.2939999999999996</v>
      </c>
      <c r="K778">
        <v>1</v>
      </c>
      <c r="L778">
        <v>6</v>
      </c>
      <c r="M778">
        <v>4.3299999999999998E-2</v>
      </c>
      <c r="N778">
        <v>7.0499999999999993E-2</v>
      </c>
      <c r="O778">
        <v>0</v>
      </c>
      <c r="P778">
        <v>0.31</v>
      </c>
      <c r="Q778">
        <v>0.51100000000000001</v>
      </c>
      <c r="R778">
        <v>124.98099999999999</v>
      </c>
      <c r="S778">
        <v>4</v>
      </c>
      <c r="T778">
        <v>172714</v>
      </c>
      <c r="U778">
        <v>4</v>
      </c>
      <c r="V778">
        <v>172714</v>
      </c>
      <c r="W778">
        <v>4</v>
      </c>
      <c r="X778">
        <v>172714</v>
      </c>
      <c r="Y778" t="s">
        <v>17</v>
      </c>
      <c r="Z778" t="str">
        <f>LOOKUP(B778,{0,1083,124200,681950},{"1st","2nd","3rd","4th"})&amp;" Quartile"</f>
        <v>1st Quartile</v>
      </c>
    </row>
    <row r="779" spans="1:26">
      <c r="A779">
        <v>2020</v>
      </c>
      <c r="B779">
        <v>153</v>
      </c>
      <c r="C779" t="s">
        <v>883</v>
      </c>
      <c r="D779" t="s">
        <v>884</v>
      </c>
      <c r="E779">
        <v>65</v>
      </c>
      <c r="F779" t="s">
        <v>883</v>
      </c>
      <c r="G779">
        <v>59</v>
      </c>
      <c r="H779">
        <v>0.51700000000000002</v>
      </c>
      <c r="I779">
        <v>0.747</v>
      </c>
      <c r="J779">
        <v>-4.74</v>
      </c>
      <c r="K779">
        <v>0</v>
      </c>
      <c r="L779">
        <v>6</v>
      </c>
      <c r="M779">
        <v>0.29599999999999999</v>
      </c>
      <c r="N779">
        <v>1.89E-2</v>
      </c>
      <c r="O779">
        <v>7.3499999999999999E-6</v>
      </c>
      <c r="P779">
        <v>8.2100000000000006E-2</v>
      </c>
      <c r="Q779">
        <v>0.50600000000000001</v>
      </c>
      <c r="R779">
        <v>102.033</v>
      </c>
      <c r="S779">
        <v>4</v>
      </c>
      <c r="T779">
        <v>171980</v>
      </c>
      <c r="U779">
        <v>4</v>
      </c>
      <c r="V779">
        <v>171980</v>
      </c>
      <c r="W779">
        <v>4</v>
      </c>
      <c r="X779">
        <v>171980</v>
      </c>
      <c r="Y779" t="s">
        <v>17</v>
      </c>
      <c r="Z779" t="str">
        <f>LOOKUP(B779,{0,1083,124200,681950},{"1st","2nd","3rd","4th"})&amp;" Quartile"</f>
        <v>1st Quartile</v>
      </c>
    </row>
    <row r="780" spans="1:26">
      <c r="A780">
        <v>2022</v>
      </c>
      <c r="B780">
        <v>151</v>
      </c>
      <c r="C780" t="s">
        <v>1752</v>
      </c>
      <c r="D780" t="s">
        <v>1360</v>
      </c>
      <c r="E780">
        <v>81</v>
      </c>
      <c r="F780" t="s">
        <v>1752</v>
      </c>
      <c r="G780">
        <v>87</v>
      </c>
      <c r="H780">
        <v>0.84299999999999997</v>
      </c>
      <c r="I780">
        <v>0.7</v>
      </c>
      <c r="J780">
        <v>-3.5630000000000002</v>
      </c>
      <c r="K780">
        <v>0</v>
      </c>
      <c r="L780">
        <v>4</v>
      </c>
      <c r="M780">
        <v>8.0299999999999996E-2</v>
      </c>
      <c r="N780">
        <v>9.3399999999999997E-2</v>
      </c>
      <c r="O780">
        <v>0</v>
      </c>
      <c r="P780">
        <v>0.14000000000000001</v>
      </c>
      <c r="Q780">
        <v>0.89900000000000002</v>
      </c>
      <c r="R780">
        <v>93.991</v>
      </c>
      <c r="S780">
        <v>4</v>
      </c>
      <c r="T780">
        <v>226088</v>
      </c>
      <c r="U780">
        <v>4</v>
      </c>
      <c r="V780">
        <v>226088</v>
      </c>
      <c r="W780">
        <v>4</v>
      </c>
      <c r="X780">
        <v>226088</v>
      </c>
      <c r="Y780" t="s">
        <v>17</v>
      </c>
      <c r="Z780" t="str">
        <f>LOOKUP(B780,{0,1083,124200,681950},{"1st","2nd","3rd","4th"})&amp;" Quartile"</f>
        <v>1st Quartile</v>
      </c>
    </row>
    <row r="781" spans="1:26">
      <c r="A781">
        <v>2019</v>
      </c>
      <c r="B781">
        <v>147</v>
      </c>
      <c r="C781" t="s">
        <v>325</v>
      </c>
      <c r="D781" t="s">
        <v>326</v>
      </c>
      <c r="E781">
        <v>39</v>
      </c>
      <c r="F781" t="s">
        <v>325</v>
      </c>
      <c r="G781">
        <v>51</v>
      </c>
      <c r="H781">
        <v>0.58799999999999997</v>
      </c>
      <c r="I781">
        <v>0.41199999999999998</v>
      </c>
      <c r="J781">
        <v>-6.226</v>
      </c>
      <c r="K781">
        <v>0</v>
      </c>
      <c r="L781">
        <v>11</v>
      </c>
      <c r="M781">
        <v>3.6299999999999999E-2</v>
      </c>
      <c r="N781">
        <v>0.72</v>
      </c>
      <c r="O781">
        <v>0</v>
      </c>
      <c r="P781">
        <v>0.153</v>
      </c>
      <c r="Q781">
        <v>0.70299999999999996</v>
      </c>
      <c r="R781">
        <v>74.960999999999999</v>
      </c>
      <c r="S781">
        <v>4</v>
      </c>
      <c r="T781">
        <v>158493</v>
      </c>
      <c r="U781">
        <v>4</v>
      </c>
      <c r="V781">
        <v>158493</v>
      </c>
      <c r="W781">
        <v>4</v>
      </c>
      <c r="X781">
        <v>158493</v>
      </c>
      <c r="Y781" t="s">
        <v>17</v>
      </c>
      <c r="Z781" t="str">
        <f>LOOKUP(B781,{0,1083,124200,681950},{"1st","2nd","3rd","4th"})&amp;" Quartile"</f>
        <v>1st Quartile</v>
      </c>
    </row>
    <row r="782" spans="1:26">
      <c r="A782">
        <v>2022</v>
      </c>
      <c r="B782">
        <v>141</v>
      </c>
      <c r="C782" t="s">
        <v>1636</v>
      </c>
      <c r="D782" t="s">
        <v>1637</v>
      </c>
      <c r="E782">
        <v>39</v>
      </c>
      <c r="F782" t="s">
        <v>1636</v>
      </c>
      <c r="G782">
        <v>48</v>
      </c>
      <c r="H782">
        <v>0.71399999999999997</v>
      </c>
      <c r="I782">
        <v>0.66600000000000004</v>
      </c>
      <c r="J782">
        <v>-6.0119999999999996</v>
      </c>
      <c r="K782">
        <v>1</v>
      </c>
      <c r="L782">
        <v>6</v>
      </c>
      <c r="M782">
        <v>7.5600000000000001E-2</v>
      </c>
      <c r="N782">
        <v>0.223</v>
      </c>
      <c r="O782">
        <v>0</v>
      </c>
      <c r="P782">
        <v>0.10199999999999999</v>
      </c>
      <c r="Q782">
        <v>0.48599999999999999</v>
      </c>
      <c r="R782">
        <v>95.064999999999998</v>
      </c>
      <c r="S782">
        <v>4</v>
      </c>
      <c r="T782">
        <v>178261</v>
      </c>
      <c r="U782">
        <v>4</v>
      </c>
      <c r="V782">
        <v>178261</v>
      </c>
      <c r="W782">
        <v>4</v>
      </c>
      <c r="X782">
        <v>178261</v>
      </c>
      <c r="Y782" t="s">
        <v>17</v>
      </c>
      <c r="Z782" t="str">
        <f>LOOKUP(B782,{0,1083,124200,681950},{"1st","2nd","3rd","4th"})&amp;" Quartile"</f>
        <v>1st Quartile</v>
      </c>
    </row>
    <row r="783" spans="1:26">
      <c r="A783">
        <v>2022</v>
      </c>
      <c r="B783">
        <v>137</v>
      </c>
      <c r="C783" t="s">
        <v>1534</v>
      </c>
      <c r="D783" t="s">
        <v>1288</v>
      </c>
      <c r="E783">
        <v>85</v>
      </c>
      <c r="F783" t="s">
        <v>1533</v>
      </c>
      <c r="G783">
        <v>74</v>
      </c>
      <c r="H783">
        <v>0.85099999999999998</v>
      </c>
      <c r="I783">
        <v>0.54100000000000004</v>
      </c>
      <c r="J783">
        <v>-6.8250000000000002</v>
      </c>
      <c r="K783">
        <v>1</v>
      </c>
      <c r="L783">
        <v>0</v>
      </c>
      <c r="M783">
        <v>5.0500000000000003E-2</v>
      </c>
      <c r="N783">
        <v>0.56799999999999995</v>
      </c>
      <c r="O783">
        <v>0</v>
      </c>
      <c r="P783">
        <v>0.13</v>
      </c>
      <c r="Q783">
        <v>0.44800000000000001</v>
      </c>
      <c r="R783">
        <v>124.959</v>
      </c>
      <c r="S783">
        <v>4</v>
      </c>
      <c r="T783">
        <v>235545</v>
      </c>
      <c r="U783">
        <v>4</v>
      </c>
      <c r="V783">
        <v>235545</v>
      </c>
      <c r="W783">
        <v>4</v>
      </c>
      <c r="X783">
        <v>235545</v>
      </c>
      <c r="Y783" t="s">
        <v>17</v>
      </c>
      <c r="Z783" t="str">
        <f>LOOKUP(B783,{0,1083,124200,681950},{"1st","2nd","3rd","4th"})&amp;" Quartile"</f>
        <v>1st Quartile</v>
      </c>
    </row>
    <row r="784" spans="1:26">
      <c r="A784">
        <v>2020</v>
      </c>
      <c r="B784">
        <v>130</v>
      </c>
      <c r="C784" t="s">
        <v>922</v>
      </c>
      <c r="D784" t="s">
        <v>810</v>
      </c>
      <c r="E784">
        <v>71</v>
      </c>
      <c r="F784" t="s">
        <v>922</v>
      </c>
      <c r="G784">
        <v>5</v>
      </c>
      <c r="H784">
        <v>0.74399999999999999</v>
      </c>
      <c r="I784">
        <v>0.42199999999999999</v>
      </c>
      <c r="J784">
        <v>-8.9459999999999997</v>
      </c>
      <c r="K784">
        <v>1</v>
      </c>
      <c r="L784">
        <v>1</v>
      </c>
      <c r="M784">
        <v>0.29399999999999998</v>
      </c>
      <c r="N784">
        <v>3.1899999999999998E-2</v>
      </c>
      <c r="O784">
        <v>1.1E-4</v>
      </c>
      <c r="P784">
        <v>0.11</v>
      </c>
      <c r="Q784">
        <v>0.49299999999999999</v>
      </c>
      <c r="R784">
        <v>180.006</v>
      </c>
      <c r="S784">
        <v>4</v>
      </c>
      <c r="T784">
        <v>202667</v>
      </c>
      <c r="U784">
        <v>4</v>
      </c>
      <c r="V784">
        <v>202667</v>
      </c>
      <c r="W784">
        <v>4</v>
      </c>
      <c r="X784">
        <v>202667</v>
      </c>
      <c r="Y784" t="s">
        <v>17</v>
      </c>
      <c r="Z784" t="str">
        <f>LOOKUP(B784,{0,1083,124200,681950},{"1st","2nd","3rd","4th"})&amp;" Quartile"</f>
        <v>1st Quartile</v>
      </c>
    </row>
    <row r="785" spans="1:26">
      <c r="A785">
        <v>2022</v>
      </c>
      <c r="B785">
        <v>126</v>
      </c>
      <c r="C785" t="s">
        <v>1750</v>
      </c>
      <c r="D785" t="s">
        <v>1751</v>
      </c>
      <c r="E785">
        <v>64</v>
      </c>
      <c r="F785" t="s">
        <v>1750</v>
      </c>
      <c r="G785">
        <v>65</v>
      </c>
      <c r="H785">
        <v>0.57899999999999996</v>
      </c>
      <c r="I785">
        <v>0.72699999999999998</v>
      </c>
      <c r="J785">
        <v>-5.149</v>
      </c>
      <c r="K785">
        <v>0</v>
      </c>
      <c r="L785">
        <v>11</v>
      </c>
      <c r="M785">
        <v>3.9899999999999998E-2</v>
      </c>
      <c r="N785">
        <v>3.2099999999999997E-2</v>
      </c>
      <c r="O785">
        <v>0</v>
      </c>
      <c r="P785">
        <v>0.71399999999999997</v>
      </c>
      <c r="Q785">
        <v>0.246</v>
      </c>
      <c r="R785">
        <v>124.09</v>
      </c>
      <c r="S785">
        <v>4</v>
      </c>
      <c r="T785">
        <v>183091</v>
      </c>
      <c r="U785">
        <v>4</v>
      </c>
      <c r="V785">
        <v>183091</v>
      </c>
      <c r="W785">
        <v>4</v>
      </c>
      <c r="X785">
        <v>183091</v>
      </c>
      <c r="Y785" t="s">
        <v>17</v>
      </c>
      <c r="Z785" t="str">
        <f>LOOKUP(B785,{0,1083,124200,681950},{"1st","2nd","3rd","4th"})&amp;" Quartile"</f>
        <v>1st Quartile</v>
      </c>
    </row>
    <row r="786" spans="1:26">
      <c r="A786">
        <v>2021</v>
      </c>
      <c r="B786">
        <v>123</v>
      </c>
      <c r="C786" t="s">
        <v>1478</v>
      </c>
      <c r="D786" t="s">
        <v>1477</v>
      </c>
      <c r="E786">
        <v>77</v>
      </c>
      <c r="F786" t="s">
        <v>1476</v>
      </c>
      <c r="G786">
        <v>63</v>
      </c>
      <c r="H786">
        <v>0.504</v>
      </c>
      <c r="I786">
        <v>0.71099999999999997</v>
      </c>
      <c r="J786">
        <v>-5.8639999999999999</v>
      </c>
      <c r="K786">
        <v>1</v>
      </c>
      <c r="L786">
        <v>9</v>
      </c>
      <c r="M786">
        <v>4.5199999999999997E-2</v>
      </c>
      <c r="N786">
        <v>5.8500000000000003E-2</v>
      </c>
      <c r="O786">
        <v>1.8300000000000001E-5</v>
      </c>
      <c r="P786">
        <v>0.38200000000000001</v>
      </c>
      <c r="Q786">
        <v>0.5</v>
      </c>
      <c r="R786">
        <v>134.82400000000001</v>
      </c>
      <c r="S786">
        <v>4</v>
      </c>
      <c r="T786">
        <v>232933</v>
      </c>
      <c r="U786">
        <v>4</v>
      </c>
      <c r="V786">
        <v>232933</v>
      </c>
      <c r="W786">
        <v>4</v>
      </c>
      <c r="X786">
        <v>232933</v>
      </c>
      <c r="Y786" t="s">
        <v>17</v>
      </c>
      <c r="Z786" t="str">
        <f>LOOKUP(B786,{0,1083,124200,681950},{"1st","2nd","3rd","4th"})&amp;" Quartile"</f>
        <v>1st Quartile</v>
      </c>
    </row>
    <row r="787" spans="1:26">
      <c r="A787">
        <v>2019</v>
      </c>
      <c r="B787">
        <v>122</v>
      </c>
      <c r="C787" t="s">
        <v>456</v>
      </c>
      <c r="D787" t="s">
        <v>457</v>
      </c>
      <c r="E787">
        <v>56</v>
      </c>
      <c r="F787" t="s">
        <v>456</v>
      </c>
      <c r="G787">
        <v>58</v>
      </c>
      <c r="H787">
        <v>0.78800000000000003</v>
      </c>
      <c r="I787">
        <v>0.49</v>
      </c>
      <c r="J787">
        <v>-6.2869999999999999</v>
      </c>
      <c r="K787">
        <v>1</v>
      </c>
      <c r="L787">
        <v>8</v>
      </c>
      <c r="M787">
        <v>0.51100000000000001</v>
      </c>
      <c r="N787">
        <v>0.313</v>
      </c>
      <c r="O787">
        <v>0</v>
      </c>
      <c r="P787">
        <v>9.6799999999999997E-2</v>
      </c>
      <c r="Q787">
        <v>0.79</v>
      </c>
      <c r="R787">
        <v>177.86500000000001</v>
      </c>
      <c r="S787">
        <v>4</v>
      </c>
      <c r="T787">
        <v>197528</v>
      </c>
      <c r="U787">
        <v>4</v>
      </c>
      <c r="V787">
        <v>197528</v>
      </c>
      <c r="W787">
        <v>4</v>
      </c>
      <c r="X787">
        <v>197528</v>
      </c>
      <c r="Y787" t="s">
        <v>17</v>
      </c>
      <c r="Z787" t="str">
        <f>LOOKUP(B787,{0,1083,124200,681950},{"1st","2nd","3rd","4th"})&amp;" Quartile"</f>
        <v>1st Quartile</v>
      </c>
    </row>
    <row r="788" spans="1:26">
      <c r="A788">
        <v>2019</v>
      </c>
      <c r="B788">
        <v>120</v>
      </c>
      <c r="C788" t="s">
        <v>100</v>
      </c>
      <c r="D788" t="s">
        <v>99</v>
      </c>
      <c r="E788">
        <v>53</v>
      </c>
      <c r="F788" t="s">
        <v>98</v>
      </c>
      <c r="G788">
        <v>65</v>
      </c>
      <c r="H788">
        <v>0.81399999999999995</v>
      </c>
      <c r="I788">
        <v>0.78500000000000003</v>
      </c>
      <c r="J788">
        <v>-5.6790000000000003</v>
      </c>
      <c r="K788">
        <v>0</v>
      </c>
      <c r="L788">
        <v>1</v>
      </c>
      <c r="M788">
        <v>3.9600000000000003E-2</v>
      </c>
      <c r="N788">
        <v>5.2400000000000002E-2</v>
      </c>
      <c r="O788">
        <v>1.1100000000000001E-3</v>
      </c>
      <c r="P788">
        <v>0.111</v>
      </c>
      <c r="Q788">
        <v>0.94099999999999995</v>
      </c>
      <c r="R788">
        <v>120.009</v>
      </c>
      <c r="S788">
        <v>4</v>
      </c>
      <c r="T788">
        <v>255040</v>
      </c>
      <c r="U788">
        <v>4</v>
      </c>
      <c r="V788">
        <v>255040</v>
      </c>
      <c r="W788">
        <v>4</v>
      </c>
      <c r="X788">
        <v>255040</v>
      </c>
      <c r="Y788" t="s">
        <v>17</v>
      </c>
      <c r="Z788" t="str">
        <f>LOOKUP(B788,{0,1083,124200,681950},{"1st","2nd","3rd","4th"})&amp;" Quartile"</f>
        <v>1st Quartile</v>
      </c>
    </row>
    <row r="789" spans="1:26">
      <c r="A789">
        <v>2019</v>
      </c>
      <c r="B789">
        <v>112</v>
      </c>
      <c r="C789" t="s">
        <v>227</v>
      </c>
      <c r="D789" t="s">
        <v>226</v>
      </c>
      <c r="E789">
        <v>44</v>
      </c>
      <c r="F789" t="s">
        <v>225</v>
      </c>
      <c r="G789">
        <v>44</v>
      </c>
      <c r="H789">
        <v>0.252</v>
      </c>
      <c r="I789">
        <v>0.46899999999999997</v>
      </c>
      <c r="J789">
        <v>-7.99</v>
      </c>
      <c r="K789">
        <v>0</v>
      </c>
      <c r="L789">
        <v>1</v>
      </c>
      <c r="M789">
        <v>4.5999999999999999E-2</v>
      </c>
      <c r="N789">
        <v>0.79600000000000004</v>
      </c>
      <c r="O789">
        <v>4.5600000000000004E-6</v>
      </c>
      <c r="P789">
        <v>7.7399999999999997E-2</v>
      </c>
      <c r="Q789">
        <v>0.317</v>
      </c>
      <c r="R789">
        <v>171.488</v>
      </c>
      <c r="S789">
        <v>4</v>
      </c>
      <c r="T789">
        <v>275947</v>
      </c>
      <c r="U789">
        <v>4</v>
      </c>
      <c r="V789">
        <v>275947</v>
      </c>
      <c r="W789">
        <v>4</v>
      </c>
      <c r="X789">
        <v>275947</v>
      </c>
      <c r="Y789" t="s">
        <v>17</v>
      </c>
      <c r="Z789" t="str">
        <f>LOOKUP(B789,{0,1083,124200,681950},{"1st","2nd","3rd","4th"})&amp;" Quartile"</f>
        <v>1st Quartile</v>
      </c>
    </row>
    <row r="790" spans="1:26">
      <c r="A790">
        <v>2022</v>
      </c>
      <c r="B790">
        <v>109</v>
      </c>
      <c r="C790" t="s">
        <v>1537</v>
      </c>
      <c r="D790" t="s">
        <v>1538</v>
      </c>
      <c r="E790">
        <v>43</v>
      </c>
      <c r="F790" t="s">
        <v>1537</v>
      </c>
      <c r="G790">
        <v>45</v>
      </c>
      <c r="H790">
        <v>0.72099999999999997</v>
      </c>
      <c r="I790">
        <v>0.70699999999999996</v>
      </c>
      <c r="J790">
        <v>-7.9530000000000003</v>
      </c>
      <c r="K790">
        <v>1</v>
      </c>
      <c r="L790">
        <v>11</v>
      </c>
      <c r="M790">
        <v>0.224</v>
      </c>
      <c r="N790">
        <v>0.56299999999999994</v>
      </c>
      <c r="O790">
        <v>6.3999999999999997E-6</v>
      </c>
      <c r="P790">
        <v>0.33800000000000002</v>
      </c>
      <c r="Q790">
        <v>0.46200000000000002</v>
      </c>
      <c r="R790">
        <v>125.07</v>
      </c>
      <c r="S790">
        <v>4</v>
      </c>
      <c r="T790">
        <v>128825</v>
      </c>
      <c r="U790">
        <v>4</v>
      </c>
      <c r="V790">
        <v>128825</v>
      </c>
      <c r="W790">
        <v>4</v>
      </c>
      <c r="X790">
        <v>128825</v>
      </c>
      <c r="Y790" t="s">
        <v>17</v>
      </c>
      <c r="Z790" t="str">
        <f>LOOKUP(B790,{0,1083,124200,681950},{"1st","2nd","3rd","4th"})&amp;" Quartile"</f>
        <v>1st Quartile</v>
      </c>
    </row>
    <row r="791" spans="1:26">
      <c r="A791">
        <v>2020</v>
      </c>
      <c r="B791">
        <v>106</v>
      </c>
      <c r="C791" t="s">
        <v>653</v>
      </c>
      <c r="D791" t="s">
        <v>654</v>
      </c>
      <c r="E791">
        <v>30</v>
      </c>
      <c r="F791" t="s">
        <v>653</v>
      </c>
      <c r="G791">
        <v>47</v>
      </c>
      <c r="H791">
        <v>0.60099999999999998</v>
      </c>
      <c r="I791">
        <v>0.60199999999999998</v>
      </c>
      <c r="J791">
        <v>-5.7629999999999999</v>
      </c>
      <c r="K791">
        <v>1</v>
      </c>
      <c r="L791">
        <v>7</v>
      </c>
      <c r="M791">
        <v>0.183</v>
      </c>
      <c r="N791">
        <v>3.7599999999999999E-3</v>
      </c>
      <c r="O791">
        <v>3.3399999999999999E-5</v>
      </c>
      <c r="P791">
        <v>0.318</v>
      </c>
      <c r="Q791">
        <v>0.56399999999999995</v>
      </c>
      <c r="R791">
        <v>94.918999999999997</v>
      </c>
      <c r="S791">
        <v>4</v>
      </c>
      <c r="T791">
        <v>191340</v>
      </c>
      <c r="U791">
        <v>4</v>
      </c>
      <c r="V791">
        <v>191340</v>
      </c>
      <c r="W791">
        <v>4</v>
      </c>
      <c r="X791">
        <v>191340</v>
      </c>
      <c r="Y791" t="s">
        <v>17</v>
      </c>
      <c r="Z791" t="str">
        <f>LOOKUP(B791,{0,1083,124200,681950},{"1st","2nd","3rd","4th"})&amp;" Quartile"</f>
        <v>1st Quartile</v>
      </c>
    </row>
    <row r="792" spans="1:26">
      <c r="A792">
        <v>2020</v>
      </c>
      <c r="B792">
        <v>103</v>
      </c>
      <c r="C792" t="s">
        <v>772</v>
      </c>
      <c r="D792" t="s">
        <v>328</v>
      </c>
      <c r="E792">
        <v>84</v>
      </c>
      <c r="F792" t="s">
        <v>771</v>
      </c>
      <c r="G792">
        <v>61</v>
      </c>
      <c r="H792">
        <v>0.69399999999999995</v>
      </c>
      <c r="I792">
        <v>0.80100000000000005</v>
      </c>
      <c r="J792">
        <v>-4.5030000000000001</v>
      </c>
      <c r="K792">
        <v>0</v>
      </c>
      <c r="L792">
        <v>9</v>
      </c>
      <c r="M792">
        <v>4.41E-2</v>
      </c>
      <c r="N792">
        <v>1.24E-3</v>
      </c>
      <c r="O792">
        <v>0</v>
      </c>
      <c r="P792">
        <v>0.47899999999999998</v>
      </c>
      <c r="Q792">
        <v>0.64600000000000002</v>
      </c>
      <c r="R792">
        <v>119.96899999999999</v>
      </c>
      <c r="S792">
        <v>4</v>
      </c>
      <c r="T792">
        <v>249280</v>
      </c>
      <c r="U792">
        <v>4</v>
      </c>
      <c r="V792">
        <v>249280</v>
      </c>
      <c r="W792">
        <v>4</v>
      </c>
      <c r="X792">
        <v>249280</v>
      </c>
      <c r="Y792" t="s">
        <v>17</v>
      </c>
      <c r="Z792" t="str">
        <f>LOOKUP(B792,{0,1083,124200,681950},{"1st","2nd","3rd","4th"})&amp;" Quartile"</f>
        <v>1st Quartile</v>
      </c>
    </row>
    <row r="793" spans="1:26">
      <c r="A793">
        <v>2020</v>
      </c>
      <c r="B793">
        <v>93</v>
      </c>
      <c r="C793" t="s">
        <v>735</v>
      </c>
      <c r="D793" t="s">
        <v>536</v>
      </c>
      <c r="E793">
        <v>52</v>
      </c>
      <c r="F793" t="s">
        <v>735</v>
      </c>
      <c r="G793">
        <v>55</v>
      </c>
      <c r="H793">
        <v>0.81599999999999995</v>
      </c>
      <c r="I793">
        <v>0.40100000000000002</v>
      </c>
      <c r="J793">
        <v>-8.0410000000000004</v>
      </c>
      <c r="K793">
        <v>1</v>
      </c>
      <c r="L793">
        <v>7</v>
      </c>
      <c r="M793">
        <v>0.22</v>
      </c>
      <c r="N793">
        <v>0.46400000000000002</v>
      </c>
      <c r="O793">
        <v>0</v>
      </c>
      <c r="P793">
        <v>6.5699999999999995E-2</v>
      </c>
      <c r="Q793">
        <v>0.67800000000000005</v>
      </c>
      <c r="R793">
        <v>129.041</v>
      </c>
      <c r="S793">
        <v>4</v>
      </c>
      <c r="T793">
        <v>180672</v>
      </c>
      <c r="U793">
        <v>4</v>
      </c>
      <c r="V793">
        <v>180672</v>
      </c>
      <c r="W793">
        <v>4</v>
      </c>
      <c r="X793">
        <v>180672</v>
      </c>
      <c r="Y793" t="s">
        <v>17</v>
      </c>
      <c r="Z793" t="str">
        <f>LOOKUP(B793,{0,1083,124200,681950},{"1st","2nd","3rd","4th"})&amp;" Quartile"</f>
        <v>1st Quartile</v>
      </c>
    </row>
    <row r="794" spans="1:26">
      <c r="A794">
        <v>2022</v>
      </c>
      <c r="B794">
        <v>90</v>
      </c>
      <c r="C794" t="s">
        <v>1591</v>
      </c>
      <c r="D794" t="s">
        <v>1536</v>
      </c>
      <c r="E794">
        <v>52</v>
      </c>
      <c r="F794" t="s">
        <v>1591</v>
      </c>
      <c r="G794">
        <v>46</v>
      </c>
      <c r="H794">
        <v>0.79800000000000004</v>
      </c>
      <c r="I794">
        <v>0.82399999999999995</v>
      </c>
      <c r="J794">
        <v>-5.6420000000000003</v>
      </c>
      <c r="K794">
        <v>0</v>
      </c>
      <c r="L794">
        <v>0</v>
      </c>
      <c r="M794">
        <v>0.41299999999999998</v>
      </c>
      <c r="N794">
        <v>0.20599999999999999</v>
      </c>
      <c r="O794">
        <v>3.0800000000000001E-4</v>
      </c>
      <c r="P794">
        <v>0.436</v>
      </c>
      <c r="Q794">
        <v>0.24199999999999999</v>
      </c>
      <c r="R794">
        <v>125</v>
      </c>
      <c r="S794">
        <v>4</v>
      </c>
      <c r="T794">
        <v>134400</v>
      </c>
      <c r="U794">
        <v>4</v>
      </c>
      <c r="V794">
        <v>134400</v>
      </c>
      <c r="W794">
        <v>4</v>
      </c>
      <c r="X794">
        <v>134400</v>
      </c>
      <c r="Y794" t="s">
        <v>17</v>
      </c>
      <c r="Z794" t="str">
        <f>LOOKUP(B794,{0,1083,124200,681950},{"1st","2nd","3rd","4th"})&amp;" Quartile"</f>
        <v>1st Quartile</v>
      </c>
    </row>
    <row r="795" spans="1:26">
      <c r="A795">
        <v>2022</v>
      </c>
      <c r="B795">
        <v>88</v>
      </c>
      <c r="C795" t="s">
        <v>1808</v>
      </c>
      <c r="D795" t="s">
        <v>1809</v>
      </c>
      <c r="E795">
        <v>64</v>
      </c>
      <c r="F795" t="s">
        <v>1808</v>
      </c>
      <c r="G795">
        <v>58</v>
      </c>
      <c r="H795">
        <v>0.81200000000000006</v>
      </c>
      <c r="I795">
        <v>0.65300000000000002</v>
      </c>
      <c r="J795">
        <v>-5.8490000000000002</v>
      </c>
      <c r="K795">
        <v>0</v>
      </c>
      <c r="L795">
        <v>5</v>
      </c>
      <c r="M795">
        <v>3.61E-2</v>
      </c>
      <c r="N795">
        <v>5.8999999999999999E-3</v>
      </c>
      <c r="O795">
        <v>0</v>
      </c>
      <c r="P795">
        <v>0.105</v>
      </c>
      <c r="Q795">
        <v>0.86399999999999999</v>
      </c>
      <c r="R795">
        <v>124.03400000000001</v>
      </c>
      <c r="S795">
        <v>4</v>
      </c>
      <c r="T795">
        <v>135484</v>
      </c>
      <c r="U795">
        <v>4</v>
      </c>
      <c r="V795">
        <v>135484</v>
      </c>
      <c r="W795">
        <v>4</v>
      </c>
      <c r="X795">
        <v>135484</v>
      </c>
      <c r="Y795" t="s">
        <v>17</v>
      </c>
      <c r="Z795" t="str">
        <f>LOOKUP(B795,{0,1083,124200,681950},{"1st","2nd","3rd","4th"})&amp;" Quartile"</f>
        <v>1st Quartile</v>
      </c>
    </row>
    <row r="796" spans="1:26">
      <c r="A796">
        <v>2022</v>
      </c>
      <c r="B796">
        <v>86</v>
      </c>
      <c r="C796" t="s">
        <v>595</v>
      </c>
      <c r="D796" t="s">
        <v>594</v>
      </c>
      <c r="E796">
        <v>57</v>
      </c>
      <c r="F796" t="s">
        <v>593</v>
      </c>
      <c r="G796">
        <v>69</v>
      </c>
      <c r="H796">
        <v>0.82899999999999996</v>
      </c>
      <c r="I796">
        <v>0.79200000000000004</v>
      </c>
      <c r="J796">
        <v>-3.7549999999999999</v>
      </c>
      <c r="K796">
        <v>0</v>
      </c>
      <c r="L796">
        <v>2</v>
      </c>
      <c r="M796">
        <v>6.6799999999999998E-2</v>
      </c>
      <c r="N796">
        <v>0.72599999999999998</v>
      </c>
      <c r="O796">
        <v>5.8300000000000001E-6</v>
      </c>
      <c r="P796">
        <v>0.122</v>
      </c>
      <c r="Q796">
        <v>0.75800000000000001</v>
      </c>
      <c r="R796">
        <v>118.05</v>
      </c>
      <c r="S796">
        <v>4</v>
      </c>
      <c r="T796">
        <v>215507</v>
      </c>
      <c r="U796">
        <v>4</v>
      </c>
      <c r="V796">
        <v>215507</v>
      </c>
      <c r="W796">
        <v>4</v>
      </c>
      <c r="X796">
        <v>215507</v>
      </c>
      <c r="Y796" t="s">
        <v>17</v>
      </c>
      <c r="Z796" t="str">
        <f>LOOKUP(B796,{0,1083,124200,681950},{"1st","2nd","3rd","4th"})&amp;" Quartile"</f>
        <v>1st Quartile</v>
      </c>
    </row>
    <row r="797" spans="1:26">
      <c r="A797">
        <v>2022</v>
      </c>
      <c r="B797">
        <v>70</v>
      </c>
      <c r="C797" t="s">
        <v>1753</v>
      </c>
      <c r="D797" t="s">
        <v>1754</v>
      </c>
      <c r="E797">
        <v>37</v>
      </c>
      <c r="F797" t="s">
        <v>1753</v>
      </c>
      <c r="G797">
        <v>46</v>
      </c>
      <c r="H797">
        <v>0.68799999999999994</v>
      </c>
      <c r="I797">
        <v>0.59499999999999997</v>
      </c>
      <c r="J797">
        <v>-8.0939999999999994</v>
      </c>
      <c r="K797">
        <v>0</v>
      </c>
      <c r="L797">
        <v>8</v>
      </c>
      <c r="M797">
        <v>5.0799999999999998E-2</v>
      </c>
      <c r="N797">
        <v>5.1499999999999997E-2</v>
      </c>
      <c r="O797">
        <v>2.7E-6</v>
      </c>
      <c r="P797">
        <v>8.5300000000000001E-2</v>
      </c>
      <c r="Q797">
        <v>0.312</v>
      </c>
      <c r="R797">
        <v>117.979</v>
      </c>
      <c r="S797">
        <v>4</v>
      </c>
      <c r="T797">
        <v>202507</v>
      </c>
      <c r="U797">
        <v>4</v>
      </c>
      <c r="V797">
        <v>202507</v>
      </c>
      <c r="W797">
        <v>4</v>
      </c>
      <c r="X797">
        <v>202507</v>
      </c>
      <c r="Y797" t="s">
        <v>17</v>
      </c>
      <c r="Z797" t="str">
        <f>LOOKUP(B797,{0,1083,124200,681950},{"1st","2nd","3rd","4th"})&amp;" Quartile"</f>
        <v>1st Quartile</v>
      </c>
    </row>
    <row r="798" spans="1:26">
      <c r="A798">
        <v>2022</v>
      </c>
      <c r="B798">
        <v>67</v>
      </c>
      <c r="C798" t="s">
        <v>1571</v>
      </c>
      <c r="D798" t="s">
        <v>1572</v>
      </c>
      <c r="E798">
        <v>46</v>
      </c>
      <c r="F798" t="s">
        <v>1571</v>
      </c>
      <c r="G798">
        <v>54</v>
      </c>
      <c r="H798">
        <v>0.753</v>
      </c>
      <c r="I798">
        <v>0.75</v>
      </c>
      <c r="J798">
        <v>-4.3140000000000001</v>
      </c>
      <c r="K798">
        <v>1</v>
      </c>
      <c r="L798">
        <v>11</v>
      </c>
      <c r="M798">
        <v>8.1699999999999995E-2</v>
      </c>
      <c r="N798">
        <v>4.2100000000000002E-3</v>
      </c>
      <c r="O798">
        <v>3.4700000000000003E-5</v>
      </c>
      <c r="P798">
        <v>7.7499999999999999E-2</v>
      </c>
      <c r="Q798">
        <v>0.26600000000000001</v>
      </c>
      <c r="R798">
        <v>124.998</v>
      </c>
      <c r="S798">
        <v>4</v>
      </c>
      <c r="T798">
        <v>167040</v>
      </c>
      <c r="U798">
        <v>4</v>
      </c>
      <c r="V798">
        <v>167040</v>
      </c>
      <c r="W798">
        <v>4</v>
      </c>
      <c r="X798">
        <v>167040</v>
      </c>
      <c r="Y798" t="s">
        <v>17</v>
      </c>
      <c r="Z798" t="str">
        <f>LOOKUP(B798,{0,1083,124200,681950},{"1st","2nd","3rd","4th"})&amp;" Quartile"</f>
        <v>1st Quartile</v>
      </c>
    </row>
    <row r="799" spans="1:26">
      <c r="A799">
        <v>2022</v>
      </c>
      <c r="B799">
        <v>66</v>
      </c>
      <c r="C799" t="s">
        <v>1789</v>
      </c>
      <c r="D799" t="s">
        <v>1749</v>
      </c>
      <c r="E799">
        <v>39</v>
      </c>
      <c r="F799" t="s">
        <v>1789</v>
      </c>
      <c r="G799">
        <v>54</v>
      </c>
      <c r="H799">
        <v>0.79700000000000004</v>
      </c>
      <c r="I799">
        <v>0.66600000000000004</v>
      </c>
      <c r="J799">
        <v>-6.5880000000000001</v>
      </c>
      <c r="K799">
        <v>0</v>
      </c>
      <c r="L799">
        <v>0</v>
      </c>
      <c r="M799">
        <v>3.6299999999999999E-2</v>
      </c>
      <c r="N799">
        <v>0.16700000000000001</v>
      </c>
      <c r="O799">
        <v>1.3100000000000001E-4</v>
      </c>
      <c r="P799">
        <v>0.104</v>
      </c>
      <c r="Q799">
        <v>0.85499999999999998</v>
      </c>
      <c r="R799">
        <v>119.021</v>
      </c>
      <c r="S799">
        <v>4</v>
      </c>
      <c r="T799">
        <v>177080</v>
      </c>
      <c r="U799">
        <v>4</v>
      </c>
      <c r="V799">
        <v>177080</v>
      </c>
      <c r="W799">
        <v>4</v>
      </c>
      <c r="X799">
        <v>177080</v>
      </c>
      <c r="Y799" t="s">
        <v>17</v>
      </c>
      <c r="Z799" t="str">
        <f>LOOKUP(B799,{0,1083,124200,681950},{"1st","2nd","3rd","4th"})&amp;" Quartile"</f>
        <v>1st Quartile</v>
      </c>
    </row>
    <row r="800" spans="1:26">
      <c r="A800">
        <v>2019</v>
      </c>
      <c r="B800">
        <v>64</v>
      </c>
      <c r="C800" t="s">
        <v>439</v>
      </c>
      <c r="D800" t="s">
        <v>440</v>
      </c>
      <c r="E800">
        <v>16</v>
      </c>
      <c r="F800" t="s">
        <v>439</v>
      </c>
      <c r="G800">
        <v>31</v>
      </c>
      <c r="H800">
        <v>0.68899999999999995</v>
      </c>
      <c r="I800">
        <v>0.40500000000000003</v>
      </c>
      <c r="J800">
        <v>-12.525</v>
      </c>
      <c r="K800">
        <v>1</v>
      </c>
      <c r="L800">
        <v>8</v>
      </c>
      <c r="M800">
        <v>0.17100000000000001</v>
      </c>
      <c r="N800">
        <v>0.73299999999999998</v>
      </c>
      <c r="O800">
        <v>4.8000000000000001E-5</v>
      </c>
      <c r="P800">
        <v>0.54</v>
      </c>
      <c r="Q800">
        <v>0.42299999999999999</v>
      </c>
      <c r="R800">
        <v>77.540000000000006</v>
      </c>
      <c r="S800">
        <v>4</v>
      </c>
      <c r="T800">
        <v>102792</v>
      </c>
      <c r="U800">
        <v>4</v>
      </c>
      <c r="V800">
        <v>102792</v>
      </c>
      <c r="W800">
        <v>4</v>
      </c>
      <c r="X800">
        <v>102792</v>
      </c>
      <c r="Y800" t="s">
        <v>17</v>
      </c>
      <c r="Z800" t="str">
        <f>LOOKUP(B800,{0,1083,124200,681950},{"1st","2nd","3rd","4th"})&amp;" Quartile"</f>
        <v>1st Quartile</v>
      </c>
    </row>
    <row r="801" spans="1:26">
      <c r="A801">
        <v>2022</v>
      </c>
      <c r="B801">
        <v>63</v>
      </c>
      <c r="C801" t="s">
        <v>1655</v>
      </c>
      <c r="D801" t="s">
        <v>1656</v>
      </c>
      <c r="E801">
        <v>44</v>
      </c>
      <c r="F801" t="s">
        <v>1655</v>
      </c>
      <c r="G801">
        <v>60</v>
      </c>
      <c r="H801">
        <v>0.70699999999999996</v>
      </c>
      <c r="I801">
        <v>0.86699999999999999</v>
      </c>
      <c r="J801">
        <v>-4.3550000000000004</v>
      </c>
      <c r="K801">
        <v>0</v>
      </c>
      <c r="L801">
        <v>6</v>
      </c>
      <c r="M801">
        <v>0.05</v>
      </c>
      <c r="N801">
        <v>4.5300000000000002E-3</v>
      </c>
      <c r="O801">
        <v>1.3500000000000001E-3</v>
      </c>
      <c r="P801">
        <v>0.123</v>
      </c>
      <c r="Q801">
        <v>0.48499999999999999</v>
      </c>
      <c r="R801">
        <v>122.014</v>
      </c>
      <c r="S801">
        <v>4</v>
      </c>
      <c r="T801">
        <v>158247</v>
      </c>
      <c r="U801">
        <v>4</v>
      </c>
      <c r="V801">
        <v>158247</v>
      </c>
      <c r="W801">
        <v>4</v>
      </c>
      <c r="X801">
        <v>158247</v>
      </c>
      <c r="Y801" t="s">
        <v>17</v>
      </c>
      <c r="Z801" t="str">
        <f>LOOKUP(B801,{0,1083,124200,681950},{"1st","2nd","3rd","4th"})&amp;" Quartile"</f>
        <v>1st Quartile</v>
      </c>
    </row>
    <row r="802" spans="1:26">
      <c r="A802">
        <v>2022</v>
      </c>
      <c r="B802">
        <v>58</v>
      </c>
      <c r="C802" t="s">
        <v>1525</v>
      </c>
      <c r="D802" t="s">
        <v>1526</v>
      </c>
      <c r="E802">
        <v>58</v>
      </c>
      <c r="F802" t="s">
        <v>1525</v>
      </c>
      <c r="G802">
        <v>45</v>
      </c>
      <c r="H802">
        <v>0.504</v>
      </c>
      <c r="I802">
        <v>0.67700000000000005</v>
      </c>
      <c r="J802">
        <v>-6.9539999999999997</v>
      </c>
      <c r="K802">
        <v>0</v>
      </c>
      <c r="L802">
        <v>4</v>
      </c>
      <c r="M802">
        <v>6.4000000000000001E-2</v>
      </c>
      <c r="N802">
        <v>0.316</v>
      </c>
      <c r="O802">
        <v>1.2700000000000001E-3</v>
      </c>
      <c r="P802">
        <v>0.26800000000000002</v>
      </c>
      <c r="Q802">
        <v>3.7499999999999999E-2</v>
      </c>
      <c r="R802">
        <v>128.078</v>
      </c>
      <c r="S802">
        <v>4</v>
      </c>
      <c r="T802">
        <v>159023</v>
      </c>
      <c r="U802">
        <v>4</v>
      </c>
      <c r="V802">
        <v>159023</v>
      </c>
      <c r="W802">
        <v>4</v>
      </c>
      <c r="X802">
        <v>159023</v>
      </c>
      <c r="Y802" t="s">
        <v>17</v>
      </c>
      <c r="Z802" t="str">
        <f>LOOKUP(B802,{0,1083,124200,681950},{"1st","2nd","3rd","4th"})&amp;" Quartile"</f>
        <v>1st Quartile</v>
      </c>
    </row>
    <row r="803" spans="1:26">
      <c r="A803">
        <v>2020</v>
      </c>
      <c r="B803">
        <v>57</v>
      </c>
      <c r="C803" t="s">
        <v>143</v>
      </c>
      <c r="D803" t="s">
        <v>142</v>
      </c>
      <c r="E803">
        <v>50</v>
      </c>
      <c r="F803" t="s">
        <v>141</v>
      </c>
      <c r="G803">
        <v>0</v>
      </c>
      <c r="H803">
        <v>0.66500000000000004</v>
      </c>
      <c r="I803">
        <v>0.373</v>
      </c>
      <c r="J803">
        <v>-10.631</v>
      </c>
      <c r="K803">
        <v>1</v>
      </c>
      <c r="L803">
        <v>7</v>
      </c>
      <c r="M803">
        <v>0.158</v>
      </c>
      <c r="N803">
        <v>0.85199999999999998</v>
      </c>
      <c r="O803">
        <v>0.11799999999999999</v>
      </c>
      <c r="P803">
        <v>0.108</v>
      </c>
      <c r="Q803">
        <v>7.0000000000000007E-2</v>
      </c>
      <c r="R803">
        <v>119.905</v>
      </c>
      <c r="S803">
        <v>4</v>
      </c>
      <c r="T803">
        <v>164113</v>
      </c>
      <c r="U803">
        <v>4</v>
      </c>
      <c r="V803">
        <v>164113</v>
      </c>
      <c r="W803">
        <v>4</v>
      </c>
      <c r="X803">
        <v>164113</v>
      </c>
      <c r="Y803" t="s">
        <v>17</v>
      </c>
      <c r="Z803" t="str">
        <f>LOOKUP(B803,{0,1083,124200,681950},{"1st","2nd","3rd","4th"})&amp;" Quartile"</f>
        <v>1st Quartile</v>
      </c>
    </row>
    <row r="804" spans="1:26">
      <c r="A804">
        <v>2020</v>
      </c>
      <c r="B804">
        <v>53</v>
      </c>
      <c r="C804" t="s">
        <v>913</v>
      </c>
      <c r="D804" t="s">
        <v>912</v>
      </c>
      <c r="E804">
        <v>42</v>
      </c>
      <c r="F804" t="s">
        <v>911</v>
      </c>
      <c r="G804">
        <v>33</v>
      </c>
      <c r="H804">
        <v>0.73799999999999999</v>
      </c>
      <c r="I804">
        <v>0.79900000000000004</v>
      </c>
      <c r="J804">
        <v>-7.0359999999999996</v>
      </c>
      <c r="K804">
        <v>1</v>
      </c>
      <c r="L804">
        <v>7</v>
      </c>
      <c r="M804">
        <v>5.5599999999999997E-2</v>
      </c>
      <c r="N804">
        <v>0.249</v>
      </c>
      <c r="O804">
        <v>0</v>
      </c>
      <c r="P804">
        <v>0.35</v>
      </c>
      <c r="Q804">
        <v>0.88200000000000001</v>
      </c>
      <c r="R804">
        <v>142.09399999999999</v>
      </c>
      <c r="S804">
        <v>4</v>
      </c>
      <c r="T804">
        <v>61466</v>
      </c>
      <c r="U804">
        <v>4</v>
      </c>
      <c r="V804">
        <v>61466</v>
      </c>
      <c r="W804">
        <v>4</v>
      </c>
      <c r="X804">
        <v>61466</v>
      </c>
      <c r="Y804" t="s">
        <v>17</v>
      </c>
      <c r="Z804" t="str">
        <f>LOOKUP(B804,{0,1083,124200,681950},{"1st","2nd","3rd","4th"})&amp;" Quartile"</f>
        <v>1st Quartile</v>
      </c>
    </row>
    <row r="805" spans="1:26">
      <c r="A805">
        <v>2022</v>
      </c>
      <c r="B805">
        <v>51</v>
      </c>
      <c r="C805" t="s">
        <v>1761</v>
      </c>
      <c r="D805" t="s">
        <v>1762</v>
      </c>
      <c r="E805">
        <v>29</v>
      </c>
      <c r="F805" t="s">
        <v>1761</v>
      </c>
      <c r="G805">
        <v>45</v>
      </c>
      <c r="H805">
        <v>0.80800000000000005</v>
      </c>
      <c r="I805">
        <v>0.59199999999999997</v>
      </c>
      <c r="J805">
        <v>-6.3819999999999997</v>
      </c>
      <c r="K805">
        <v>1</v>
      </c>
      <c r="L805">
        <v>2</v>
      </c>
      <c r="M805">
        <v>0.41499999999999998</v>
      </c>
      <c r="N805">
        <v>0.43099999999999999</v>
      </c>
      <c r="O805">
        <v>0</v>
      </c>
      <c r="P805">
        <v>0.42599999999999999</v>
      </c>
      <c r="Q805">
        <v>0.628</v>
      </c>
      <c r="R805">
        <v>139.92500000000001</v>
      </c>
      <c r="S805">
        <v>4</v>
      </c>
      <c r="T805">
        <v>185376</v>
      </c>
      <c r="U805">
        <v>4</v>
      </c>
      <c r="V805">
        <v>185376</v>
      </c>
      <c r="W805">
        <v>4</v>
      </c>
      <c r="X805">
        <v>185376</v>
      </c>
      <c r="Y805" t="s">
        <v>17</v>
      </c>
      <c r="Z805" t="str">
        <f>LOOKUP(B805,{0,1083,124200,681950},{"1st","2nd","3rd","4th"})&amp;" Quartile"</f>
        <v>1st Quartile</v>
      </c>
    </row>
    <row r="806" spans="1:26">
      <c r="A806">
        <v>2022</v>
      </c>
      <c r="B806">
        <v>51</v>
      </c>
      <c r="C806" t="s">
        <v>1567</v>
      </c>
      <c r="D806" t="s">
        <v>1568</v>
      </c>
      <c r="E806">
        <v>46</v>
      </c>
      <c r="F806" t="s">
        <v>1567</v>
      </c>
      <c r="G806">
        <v>40</v>
      </c>
      <c r="H806">
        <v>0.67</v>
      </c>
      <c r="I806">
        <v>0.54400000000000004</v>
      </c>
      <c r="J806">
        <v>-5.5060000000000002</v>
      </c>
      <c r="K806">
        <v>1</v>
      </c>
      <c r="L806">
        <v>4</v>
      </c>
      <c r="M806">
        <v>2.52E-2</v>
      </c>
      <c r="N806">
        <v>4.2900000000000001E-2</v>
      </c>
      <c r="O806">
        <v>0</v>
      </c>
      <c r="P806">
        <v>9.2600000000000002E-2</v>
      </c>
      <c r="Q806">
        <v>0.77200000000000002</v>
      </c>
      <c r="R806">
        <v>96.039000000000001</v>
      </c>
      <c r="S806">
        <v>3</v>
      </c>
      <c r="T806">
        <v>200840</v>
      </c>
      <c r="U806">
        <v>3</v>
      </c>
      <c r="V806">
        <v>200840</v>
      </c>
      <c r="W806">
        <v>3</v>
      </c>
      <c r="X806">
        <v>200840</v>
      </c>
      <c r="Y806" t="s">
        <v>17</v>
      </c>
      <c r="Z806" t="str">
        <f>LOOKUP(B806,{0,1083,124200,681950},{"1st","2nd","3rd","4th"})&amp;" Quartile"</f>
        <v>1st Quartile</v>
      </c>
    </row>
    <row r="807" spans="1:26">
      <c r="A807">
        <v>2019</v>
      </c>
      <c r="B807">
        <v>50</v>
      </c>
      <c r="C807" t="s">
        <v>539</v>
      </c>
      <c r="D807" t="s">
        <v>538</v>
      </c>
      <c r="E807">
        <v>74</v>
      </c>
      <c r="F807" t="s">
        <v>537</v>
      </c>
      <c r="G807">
        <v>71</v>
      </c>
      <c r="H807">
        <v>0.66800000000000004</v>
      </c>
      <c r="I807">
        <v>0.26</v>
      </c>
      <c r="J807">
        <v>-14.256</v>
      </c>
      <c r="K807">
        <v>1</v>
      </c>
      <c r="L807">
        <v>7</v>
      </c>
      <c r="M807">
        <v>5.2299999999999999E-2</v>
      </c>
      <c r="N807">
        <v>0.45300000000000001</v>
      </c>
      <c r="O807">
        <v>0</v>
      </c>
      <c r="P807">
        <v>6.2100000000000002E-2</v>
      </c>
      <c r="Q807">
        <v>0.36799999999999999</v>
      </c>
      <c r="R807">
        <v>119.416</v>
      </c>
      <c r="S807">
        <v>4</v>
      </c>
      <c r="T807">
        <v>147000</v>
      </c>
      <c r="U807">
        <v>4</v>
      </c>
      <c r="V807">
        <v>147000</v>
      </c>
      <c r="W807">
        <v>4</v>
      </c>
      <c r="X807">
        <v>147000</v>
      </c>
      <c r="Y807" t="s">
        <v>17</v>
      </c>
      <c r="Z807" t="str">
        <f>LOOKUP(B807,{0,1083,124200,681950},{"1st","2nd","3rd","4th"})&amp;" Quartile"</f>
        <v>1st Quartile</v>
      </c>
    </row>
    <row r="808" spans="1:26">
      <c r="A808">
        <v>2019</v>
      </c>
      <c r="B808">
        <v>50</v>
      </c>
      <c r="C808" t="s">
        <v>300</v>
      </c>
      <c r="D808" t="s">
        <v>299</v>
      </c>
      <c r="E808">
        <v>50</v>
      </c>
      <c r="F808" t="s">
        <v>298</v>
      </c>
      <c r="G808">
        <v>29</v>
      </c>
      <c r="H808">
        <v>0.81799999999999995</v>
      </c>
      <c r="I808">
        <v>0.67400000000000004</v>
      </c>
      <c r="J808">
        <v>-7.8559999999999999</v>
      </c>
      <c r="K808">
        <v>1</v>
      </c>
      <c r="L808">
        <v>7</v>
      </c>
      <c r="M808">
        <v>8.1100000000000005E-2</v>
      </c>
      <c r="N808">
        <v>0.44800000000000001</v>
      </c>
      <c r="O808">
        <v>3.5899999999999999E-6</v>
      </c>
      <c r="P808">
        <v>7.7399999999999997E-2</v>
      </c>
      <c r="Q808">
        <v>0.92600000000000005</v>
      </c>
      <c r="R808">
        <v>92.614000000000004</v>
      </c>
      <c r="S808">
        <v>4</v>
      </c>
      <c r="T808">
        <v>148133</v>
      </c>
      <c r="U808">
        <v>4</v>
      </c>
      <c r="V808">
        <v>148133</v>
      </c>
      <c r="W808">
        <v>4</v>
      </c>
      <c r="X808">
        <v>148133</v>
      </c>
      <c r="Y808" t="s">
        <v>17</v>
      </c>
      <c r="Z808" t="str">
        <f>LOOKUP(B808,{0,1083,124200,681950},{"1st","2nd","3rd","4th"})&amp;" Quartile"</f>
        <v>1st Quartile</v>
      </c>
    </row>
    <row r="809" spans="1:26">
      <c r="A809">
        <v>2020</v>
      </c>
      <c r="B809">
        <v>49</v>
      </c>
      <c r="C809" t="s">
        <v>1022</v>
      </c>
      <c r="D809" t="s">
        <v>1021</v>
      </c>
      <c r="E809">
        <v>53</v>
      </c>
      <c r="F809" t="s">
        <v>1020</v>
      </c>
      <c r="G809">
        <v>60</v>
      </c>
      <c r="H809">
        <v>0.38700000000000001</v>
      </c>
      <c r="I809">
        <v>0.13200000000000001</v>
      </c>
      <c r="J809">
        <v>-15.141999999999999</v>
      </c>
      <c r="K809">
        <v>1</v>
      </c>
      <c r="L809">
        <v>5</v>
      </c>
      <c r="M809">
        <v>3.8600000000000002E-2</v>
      </c>
      <c r="N809">
        <v>0.91400000000000003</v>
      </c>
      <c r="O809">
        <v>7.0699999999999995E-4</v>
      </c>
      <c r="P809">
        <v>0.28100000000000003</v>
      </c>
      <c r="Q809">
        <v>0.32300000000000001</v>
      </c>
      <c r="R809">
        <v>100</v>
      </c>
      <c r="S809">
        <v>4</v>
      </c>
      <c r="T809">
        <v>195493</v>
      </c>
      <c r="U809">
        <v>4</v>
      </c>
      <c r="V809">
        <v>195493</v>
      </c>
      <c r="W809">
        <v>4</v>
      </c>
      <c r="X809">
        <v>195493</v>
      </c>
      <c r="Y809" t="s">
        <v>17</v>
      </c>
      <c r="Z809" t="str">
        <f>LOOKUP(B809,{0,1083,124200,681950},{"1st","2nd","3rd","4th"})&amp;" Quartile"</f>
        <v>1st Quartile</v>
      </c>
    </row>
    <row r="810" spans="1:26">
      <c r="A810">
        <v>2022</v>
      </c>
      <c r="B810">
        <v>47</v>
      </c>
      <c r="C810" t="s">
        <v>1647</v>
      </c>
      <c r="D810" t="s">
        <v>1646</v>
      </c>
      <c r="E810">
        <v>83</v>
      </c>
      <c r="F810" t="s">
        <v>1645</v>
      </c>
      <c r="G810">
        <v>77</v>
      </c>
      <c r="H810">
        <v>0.78300000000000003</v>
      </c>
      <c r="I810">
        <v>0.72699999999999998</v>
      </c>
      <c r="J810">
        <v>-3.4540000000000002</v>
      </c>
      <c r="K810">
        <v>0</v>
      </c>
      <c r="L810">
        <v>6</v>
      </c>
      <c r="M810">
        <v>0.38900000000000001</v>
      </c>
      <c r="N810">
        <v>0.185</v>
      </c>
      <c r="O810">
        <v>2.4600000000000002E-5</v>
      </c>
      <c r="P810">
        <v>6.2600000000000003E-2</v>
      </c>
      <c r="Q810">
        <v>0.55800000000000005</v>
      </c>
      <c r="R810">
        <v>180.06700000000001</v>
      </c>
      <c r="S810">
        <v>4</v>
      </c>
      <c r="T810">
        <v>199112</v>
      </c>
      <c r="U810">
        <v>4</v>
      </c>
      <c r="V810">
        <v>199112</v>
      </c>
      <c r="W810">
        <v>4</v>
      </c>
      <c r="X810">
        <v>199112</v>
      </c>
      <c r="Y810" t="s">
        <v>17</v>
      </c>
      <c r="Z810" t="str">
        <f>LOOKUP(B810,{0,1083,124200,681950},{"1st","2nd","3rd","4th"})&amp;" Quartile"</f>
        <v>1st Quartile</v>
      </c>
    </row>
    <row r="811" spans="1:26">
      <c r="A811">
        <v>2019</v>
      </c>
      <c r="B811">
        <v>42</v>
      </c>
      <c r="C811" t="s">
        <v>125</v>
      </c>
      <c r="D811" t="s">
        <v>124</v>
      </c>
      <c r="E811">
        <v>87</v>
      </c>
      <c r="F811" t="s">
        <v>123</v>
      </c>
      <c r="G811">
        <v>65</v>
      </c>
      <c r="H811">
        <v>0.84699999999999998</v>
      </c>
      <c r="I811">
        <v>0.60299999999999998</v>
      </c>
      <c r="J811">
        <v>-4.6070000000000002</v>
      </c>
      <c r="K811">
        <v>0</v>
      </c>
      <c r="L811">
        <v>0</v>
      </c>
      <c r="M811">
        <v>3.9699999999999999E-2</v>
      </c>
      <c r="N811">
        <v>0.107</v>
      </c>
      <c r="O811">
        <v>7.4000000000000003E-6</v>
      </c>
      <c r="P811">
        <v>0.106</v>
      </c>
      <c r="Q811">
        <v>0.73499999999999999</v>
      </c>
      <c r="R811">
        <v>114.045</v>
      </c>
      <c r="S811">
        <v>4</v>
      </c>
      <c r="T811">
        <v>227387</v>
      </c>
      <c r="U811">
        <v>4</v>
      </c>
      <c r="V811">
        <v>227387</v>
      </c>
      <c r="W811">
        <v>4</v>
      </c>
      <c r="X811">
        <v>227387</v>
      </c>
      <c r="Y811" t="s">
        <v>17</v>
      </c>
      <c r="Z811" t="str">
        <f>LOOKUP(B811,{0,1083,124200,681950},{"1st","2nd","3rd","4th"})&amp;" Quartile"</f>
        <v>1st Quartile</v>
      </c>
    </row>
    <row r="812" spans="1:26">
      <c r="A812">
        <v>2022</v>
      </c>
      <c r="B812">
        <v>41</v>
      </c>
      <c r="C812" t="s">
        <v>1813</v>
      </c>
      <c r="D812" t="s">
        <v>1814</v>
      </c>
      <c r="E812">
        <v>60</v>
      </c>
      <c r="F812" t="s">
        <v>1813</v>
      </c>
      <c r="G812">
        <v>57</v>
      </c>
      <c r="H812">
        <v>0.61899999999999999</v>
      </c>
      <c r="I812">
        <v>0.70699999999999996</v>
      </c>
      <c r="J812">
        <v>-8.0329999999999995</v>
      </c>
      <c r="K812">
        <v>1</v>
      </c>
      <c r="L812">
        <v>1</v>
      </c>
      <c r="M812">
        <v>9.9000000000000005E-2</v>
      </c>
      <c r="N812">
        <v>6.0099999999999997E-3</v>
      </c>
      <c r="O812">
        <v>0</v>
      </c>
      <c r="P812">
        <v>9.4600000000000004E-2</v>
      </c>
      <c r="Q812">
        <v>0.36499999999999999</v>
      </c>
      <c r="R812">
        <v>85.284999999999997</v>
      </c>
      <c r="S812">
        <v>5</v>
      </c>
      <c r="T812">
        <v>166805</v>
      </c>
      <c r="U812">
        <v>5</v>
      </c>
      <c r="V812">
        <v>166805</v>
      </c>
      <c r="W812">
        <v>5</v>
      </c>
      <c r="X812">
        <v>166805</v>
      </c>
      <c r="Y812" t="s">
        <v>17</v>
      </c>
      <c r="Z812" t="str">
        <f>LOOKUP(B812,{0,1083,124200,681950},{"1st","2nd","3rd","4th"})&amp;" Quartile"</f>
        <v>1st Quartile</v>
      </c>
    </row>
    <row r="813" spans="1:26">
      <c r="A813">
        <v>2020</v>
      </c>
      <c r="B813">
        <v>41</v>
      </c>
      <c r="C813" t="s">
        <v>1027</v>
      </c>
      <c r="D813" t="s">
        <v>1028</v>
      </c>
      <c r="E813">
        <v>60</v>
      </c>
      <c r="F813" t="s">
        <v>1027</v>
      </c>
      <c r="G813">
        <v>58</v>
      </c>
      <c r="H813">
        <v>0.754</v>
      </c>
      <c r="I813">
        <v>0.67700000000000005</v>
      </c>
      <c r="J813">
        <v>-4.399</v>
      </c>
      <c r="K813">
        <v>0</v>
      </c>
      <c r="L813">
        <v>6</v>
      </c>
      <c r="M813">
        <v>3.1600000000000003E-2</v>
      </c>
      <c r="N813">
        <v>0.112</v>
      </c>
      <c r="O813">
        <v>0</v>
      </c>
      <c r="P813">
        <v>0.111</v>
      </c>
      <c r="Q813">
        <v>0.254</v>
      </c>
      <c r="R813">
        <v>124.988</v>
      </c>
      <c r="S813">
        <v>4</v>
      </c>
      <c r="T813">
        <v>220779</v>
      </c>
      <c r="U813">
        <v>4</v>
      </c>
      <c r="V813">
        <v>220779</v>
      </c>
      <c r="W813">
        <v>4</v>
      </c>
      <c r="X813">
        <v>220779</v>
      </c>
      <c r="Y813" t="s">
        <v>17</v>
      </c>
      <c r="Z813" t="str">
        <f>LOOKUP(B813,{0,1083,124200,681950},{"1st","2nd","3rd","4th"})&amp;" Quartile"</f>
        <v>1st Quartile</v>
      </c>
    </row>
    <row r="814" spans="1:26">
      <c r="A814">
        <v>2022</v>
      </c>
      <c r="B814">
        <v>39</v>
      </c>
      <c r="C814" t="s">
        <v>1524</v>
      </c>
      <c r="D814" t="s">
        <v>662</v>
      </c>
      <c r="E814">
        <v>95</v>
      </c>
      <c r="F814" t="s">
        <v>1523</v>
      </c>
      <c r="G814">
        <v>92</v>
      </c>
      <c r="H814">
        <v>0.52900000000000003</v>
      </c>
      <c r="I814">
        <v>0.67300000000000004</v>
      </c>
      <c r="J814">
        <v>-4.7110000000000003</v>
      </c>
      <c r="K814">
        <v>1</v>
      </c>
      <c r="L814">
        <v>0</v>
      </c>
      <c r="M814">
        <v>0.17499999999999999</v>
      </c>
      <c r="N814">
        <v>3.0699999999999998E-4</v>
      </c>
      <c r="O814">
        <v>2.4099999999999998E-6</v>
      </c>
      <c r="P814">
        <v>9.2999999999999999E-2</v>
      </c>
      <c r="Q814">
        <v>0.36599999999999999</v>
      </c>
      <c r="R814">
        <v>165.92099999999999</v>
      </c>
      <c r="S814">
        <v>4</v>
      </c>
      <c r="T814">
        <v>218365</v>
      </c>
      <c r="U814">
        <v>4</v>
      </c>
      <c r="V814">
        <v>218365</v>
      </c>
      <c r="W814">
        <v>4</v>
      </c>
      <c r="X814">
        <v>218365</v>
      </c>
      <c r="Y814" t="s">
        <v>17</v>
      </c>
      <c r="Z814" t="str">
        <f>LOOKUP(B814,{0,1083,124200,681950},{"1st","2nd","3rd","4th"})&amp;" Quartile"</f>
        <v>1st Quartile</v>
      </c>
    </row>
    <row r="815" spans="1:26">
      <c r="A815">
        <v>2022</v>
      </c>
      <c r="B815">
        <v>38</v>
      </c>
      <c r="C815" t="s">
        <v>1707</v>
      </c>
      <c r="D815" t="s">
        <v>1702</v>
      </c>
      <c r="E815">
        <v>45</v>
      </c>
      <c r="F815" t="s">
        <v>1707</v>
      </c>
      <c r="G815">
        <v>54</v>
      </c>
      <c r="H815">
        <v>0.65900000000000003</v>
      </c>
      <c r="I815">
        <v>0.72099999999999997</v>
      </c>
      <c r="J815">
        <v>-6.8769999999999998</v>
      </c>
      <c r="K815">
        <v>1</v>
      </c>
      <c r="L815">
        <v>7</v>
      </c>
      <c r="M815">
        <v>0.26400000000000001</v>
      </c>
      <c r="N815">
        <v>0.501</v>
      </c>
      <c r="O815">
        <v>0</v>
      </c>
      <c r="P815">
        <v>0.109</v>
      </c>
      <c r="Q815">
        <v>0.45400000000000001</v>
      </c>
      <c r="R815">
        <v>124.791</v>
      </c>
      <c r="S815">
        <v>4</v>
      </c>
      <c r="T815">
        <v>144935</v>
      </c>
      <c r="U815">
        <v>4</v>
      </c>
      <c r="V815">
        <v>144935</v>
      </c>
      <c r="W815">
        <v>4</v>
      </c>
      <c r="X815">
        <v>144935</v>
      </c>
      <c r="Y815" t="s">
        <v>17</v>
      </c>
      <c r="Z815" t="str">
        <f>LOOKUP(B815,{0,1083,124200,681950},{"1st","2nd","3rd","4th"})&amp;" Quartile"</f>
        <v>1st Quartile</v>
      </c>
    </row>
    <row r="816" spans="1:26">
      <c r="A816">
        <v>2021</v>
      </c>
      <c r="B816">
        <v>36</v>
      </c>
      <c r="C816" t="s">
        <v>1409</v>
      </c>
      <c r="D816" t="s">
        <v>1408</v>
      </c>
      <c r="E816">
        <v>65</v>
      </c>
      <c r="F816" t="s">
        <v>1407</v>
      </c>
      <c r="G816">
        <v>67</v>
      </c>
      <c r="H816">
        <v>0.69</v>
      </c>
      <c r="I816">
        <v>0.84299999999999997</v>
      </c>
      <c r="J816">
        <v>-2.9489999999999998</v>
      </c>
      <c r="K816">
        <v>1</v>
      </c>
      <c r="L816">
        <v>1</v>
      </c>
      <c r="M816">
        <v>5.3400000000000003E-2</v>
      </c>
      <c r="N816">
        <v>1.67E-2</v>
      </c>
      <c r="O816">
        <v>0</v>
      </c>
      <c r="P816">
        <v>0.34599999999999997</v>
      </c>
      <c r="Q816">
        <v>0.42799999999999999</v>
      </c>
      <c r="R816">
        <v>135.01</v>
      </c>
      <c r="S816">
        <v>4</v>
      </c>
      <c r="T816">
        <v>220178</v>
      </c>
      <c r="U816">
        <v>4</v>
      </c>
      <c r="V816">
        <v>220178</v>
      </c>
      <c r="W816">
        <v>4</v>
      </c>
      <c r="X816">
        <v>220178</v>
      </c>
      <c r="Y816" t="s">
        <v>17</v>
      </c>
      <c r="Z816" t="str">
        <f>LOOKUP(B816,{0,1083,124200,681950},{"1st","2nd","3rd","4th"})&amp;" Quartile"</f>
        <v>1st Quartile</v>
      </c>
    </row>
    <row r="817" spans="1:26">
      <c r="A817">
        <v>2020</v>
      </c>
      <c r="B817">
        <v>35</v>
      </c>
      <c r="C817" t="s">
        <v>1056</v>
      </c>
      <c r="D817" t="s">
        <v>1057</v>
      </c>
      <c r="E817">
        <v>56</v>
      </c>
      <c r="F817" t="s">
        <v>1056</v>
      </c>
      <c r="G817">
        <v>0</v>
      </c>
      <c r="H817">
        <v>0.73599999999999999</v>
      </c>
      <c r="I817">
        <v>0.27900000000000003</v>
      </c>
      <c r="J817">
        <v>-16.925999999999998</v>
      </c>
      <c r="K817">
        <v>0</v>
      </c>
      <c r="L817">
        <v>9</v>
      </c>
      <c r="M817">
        <v>0.90300000000000002</v>
      </c>
      <c r="N817">
        <v>0.65</v>
      </c>
      <c r="O817">
        <v>3.1199999999999999E-4</v>
      </c>
      <c r="P817">
        <v>0.246</v>
      </c>
      <c r="Q817">
        <v>0.47599999999999998</v>
      </c>
      <c r="R817">
        <v>76.430999999999997</v>
      </c>
      <c r="S817">
        <v>4</v>
      </c>
      <c r="T817">
        <v>154550</v>
      </c>
      <c r="U817">
        <v>4</v>
      </c>
      <c r="V817">
        <v>154550</v>
      </c>
      <c r="W817">
        <v>4</v>
      </c>
      <c r="X817">
        <v>154550</v>
      </c>
      <c r="Y817" t="s">
        <v>17</v>
      </c>
      <c r="Z817" t="str">
        <f>LOOKUP(B817,{0,1083,124200,681950},{"1st","2nd","3rd","4th"})&amp;" Quartile"</f>
        <v>1st Quartile</v>
      </c>
    </row>
    <row r="818" spans="1:26">
      <c r="A818">
        <v>2022</v>
      </c>
      <c r="B818">
        <v>32</v>
      </c>
      <c r="C818" t="s">
        <v>1701</v>
      </c>
      <c r="D818" t="s">
        <v>1702</v>
      </c>
      <c r="E818">
        <v>45</v>
      </c>
      <c r="F818" t="s">
        <v>1701</v>
      </c>
      <c r="G818">
        <v>48</v>
      </c>
      <c r="H818">
        <v>0.67700000000000005</v>
      </c>
      <c r="I818">
        <v>0.71</v>
      </c>
      <c r="J818">
        <v>-7.1079999999999997</v>
      </c>
      <c r="K818">
        <v>1</v>
      </c>
      <c r="L818">
        <v>8</v>
      </c>
      <c r="M818">
        <v>5.5199999999999999E-2</v>
      </c>
      <c r="N818">
        <v>0.53200000000000003</v>
      </c>
      <c r="O818">
        <v>0</v>
      </c>
      <c r="P818">
        <v>0.33700000000000002</v>
      </c>
      <c r="Q818">
        <v>0.32500000000000001</v>
      </c>
      <c r="R818">
        <v>126.10899999999999</v>
      </c>
      <c r="S818">
        <v>4</v>
      </c>
      <c r="T818">
        <v>129410</v>
      </c>
      <c r="U818">
        <v>4</v>
      </c>
      <c r="V818">
        <v>129410</v>
      </c>
      <c r="W818">
        <v>4</v>
      </c>
      <c r="X818">
        <v>129410</v>
      </c>
      <c r="Y818" t="s">
        <v>17</v>
      </c>
      <c r="Z818" t="str">
        <f>LOOKUP(B818,{0,1083,124200,681950},{"1st","2nd","3rd","4th"})&amp;" Quartile"</f>
        <v>1st Quartile</v>
      </c>
    </row>
    <row r="819" spans="1:26">
      <c r="A819">
        <v>2020</v>
      </c>
      <c r="B819">
        <v>32</v>
      </c>
      <c r="C819" t="s">
        <v>765</v>
      </c>
      <c r="D819" t="s">
        <v>345</v>
      </c>
      <c r="E819">
        <v>87</v>
      </c>
      <c r="F819" t="s">
        <v>764</v>
      </c>
      <c r="G819">
        <v>72</v>
      </c>
      <c r="H819">
        <v>0.68500000000000005</v>
      </c>
      <c r="I819">
        <v>0.61</v>
      </c>
      <c r="J819">
        <v>-5.2210000000000001</v>
      </c>
      <c r="K819">
        <v>0</v>
      </c>
      <c r="L819">
        <v>0</v>
      </c>
      <c r="M819">
        <v>4.3900000000000002E-2</v>
      </c>
      <c r="N819">
        <v>0.32300000000000001</v>
      </c>
      <c r="O819">
        <v>0</v>
      </c>
      <c r="P819">
        <v>0.10199999999999999</v>
      </c>
      <c r="Q819">
        <v>0.32300000000000001</v>
      </c>
      <c r="R819">
        <v>94.384</v>
      </c>
      <c r="S819">
        <v>3</v>
      </c>
      <c r="T819">
        <v>186467</v>
      </c>
      <c r="U819">
        <v>3</v>
      </c>
      <c r="V819">
        <v>186467</v>
      </c>
      <c r="W819">
        <v>3</v>
      </c>
      <c r="X819">
        <v>186467</v>
      </c>
      <c r="Y819" t="s">
        <v>17</v>
      </c>
      <c r="Z819" t="str">
        <f>LOOKUP(B819,{0,1083,124200,681950},{"1st","2nd","3rd","4th"})&amp;" Quartile"</f>
        <v>1st Quartile</v>
      </c>
    </row>
    <row r="820" spans="1:26">
      <c r="A820">
        <v>2022</v>
      </c>
      <c r="B820">
        <v>29</v>
      </c>
      <c r="C820" t="s">
        <v>1743</v>
      </c>
      <c r="D820" t="s">
        <v>1742</v>
      </c>
      <c r="E820">
        <v>82</v>
      </c>
      <c r="F820" t="s">
        <v>1741</v>
      </c>
      <c r="G820">
        <v>73</v>
      </c>
      <c r="H820">
        <v>0.79500000000000004</v>
      </c>
      <c r="I820">
        <v>0.8</v>
      </c>
      <c r="J820">
        <v>-6.32</v>
      </c>
      <c r="K820">
        <v>1</v>
      </c>
      <c r="L820">
        <v>1</v>
      </c>
      <c r="M820">
        <v>3.09E-2</v>
      </c>
      <c r="N820">
        <v>3.5400000000000001E-2</v>
      </c>
      <c r="O820">
        <v>7.25E-5</v>
      </c>
      <c r="P820">
        <v>9.1499999999999998E-2</v>
      </c>
      <c r="Q820">
        <v>0.93400000000000005</v>
      </c>
      <c r="R820">
        <v>116.032</v>
      </c>
      <c r="S820">
        <v>4</v>
      </c>
      <c r="T820">
        <v>202735</v>
      </c>
      <c r="U820">
        <v>4</v>
      </c>
      <c r="V820">
        <v>202735</v>
      </c>
      <c r="W820">
        <v>4</v>
      </c>
      <c r="X820">
        <v>202735</v>
      </c>
      <c r="Y820" t="s">
        <v>17</v>
      </c>
      <c r="Z820" t="str">
        <f>LOOKUP(B820,{0,1083,124200,681950},{"1st","2nd","3rd","4th"})&amp;" Quartile"</f>
        <v>1st Quartile</v>
      </c>
    </row>
    <row r="821" spans="1:26">
      <c r="A821">
        <v>2022</v>
      </c>
      <c r="B821">
        <v>28</v>
      </c>
      <c r="C821" t="s">
        <v>1689</v>
      </c>
      <c r="D821" t="s">
        <v>1687</v>
      </c>
      <c r="E821">
        <v>61</v>
      </c>
      <c r="F821" t="s">
        <v>1689</v>
      </c>
      <c r="G821">
        <v>54</v>
      </c>
      <c r="H821">
        <v>0.75</v>
      </c>
      <c r="I821">
        <v>0.83799999999999997</v>
      </c>
      <c r="J821">
        <v>-5.1319999999999997</v>
      </c>
      <c r="K821">
        <v>1</v>
      </c>
      <c r="L821">
        <v>9</v>
      </c>
      <c r="M821">
        <v>0.124</v>
      </c>
      <c r="N821">
        <v>0.19400000000000001</v>
      </c>
      <c r="O821">
        <v>7.9899999999999997E-6</v>
      </c>
      <c r="P821">
        <v>0.313</v>
      </c>
      <c r="Q821">
        <v>0.39700000000000002</v>
      </c>
      <c r="R821">
        <v>123.89</v>
      </c>
      <c r="S821">
        <v>4</v>
      </c>
      <c r="T821">
        <v>144245</v>
      </c>
      <c r="U821">
        <v>4</v>
      </c>
      <c r="V821">
        <v>144245</v>
      </c>
      <c r="W821">
        <v>4</v>
      </c>
      <c r="X821">
        <v>144245</v>
      </c>
      <c r="Y821" t="s">
        <v>17</v>
      </c>
      <c r="Z821" t="str">
        <f>LOOKUP(B821,{0,1083,124200,681950},{"1st","2nd","3rd","4th"})&amp;" Quartile"</f>
        <v>1st Quartile</v>
      </c>
    </row>
    <row r="822" spans="1:26">
      <c r="A822">
        <v>2022</v>
      </c>
      <c r="B822">
        <v>23</v>
      </c>
      <c r="C822" t="s">
        <v>1757</v>
      </c>
      <c r="D822" t="s">
        <v>1758</v>
      </c>
      <c r="E822">
        <v>47</v>
      </c>
      <c r="F822" t="s">
        <v>1757</v>
      </c>
      <c r="G822">
        <v>49</v>
      </c>
      <c r="H822">
        <v>0.79600000000000004</v>
      </c>
      <c r="I822">
        <v>0.66</v>
      </c>
      <c r="J822">
        <v>-6.6950000000000003</v>
      </c>
      <c r="K822">
        <v>0</v>
      </c>
      <c r="L822">
        <v>4</v>
      </c>
      <c r="M822">
        <v>5.0500000000000003E-2</v>
      </c>
      <c r="N822">
        <v>5.3100000000000001E-2</v>
      </c>
      <c r="O822">
        <v>2.73E-5</v>
      </c>
      <c r="P822">
        <v>0.31900000000000001</v>
      </c>
      <c r="Q822">
        <v>0.73499999999999999</v>
      </c>
      <c r="R822">
        <v>109.92</v>
      </c>
      <c r="S822">
        <v>4</v>
      </c>
      <c r="T822">
        <v>158312</v>
      </c>
      <c r="U822">
        <v>4</v>
      </c>
      <c r="V822">
        <v>158312</v>
      </c>
      <c r="W822">
        <v>4</v>
      </c>
      <c r="X822">
        <v>158312</v>
      </c>
      <c r="Y822" t="s">
        <v>17</v>
      </c>
      <c r="Z822" t="str">
        <f>LOOKUP(B822,{0,1083,124200,681950},{"1st","2nd","3rd","4th"})&amp;" Quartile"</f>
        <v>1st Quartile</v>
      </c>
    </row>
    <row r="823" spans="1:26">
      <c r="A823">
        <v>2020</v>
      </c>
      <c r="B823">
        <v>23</v>
      </c>
      <c r="C823" t="s">
        <v>528</v>
      </c>
      <c r="D823" t="s">
        <v>527</v>
      </c>
      <c r="E823">
        <v>65</v>
      </c>
      <c r="F823" t="s">
        <v>526</v>
      </c>
      <c r="G823">
        <v>78</v>
      </c>
      <c r="H823">
        <v>0.72699999999999998</v>
      </c>
      <c r="I823">
        <v>0.72899999999999998</v>
      </c>
      <c r="J823">
        <v>-2.99</v>
      </c>
      <c r="K823">
        <v>1</v>
      </c>
      <c r="L823">
        <v>0</v>
      </c>
      <c r="M823">
        <v>0.32600000000000001</v>
      </c>
      <c r="N823">
        <v>0.17100000000000001</v>
      </c>
      <c r="O823">
        <v>0</v>
      </c>
      <c r="P823">
        <v>7.0000000000000007E-2</v>
      </c>
      <c r="Q823">
        <v>0.51200000000000001</v>
      </c>
      <c r="R823">
        <v>117.932</v>
      </c>
      <c r="S823">
        <v>4</v>
      </c>
      <c r="T823">
        <v>284733</v>
      </c>
      <c r="U823">
        <v>4</v>
      </c>
      <c r="V823">
        <v>284733</v>
      </c>
      <c r="W823">
        <v>4</v>
      </c>
      <c r="X823">
        <v>284733</v>
      </c>
      <c r="Y823" t="s">
        <v>17</v>
      </c>
      <c r="Z823" t="str">
        <f>LOOKUP(B823,{0,1083,124200,681950},{"1st","2nd","3rd","4th"})&amp;" Quartile"</f>
        <v>1st Quartile</v>
      </c>
    </row>
    <row r="824" spans="1:26">
      <c r="A824">
        <v>2022</v>
      </c>
      <c r="B824">
        <v>20</v>
      </c>
      <c r="C824" t="s">
        <v>1773</v>
      </c>
      <c r="D824" t="s">
        <v>1774</v>
      </c>
      <c r="E824">
        <v>34</v>
      </c>
      <c r="F824" t="s">
        <v>1773</v>
      </c>
      <c r="G824">
        <v>52</v>
      </c>
      <c r="H824">
        <v>0.73799999999999999</v>
      </c>
      <c r="I824">
        <v>0.68500000000000005</v>
      </c>
      <c r="J824">
        <v>-8.1129999999999995</v>
      </c>
      <c r="K824">
        <v>0</v>
      </c>
      <c r="L824">
        <v>10</v>
      </c>
      <c r="M824">
        <v>0.40899999999999997</v>
      </c>
      <c r="N824">
        <v>0.13500000000000001</v>
      </c>
      <c r="O824">
        <v>0</v>
      </c>
      <c r="P824">
        <v>0.4</v>
      </c>
      <c r="Q824">
        <v>0.66300000000000003</v>
      </c>
      <c r="R824">
        <v>162.03899999999999</v>
      </c>
      <c r="S824">
        <v>4</v>
      </c>
      <c r="T824">
        <v>204000</v>
      </c>
      <c r="U824">
        <v>4</v>
      </c>
      <c r="V824">
        <v>204000</v>
      </c>
      <c r="W824">
        <v>4</v>
      </c>
      <c r="X824">
        <v>204000</v>
      </c>
      <c r="Y824" t="s">
        <v>17</v>
      </c>
      <c r="Z824" t="str">
        <f>LOOKUP(B824,{0,1083,124200,681950},{"1st","2nd","3rd","4th"})&amp;" Quartile"</f>
        <v>1st Quartile</v>
      </c>
    </row>
    <row r="825" spans="1:26">
      <c r="A825">
        <v>2022</v>
      </c>
      <c r="B825">
        <v>20</v>
      </c>
      <c r="C825" t="s">
        <v>280</v>
      </c>
      <c r="D825" t="s">
        <v>1749</v>
      </c>
      <c r="E825">
        <v>39</v>
      </c>
      <c r="F825" t="s">
        <v>280</v>
      </c>
      <c r="G825">
        <v>50</v>
      </c>
      <c r="H825">
        <v>0.73199999999999998</v>
      </c>
      <c r="I825">
        <v>0.51100000000000001</v>
      </c>
      <c r="J825">
        <v>-5.101</v>
      </c>
      <c r="K825">
        <v>1</v>
      </c>
      <c r="L825">
        <v>11</v>
      </c>
      <c r="M825">
        <v>4.1300000000000003E-2</v>
      </c>
      <c r="N825">
        <v>0.15</v>
      </c>
      <c r="O825">
        <v>8.9199999999999993E-6</v>
      </c>
      <c r="P825">
        <v>5.8999999999999997E-2</v>
      </c>
      <c r="Q825">
        <v>0.69099999999999995</v>
      </c>
      <c r="R825">
        <v>171.90700000000001</v>
      </c>
      <c r="S825">
        <v>4</v>
      </c>
      <c r="T825">
        <v>161423</v>
      </c>
      <c r="U825">
        <v>4</v>
      </c>
      <c r="V825">
        <v>161423</v>
      </c>
      <c r="W825">
        <v>4</v>
      </c>
      <c r="X825">
        <v>161423</v>
      </c>
      <c r="Y825" t="s">
        <v>17</v>
      </c>
      <c r="Z825" t="str">
        <f>LOOKUP(B825,{0,1083,124200,681950},{"1st","2nd","3rd","4th"})&amp;" Quartile"</f>
        <v>1st Quartile</v>
      </c>
    </row>
    <row r="826" spans="1:26">
      <c r="A826">
        <v>2022</v>
      </c>
      <c r="B826">
        <v>20</v>
      </c>
      <c r="C826" t="s">
        <v>1720</v>
      </c>
      <c r="D826" t="s">
        <v>1546</v>
      </c>
      <c r="E826">
        <v>48</v>
      </c>
      <c r="F826" t="s">
        <v>1720</v>
      </c>
      <c r="G826">
        <v>56</v>
      </c>
      <c r="H826">
        <v>0.69</v>
      </c>
      <c r="I826">
        <v>0.74099999999999999</v>
      </c>
      <c r="J826">
        <v>-7.4050000000000002</v>
      </c>
      <c r="K826">
        <v>1</v>
      </c>
      <c r="L826">
        <v>7</v>
      </c>
      <c r="M826">
        <v>3.6299999999999999E-2</v>
      </c>
      <c r="N826">
        <v>4.3299999999999998E-2</v>
      </c>
      <c r="O826">
        <v>4.2900000000000004E-3</v>
      </c>
      <c r="P826">
        <v>9.7500000000000003E-2</v>
      </c>
      <c r="Q826">
        <v>7.7399999999999997E-2</v>
      </c>
      <c r="R826">
        <v>125.985</v>
      </c>
      <c r="S826">
        <v>4</v>
      </c>
      <c r="T826">
        <v>146190</v>
      </c>
      <c r="U826">
        <v>4</v>
      </c>
      <c r="V826">
        <v>146190</v>
      </c>
      <c r="W826">
        <v>4</v>
      </c>
      <c r="X826">
        <v>146190</v>
      </c>
      <c r="Y826" t="s">
        <v>17</v>
      </c>
      <c r="Z826" t="str">
        <f>LOOKUP(B826,{0,1083,124200,681950},{"1st","2nd","3rd","4th"})&amp;" Quartile"</f>
        <v>1st Quartile</v>
      </c>
    </row>
    <row r="827" spans="1:26">
      <c r="A827">
        <v>2019</v>
      </c>
      <c r="B827">
        <v>19</v>
      </c>
      <c r="C827" t="s">
        <v>528</v>
      </c>
      <c r="D827" t="s">
        <v>527</v>
      </c>
      <c r="E827">
        <v>65</v>
      </c>
      <c r="F827" t="s">
        <v>526</v>
      </c>
      <c r="G827">
        <v>78</v>
      </c>
      <c r="H827">
        <v>0.72699999999999998</v>
      </c>
      <c r="I827">
        <v>0.72899999999999998</v>
      </c>
      <c r="J827">
        <v>-2.99</v>
      </c>
      <c r="K827">
        <v>1</v>
      </c>
      <c r="L827">
        <v>0</v>
      </c>
      <c r="M827">
        <v>0.32600000000000001</v>
      </c>
      <c r="N827">
        <v>0.17100000000000001</v>
      </c>
      <c r="O827">
        <v>0</v>
      </c>
      <c r="P827">
        <v>7.0000000000000007E-2</v>
      </c>
      <c r="Q827">
        <v>0.51200000000000001</v>
      </c>
      <c r="R827">
        <v>117.932</v>
      </c>
      <c r="S827">
        <v>4</v>
      </c>
      <c r="T827">
        <v>284733</v>
      </c>
      <c r="U827">
        <v>4</v>
      </c>
      <c r="V827">
        <v>284733</v>
      </c>
      <c r="W827">
        <v>4</v>
      </c>
      <c r="X827">
        <v>284733</v>
      </c>
      <c r="Y827" t="s">
        <v>17</v>
      </c>
      <c r="Z827" t="str">
        <f>LOOKUP(B827,{0,1083,124200,681950},{"1st","2nd","3rd","4th"})&amp;" Quartile"</f>
        <v>1st Quartile</v>
      </c>
    </row>
    <row r="828" spans="1:26">
      <c r="A828">
        <v>2022</v>
      </c>
      <c r="B828">
        <v>17</v>
      </c>
      <c r="C828" t="s">
        <v>1621</v>
      </c>
      <c r="D828" t="s">
        <v>1622</v>
      </c>
      <c r="E828">
        <v>48</v>
      </c>
      <c r="F828" t="s">
        <v>1621</v>
      </c>
      <c r="G828">
        <v>53</v>
      </c>
      <c r="H828">
        <v>0.59899999999999998</v>
      </c>
      <c r="I828">
        <v>0.69199999999999995</v>
      </c>
      <c r="J828">
        <v>-4.43</v>
      </c>
      <c r="K828">
        <v>0</v>
      </c>
      <c r="L828">
        <v>1</v>
      </c>
      <c r="M828">
        <v>7.3899999999999993E-2</v>
      </c>
      <c r="N828">
        <v>0.124</v>
      </c>
      <c r="O828">
        <v>0</v>
      </c>
      <c r="P828">
        <v>0.375</v>
      </c>
      <c r="Q828">
        <v>0.307</v>
      </c>
      <c r="R828">
        <v>121.79600000000001</v>
      </c>
      <c r="S828">
        <v>4</v>
      </c>
      <c r="T828">
        <v>144349</v>
      </c>
      <c r="U828">
        <v>4</v>
      </c>
      <c r="V828">
        <v>144349</v>
      </c>
      <c r="W828">
        <v>4</v>
      </c>
      <c r="X828">
        <v>144349</v>
      </c>
      <c r="Y828" t="s">
        <v>17</v>
      </c>
      <c r="Z828" t="str">
        <f>LOOKUP(B828,{0,1083,124200,681950},{"1st","2nd","3rd","4th"})&amp;" Quartile"</f>
        <v>1st Quartile</v>
      </c>
    </row>
    <row r="829" spans="1:26">
      <c r="A829">
        <v>2020</v>
      </c>
      <c r="B829">
        <v>16</v>
      </c>
      <c r="C829" t="s">
        <v>636</v>
      </c>
      <c r="D829" t="s">
        <v>367</v>
      </c>
      <c r="E829">
        <v>90</v>
      </c>
      <c r="F829" t="s">
        <v>635</v>
      </c>
      <c r="G829">
        <v>70</v>
      </c>
      <c r="H829">
        <v>0.59199999999999997</v>
      </c>
      <c r="I829">
        <v>0.40300000000000002</v>
      </c>
      <c r="J829">
        <v>-8.7680000000000007</v>
      </c>
      <c r="K829">
        <v>0</v>
      </c>
      <c r="L829">
        <v>0</v>
      </c>
      <c r="M829">
        <v>0.41399999999999998</v>
      </c>
      <c r="N829">
        <v>0.62</v>
      </c>
      <c r="O829">
        <v>0</v>
      </c>
      <c r="P829">
        <v>0.54</v>
      </c>
      <c r="Q829">
        <v>0.39100000000000001</v>
      </c>
      <c r="R829">
        <v>105.169</v>
      </c>
      <c r="S829">
        <v>4</v>
      </c>
      <c r="T829">
        <v>320680</v>
      </c>
      <c r="U829">
        <v>4</v>
      </c>
      <c r="V829">
        <v>320680</v>
      </c>
      <c r="W829">
        <v>4</v>
      </c>
      <c r="X829">
        <v>320680</v>
      </c>
      <c r="Y829" t="s">
        <v>17</v>
      </c>
      <c r="Z829" t="str">
        <f>LOOKUP(B829,{0,1083,124200,681950},{"1st","2nd","3rd","4th"})&amp;" Quartile"</f>
        <v>1st Quartile</v>
      </c>
    </row>
    <row r="830" spans="1:26">
      <c r="A830">
        <v>2022</v>
      </c>
      <c r="B830">
        <v>15</v>
      </c>
      <c r="C830" t="s">
        <v>1651</v>
      </c>
      <c r="D830" t="s">
        <v>1568</v>
      </c>
      <c r="E830">
        <v>46</v>
      </c>
      <c r="F830" t="s">
        <v>1567</v>
      </c>
      <c r="G830">
        <v>44</v>
      </c>
      <c r="H830">
        <v>0.74099999999999999</v>
      </c>
      <c r="I830">
        <v>0.47499999999999998</v>
      </c>
      <c r="J830">
        <v>-7.665</v>
      </c>
      <c r="K830">
        <v>1</v>
      </c>
      <c r="L830">
        <v>2</v>
      </c>
      <c r="M830">
        <v>0.20499999999999999</v>
      </c>
      <c r="N830">
        <v>2.1399999999999999E-2</v>
      </c>
      <c r="O830">
        <v>0</v>
      </c>
      <c r="P830">
        <v>0.35099999999999998</v>
      </c>
      <c r="Q830">
        <v>0.59699999999999998</v>
      </c>
      <c r="R830">
        <v>166.01599999999999</v>
      </c>
      <c r="S830">
        <v>4</v>
      </c>
      <c r="T830">
        <v>158160</v>
      </c>
      <c r="U830">
        <v>4</v>
      </c>
      <c r="V830">
        <v>158160</v>
      </c>
      <c r="W830">
        <v>4</v>
      </c>
      <c r="X830">
        <v>158160</v>
      </c>
      <c r="Y830" t="s">
        <v>17</v>
      </c>
      <c r="Z830" t="str">
        <f>LOOKUP(B830,{0,1083,124200,681950},{"1st","2nd","3rd","4th"})&amp;" Quartile"</f>
        <v>1st Quartile</v>
      </c>
    </row>
    <row r="831" spans="1:26">
      <c r="A831">
        <v>2021</v>
      </c>
      <c r="B831">
        <v>15</v>
      </c>
      <c r="C831" t="s">
        <v>139</v>
      </c>
      <c r="D831" t="s">
        <v>1514</v>
      </c>
      <c r="E831">
        <v>57</v>
      </c>
      <c r="F831" t="s">
        <v>139</v>
      </c>
      <c r="G831">
        <v>73</v>
      </c>
      <c r="H831">
        <v>0.63</v>
      </c>
      <c r="I831">
        <v>0.45600000000000002</v>
      </c>
      <c r="J831">
        <v>-8.2850000000000001</v>
      </c>
      <c r="K831">
        <v>1</v>
      </c>
      <c r="L831">
        <v>8</v>
      </c>
      <c r="M831">
        <v>3.1699999999999999E-2</v>
      </c>
      <c r="N831">
        <v>0.54500000000000004</v>
      </c>
      <c r="O831">
        <v>0</v>
      </c>
      <c r="P831">
        <v>0.114</v>
      </c>
      <c r="Q831">
        <v>0.16600000000000001</v>
      </c>
      <c r="R831">
        <v>137.91499999999999</v>
      </c>
      <c r="S831">
        <v>3</v>
      </c>
      <c r="T831">
        <v>251440</v>
      </c>
      <c r="U831">
        <v>3</v>
      </c>
      <c r="V831">
        <v>251440</v>
      </c>
      <c r="W831">
        <v>3</v>
      </c>
      <c r="X831">
        <v>251440</v>
      </c>
      <c r="Y831" t="s">
        <v>17</v>
      </c>
      <c r="Z831" t="str">
        <f>LOOKUP(B831,{0,1083,124200,681950},{"1st","2nd","3rd","4th"})&amp;" Quartile"</f>
        <v>1st Quartile</v>
      </c>
    </row>
    <row r="832" spans="1:26">
      <c r="A832">
        <v>2022</v>
      </c>
      <c r="B832">
        <v>14</v>
      </c>
      <c r="C832" t="s">
        <v>1350</v>
      </c>
      <c r="D832" t="s">
        <v>1698</v>
      </c>
      <c r="E832">
        <v>39</v>
      </c>
      <c r="F832" t="s">
        <v>1697</v>
      </c>
      <c r="G832">
        <v>38</v>
      </c>
      <c r="H832">
        <v>0.61</v>
      </c>
      <c r="I832">
        <v>0.90200000000000002</v>
      </c>
      <c r="J832">
        <v>-4.351</v>
      </c>
      <c r="K832">
        <v>0</v>
      </c>
      <c r="L832">
        <v>11</v>
      </c>
      <c r="M832">
        <v>7.6399999999999996E-2</v>
      </c>
      <c r="N832">
        <v>0.13300000000000001</v>
      </c>
      <c r="O832">
        <v>3.3300000000000002E-4</v>
      </c>
      <c r="P832">
        <v>0.11899999999999999</v>
      </c>
      <c r="Q832">
        <v>0.47799999999999998</v>
      </c>
      <c r="R832">
        <v>186.04900000000001</v>
      </c>
      <c r="S832">
        <v>3</v>
      </c>
      <c r="T832">
        <v>154839</v>
      </c>
      <c r="U832">
        <v>3</v>
      </c>
      <c r="V832">
        <v>154839</v>
      </c>
      <c r="W832">
        <v>3</v>
      </c>
      <c r="X832">
        <v>154839</v>
      </c>
      <c r="Y832" t="s">
        <v>17</v>
      </c>
      <c r="Z832" t="str">
        <f>LOOKUP(B832,{0,1083,124200,681950},{"1st","2nd","3rd","4th"})&amp;" Quartile"</f>
        <v>1st Quartile</v>
      </c>
    </row>
    <row r="833" spans="1:26">
      <c r="A833">
        <v>2022</v>
      </c>
      <c r="B833">
        <v>14</v>
      </c>
      <c r="C833" t="s">
        <v>1604</v>
      </c>
      <c r="D833" t="s">
        <v>1605</v>
      </c>
      <c r="E833">
        <v>59</v>
      </c>
      <c r="F833" t="s">
        <v>1604</v>
      </c>
      <c r="G833">
        <v>48</v>
      </c>
      <c r="H833">
        <v>0.73199999999999998</v>
      </c>
      <c r="I833">
        <v>0.91900000000000004</v>
      </c>
      <c r="J833">
        <v>-4.6340000000000003</v>
      </c>
      <c r="K833">
        <v>0</v>
      </c>
      <c r="L833">
        <v>6</v>
      </c>
      <c r="M833">
        <v>0.115</v>
      </c>
      <c r="N833">
        <v>2.7099999999999999E-2</v>
      </c>
      <c r="O833">
        <v>8.6600000000000002E-4</v>
      </c>
      <c r="P833">
        <v>0.375</v>
      </c>
      <c r="Q833">
        <v>0.13600000000000001</v>
      </c>
      <c r="R833">
        <v>125.997</v>
      </c>
      <c r="S833">
        <v>4</v>
      </c>
      <c r="T833">
        <v>190879</v>
      </c>
      <c r="U833">
        <v>4</v>
      </c>
      <c r="V833">
        <v>190879</v>
      </c>
      <c r="W833">
        <v>4</v>
      </c>
      <c r="X833">
        <v>190879</v>
      </c>
      <c r="Y833" t="s">
        <v>17</v>
      </c>
      <c r="Z833" t="str">
        <f>LOOKUP(B833,{0,1083,124200,681950},{"1st","2nd","3rd","4th"})&amp;" Quartile"</f>
        <v>1st Quartile</v>
      </c>
    </row>
    <row r="834" spans="1:26">
      <c r="A834">
        <v>2022</v>
      </c>
      <c r="B834">
        <v>12</v>
      </c>
      <c r="C834" t="s">
        <v>1713</v>
      </c>
      <c r="D834" t="s">
        <v>1687</v>
      </c>
      <c r="E834">
        <v>61</v>
      </c>
      <c r="F834" t="s">
        <v>1713</v>
      </c>
      <c r="G834">
        <v>52</v>
      </c>
      <c r="H834">
        <v>0.72399999999999998</v>
      </c>
      <c r="I834">
        <v>0.69199999999999995</v>
      </c>
      <c r="J834">
        <v>-4.9969999999999999</v>
      </c>
      <c r="K834">
        <v>1</v>
      </c>
      <c r="L834">
        <v>5</v>
      </c>
      <c r="M834">
        <v>0.109</v>
      </c>
      <c r="N834">
        <v>7.3999999999999996E-2</v>
      </c>
      <c r="O834">
        <v>0</v>
      </c>
      <c r="P834">
        <v>9.3700000000000006E-2</v>
      </c>
      <c r="Q834">
        <v>0.41899999999999998</v>
      </c>
      <c r="R834">
        <v>134.08799999999999</v>
      </c>
      <c r="S834">
        <v>4</v>
      </c>
      <c r="T834">
        <v>152126</v>
      </c>
      <c r="U834">
        <v>4</v>
      </c>
      <c r="V834">
        <v>152126</v>
      </c>
      <c r="W834">
        <v>4</v>
      </c>
      <c r="X834">
        <v>152126</v>
      </c>
      <c r="Y834" t="s">
        <v>17</v>
      </c>
      <c r="Z834" t="str">
        <f>LOOKUP(B834,{0,1083,124200,681950},{"1st","2nd","3rd","4th"})&amp;" Quartile"</f>
        <v>1st Quartile</v>
      </c>
    </row>
    <row r="835" spans="1:26">
      <c r="A835">
        <v>2022</v>
      </c>
      <c r="B835">
        <v>12</v>
      </c>
      <c r="C835" t="s">
        <v>1659</v>
      </c>
      <c r="D835" t="s">
        <v>1574</v>
      </c>
      <c r="E835">
        <v>60</v>
      </c>
      <c r="F835" t="s">
        <v>1659</v>
      </c>
      <c r="G835">
        <v>54</v>
      </c>
      <c r="H835">
        <v>0.84499999999999997</v>
      </c>
      <c r="I835">
        <v>0.66900000000000004</v>
      </c>
      <c r="J835">
        <v>-7.8860000000000001</v>
      </c>
      <c r="K835">
        <v>1</v>
      </c>
      <c r="L835">
        <v>8</v>
      </c>
      <c r="M835">
        <v>6.5799999999999997E-2</v>
      </c>
      <c r="N835">
        <v>0.18099999999999999</v>
      </c>
      <c r="O835">
        <v>3.47E-3</v>
      </c>
      <c r="P835">
        <v>8.9700000000000002E-2</v>
      </c>
      <c r="Q835">
        <v>0.86</v>
      </c>
      <c r="R835">
        <v>125.014</v>
      </c>
      <c r="S835">
        <v>4</v>
      </c>
      <c r="T835">
        <v>151680</v>
      </c>
      <c r="U835">
        <v>4</v>
      </c>
      <c r="V835">
        <v>151680</v>
      </c>
      <c r="W835">
        <v>4</v>
      </c>
      <c r="X835">
        <v>151680</v>
      </c>
      <c r="Y835" t="s">
        <v>17</v>
      </c>
      <c r="Z835" t="str">
        <f>LOOKUP(B835,{0,1083,124200,681950},{"1st","2nd","3rd","4th"})&amp;" Quartile"</f>
        <v>1st Quartile</v>
      </c>
    </row>
    <row r="836" spans="1:26">
      <c r="A836">
        <v>2022</v>
      </c>
      <c r="B836">
        <v>12</v>
      </c>
      <c r="C836" t="s">
        <v>1613</v>
      </c>
      <c r="D836" t="s">
        <v>1585</v>
      </c>
      <c r="E836">
        <v>56</v>
      </c>
      <c r="F836" t="s">
        <v>1613</v>
      </c>
      <c r="G836">
        <v>53</v>
      </c>
      <c r="H836">
        <v>0.67600000000000005</v>
      </c>
      <c r="I836">
        <v>0.84199999999999997</v>
      </c>
      <c r="J836">
        <v>-5.98</v>
      </c>
      <c r="K836">
        <v>1</v>
      </c>
      <c r="L836">
        <v>8</v>
      </c>
      <c r="M836">
        <v>0.23899999999999999</v>
      </c>
      <c r="N836">
        <v>5.7799999999999997E-2</v>
      </c>
      <c r="O836">
        <v>1.3699999999999999E-3</v>
      </c>
      <c r="P836">
        <v>0.20899999999999999</v>
      </c>
      <c r="Q836">
        <v>0.38800000000000001</v>
      </c>
      <c r="R836">
        <v>140.142</v>
      </c>
      <c r="S836">
        <v>4</v>
      </c>
      <c r="T836">
        <v>134857</v>
      </c>
      <c r="U836">
        <v>4</v>
      </c>
      <c r="V836">
        <v>134857</v>
      </c>
      <c r="W836">
        <v>4</v>
      </c>
      <c r="X836">
        <v>134857</v>
      </c>
      <c r="Y836" t="s">
        <v>17</v>
      </c>
      <c r="Z836" t="str">
        <f>LOOKUP(B836,{0,1083,124200,681950},{"1st","2nd","3rd","4th"})&amp;" Quartile"</f>
        <v>1st Quartile</v>
      </c>
    </row>
    <row r="837" spans="1:26">
      <c r="A837">
        <v>2020</v>
      </c>
      <c r="B837">
        <v>12</v>
      </c>
      <c r="C837" t="s">
        <v>645</v>
      </c>
      <c r="D837" t="s">
        <v>644</v>
      </c>
      <c r="E837">
        <v>84</v>
      </c>
      <c r="F837" t="s">
        <v>643</v>
      </c>
      <c r="G837">
        <v>87</v>
      </c>
      <c r="H837">
        <v>0.69</v>
      </c>
      <c r="I837">
        <v>0.52100000000000002</v>
      </c>
      <c r="J837">
        <v>-8.4920000000000009</v>
      </c>
      <c r="K837">
        <v>0</v>
      </c>
      <c r="L837">
        <v>10</v>
      </c>
      <c r="M837">
        <v>0.33900000000000002</v>
      </c>
      <c r="N837">
        <v>0.32400000000000001</v>
      </c>
      <c r="O837">
        <v>0</v>
      </c>
      <c r="P837">
        <v>5.3400000000000003E-2</v>
      </c>
      <c r="Q837">
        <v>0.49399999999999999</v>
      </c>
      <c r="R837">
        <v>100.02800000000001</v>
      </c>
      <c r="S837">
        <v>4</v>
      </c>
      <c r="T837">
        <v>292799</v>
      </c>
      <c r="U837">
        <v>4</v>
      </c>
      <c r="V837">
        <v>292799</v>
      </c>
      <c r="W837">
        <v>4</v>
      </c>
      <c r="X837">
        <v>292799</v>
      </c>
      <c r="Y837" t="s">
        <v>17</v>
      </c>
      <c r="Z837" t="str">
        <f>LOOKUP(B837,{0,1083,124200,681950},{"1st","2nd","3rd","4th"})&amp;" Quartile"</f>
        <v>1st Quartile</v>
      </c>
    </row>
    <row r="838" spans="1:26">
      <c r="A838">
        <v>2022</v>
      </c>
      <c r="B838">
        <v>11</v>
      </c>
      <c r="C838" t="s">
        <v>1765</v>
      </c>
      <c r="D838" t="s">
        <v>1766</v>
      </c>
      <c r="E838">
        <v>41</v>
      </c>
      <c r="F838" t="s">
        <v>1765</v>
      </c>
      <c r="G838">
        <v>32</v>
      </c>
      <c r="H838">
        <v>0.77600000000000002</v>
      </c>
      <c r="I838">
        <v>0.65600000000000003</v>
      </c>
      <c r="J838">
        <v>-8.9209999999999994</v>
      </c>
      <c r="K838">
        <v>0</v>
      </c>
      <c r="L838">
        <v>4</v>
      </c>
      <c r="M838">
        <v>0.13</v>
      </c>
      <c r="N838">
        <v>0.32900000000000001</v>
      </c>
      <c r="O838">
        <v>0</v>
      </c>
      <c r="P838">
        <v>0.11899999999999999</v>
      </c>
      <c r="Q838">
        <v>0.64900000000000002</v>
      </c>
      <c r="R838">
        <v>148.94999999999999</v>
      </c>
      <c r="S838">
        <v>4</v>
      </c>
      <c r="T838">
        <v>183465</v>
      </c>
      <c r="U838">
        <v>4</v>
      </c>
      <c r="V838">
        <v>183465</v>
      </c>
      <c r="W838">
        <v>4</v>
      </c>
      <c r="X838">
        <v>183465</v>
      </c>
      <c r="Y838" t="s">
        <v>17</v>
      </c>
      <c r="Z838" t="str">
        <f>LOOKUP(B838,{0,1083,124200,681950},{"1st","2nd","3rd","4th"})&amp;" Quartile"</f>
        <v>1st Quartile</v>
      </c>
    </row>
    <row r="839" spans="1:26">
      <c r="A839">
        <v>2022</v>
      </c>
      <c r="B839">
        <v>11</v>
      </c>
      <c r="C839" t="s">
        <v>1717</v>
      </c>
      <c r="D839" t="s">
        <v>1583</v>
      </c>
      <c r="E839">
        <v>63</v>
      </c>
      <c r="F839" t="s">
        <v>1717</v>
      </c>
      <c r="G839">
        <v>58</v>
      </c>
      <c r="H839">
        <v>0.77100000000000002</v>
      </c>
      <c r="I839">
        <v>0.93200000000000005</v>
      </c>
      <c r="J839">
        <v>-3.7269999999999999</v>
      </c>
      <c r="K839">
        <v>0</v>
      </c>
      <c r="L839">
        <v>7</v>
      </c>
      <c r="M839">
        <v>4.24E-2</v>
      </c>
      <c r="N839">
        <v>0.311</v>
      </c>
      <c r="O839">
        <v>1.5799999999999999E-4</v>
      </c>
      <c r="P839">
        <v>0.11600000000000001</v>
      </c>
      <c r="Q839">
        <v>0.13900000000000001</v>
      </c>
      <c r="R839">
        <v>120.012</v>
      </c>
      <c r="S839">
        <v>4</v>
      </c>
      <c r="T839">
        <v>155000</v>
      </c>
      <c r="U839">
        <v>4</v>
      </c>
      <c r="V839">
        <v>155000</v>
      </c>
      <c r="W839">
        <v>4</v>
      </c>
      <c r="X839">
        <v>155000</v>
      </c>
      <c r="Y839" t="s">
        <v>17</v>
      </c>
      <c r="Z839" t="str">
        <f>LOOKUP(B839,{0,1083,124200,681950},{"1st","2nd","3rd","4th"})&amp;" Quartile"</f>
        <v>1st Quartile</v>
      </c>
    </row>
    <row r="840" spans="1:26">
      <c r="A840">
        <v>2022</v>
      </c>
      <c r="B840">
        <v>11</v>
      </c>
      <c r="C840" t="s">
        <v>1584</v>
      </c>
      <c r="D840" t="s">
        <v>1585</v>
      </c>
      <c r="E840">
        <v>56</v>
      </c>
      <c r="F840" t="s">
        <v>1584</v>
      </c>
      <c r="G840">
        <v>49</v>
      </c>
      <c r="H840">
        <v>0.80500000000000005</v>
      </c>
      <c r="I840">
        <v>0.871</v>
      </c>
      <c r="J840">
        <v>-5.7160000000000002</v>
      </c>
      <c r="K840">
        <v>1</v>
      </c>
      <c r="L840">
        <v>6</v>
      </c>
      <c r="M840">
        <v>0.28599999999999998</v>
      </c>
      <c r="N840">
        <v>0.17699999999999999</v>
      </c>
      <c r="O840">
        <v>7.5000000000000002E-6</v>
      </c>
      <c r="P840">
        <v>0.26600000000000001</v>
      </c>
      <c r="Q840">
        <v>0.443</v>
      </c>
      <c r="R840">
        <v>136.01</v>
      </c>
      <c r="S840">
        <v>4</v>
      </c>
      <c r="T840">
        <v>171696</v>
      </c>
      <c r="U840">
        <v>4</v>
      </c>
      <c r="V840">
        <v>171696</v>
      </c>
      <c r="W840">
        <v>4</v>
      </c>
      <c r="X840">
        <v>171696</v>
      </c>
      <c r="Y840" t="s">
        <v>17</v>
      </c>
      <c r="Z840" t="str">
        <f>LOOKUP(B840,{0,1083,124200,681950},{"1st","2nd","3rd","4th"})&amp;" Quartile"</f>
        <v>1st Quartile</v>
      </c>
    </row>
    <row r="841" spans="1:26">
      <c r="A841">
        <v>2020</v>
      </c>
      <c r="B841">
        <v>10</v>
      </c>
      <c r="C841" t="s">
        <v>920</v>
      </c>
      <c r="D841" t="s">
        <v>175</v>
      </c>
      <c r="E841">
        <v>88</v>
      </c>
      <c r="F841" t="s">
        <v>174</v>
      </c>
      <c r="G841">
        <v>46</v>
      </c>
      <c r="H841">
        <v>0.874</v>
      </c>
      <c r="I841">
        <v>0.48699999999999999</v>
      </c>
      <c r="J841">
        <v>-6.032</v>
      </c>
      <c r="K841">
        <v>1</v>
      </c>
      <c r="L841">
        <v>2</v>
      </c>
      <c r="M841">
        <v>0.19400000000000001</v>
      </c>
      <c r="N841">
        <v>0.23699999999999999</v>
      </c>
      <c r="O841">
        <v>0</v>
      </c>
      <c r="P841">
        <v>9.7799999999999998E-2</v>
      </c>
      <c r="Q841">
        <v>0.371</v>
      </c>
      <c r="R841">
        <v>106.05200000000001</v>
      </c>
      <c r="S841">
        <v>4</v>
      </c>
      <c r="T841">
        <v>163173</v>
      </c>
      <c r="U841">
        <v>4</v>
      </c>
      <c r="V841">
        <v>163173</v>
      </c>
      <c r="W841">
        <v>4</v>
      </c>
      <c r="X841">
        <v>163173</v>
      </c>
      <c r="Y841" t="s">
        <v>17</v>
      </c>
      <c r="Z841" t="str">
        <f>LOOKUP(B841,{0,1083,124200,681950},{"1st","2nd","3rd","4th"})&amp;" Quartile"</f>
        <v>1st Quartile</v>
      </c>
    </row>
    <row r="842" spans="1:26">
      <c r="A842">
        <v>2020</v>
      </c>
      <c r="B842">
        <v>10</v>
      </c>
      <c r="C842" t="s">
        <v>920</v>
      </c>
      <c r="D842" t="s">
        <v>175</v>
      </c>
      <c r="E842">
        <v>88</v>
      </c>
      <c r="F842" t="s">
        <v>174</v>
      </c>
      <c r="G842">
        <v>75</v>
      </c>
      <c r="H842">
        <v>0.879</v>
      </c>
      <c r="I842">
        <v>0.498</v>
      </c>
      <c r="J842">
        <v>-6.0270000000000001</v>
      </c>
      <c r="K842">
        <v>0</v>
      </c>
      <c r="L842">
        <v>4</v>
      </c>
      <c r="M842">
        <v>0.18</v>
      </c>
      <c r="N842">
        <v>0.23899999999999999</v>
      </c>
      <c r="O842">
        <v>0</v>
      </c>
      <c r="P842">
        <v>9.6699999999999994E-2</v>
      </c>
      <c r="Q842">
        <v>0.40500000000000003</v>
      </c>
      <c r="R842">
        <v>106.044</v>
      </c>
      <c r="S842">
        <v>4</v>
      </c>
      <c r="T842">
        <v>163173</v>
      </c>
      <c r="U842">
        <v>4</v>
      </c>
      <c r="V842">
        <v>163173</v>
      </c>
      <c r="W842">
        <v>4</v>
      </c>
      <c r="X842">
        <v>163173</v>
      </c>
      <c r="Y842" t="s">
        <v>17</v>
      </c>
      <c r="Z842" t="str">
        <f>LOOKUP(B842,{0,1083,124200,681950},{"1st","2nd","3rd","4th"})&amp;" Quartile"</f>
        <v>1st Quartile</v>
      </c>
    </row>
    <row r="843" spans="1:26">
      <c r="A843">
        <v>2020</v>
      </c>
      <c r="B843">
        <v>10</v>
      </c>
      <c r="C843" t="s">
        <v>888</v>
      </c>
      <c r="D843" t="s">
        <v>328</v>
      </c>
      <c r="E843">
        <v>84</v>
      </c>
      <c r="F843" t="s">
        <v>887</v>
      </c>
      <c r="G843">
        <v>56</v>
      </c>
      <c r="H843">
        <v>0.60599999999999998</v>
      </c>
      <c r="I843">
        <v>0.54400000000000004</v>
      </c>
      <c r="J843">
        <v>-8.36</v>
      </c>
      <c r="K843">
        <v>0</v>
      </c>
      <c r="L843">
        <v>9</v>
      </c>
      <c r="M843">
        <v>5.9299999999999999E-2</v>
      </c>
      <c r="N843">
        <v>4.8099999999999997E-2</v>
      </c>
      <c r="O843">
        <v>0</v>
      </c>
      <c r="P843">
        <v>9.1600000000000001E-2</v>
      </c>
      <c r="Q843">
        <v>0.45600000000000002</v>
      </c>
      <c r="R843">
        <v>86.013000000000005</v>
      </c>
      <c r="S843">
        <v>4</v>
      </c>
      <c r="T843">
        <v>196800</v>
      </c>
      <c r="U843">
        <v>4</v>
      </c>
      <c r="V843">
        <v>196800</v>
      </c>
      <c r="W843">
        <v>4</v>
      </c>
      <c r="X843">
        <v>196800</v>
      </c>
      <c r="Y843" t="s">
        <v>17</v>
      </c>
      <c r="Z843" t="str">
        <f>LOOKUP(B843,{0,1083,124200,681950},{"1st","2nd","3rd","4th"})&amp;" Quartile"</f>
        <v>1st Quartile</v>
      </c>
    </row>
    <row r="844" spans="1:26">
      <c r="A844">
        <v>2022</v>
      </c>
      <c r="B844">
        <v>9</v>
      </c>
      <c r="C844" t="s">
        <v>1545</v>
      </c>
      <c r="D844" t="s">
        <v>1546</v>
      </c>
      <c r="E844">
        <v>48</v>
      </c>
      <c r="F844" t="s">
        <v>1545</v>
      </c>
      <c r="G844">
        <v>38</v>
      </c>
      <c r="H844">
        <v>0.76900000000000002</v>
      </c>
      <c r="I844">
        <v>0.79600000000000004</v>
      </c>
      <c r="J844">
        <v>-7.37</v>
      </c>
      <c r="K844">
        <v>1</v>
      </c>
      <c r="L844">
        <v>8</v>
      </c>
      <c r="M844">
        <v>5.6399999999999999E-2</v>
      </c>
      <c r="N844">
        <v>2.7900000000000001E-2</v>
      </c>
      <c r="O844">
        <v>1.9700000000000002E-6</v>
      </c>
      <c r="P844">
        <v>8.7099999999999997E-2</v>
      </c>
      <c r="Q844">
        <v>0.68100000000000005</v>
      </c>
      <c r="R844">
        <v>122.039</v>
      </c>
      <c r="S844">
        <v>4</v>
      </c>
      <c r="T844">
        <v>130286</v>
      </c>
      <c r="U844">
        <v>4</v>
      </c>
      <c r="V844">
        <v>130286</v>
      </c>
      <c r="W844">
        <v>4</v>
      </c>
      <c r="X844">
        <v>130286</v>
      </c>
      <c r="Y844" t="s">
        <v>17</v>
      </c>
      <c r="Z844" t="str">
        <f>LOOKUP(B844,{0,1083,124200,681950},{"1st","2nd","3rd","4th"})&amp;" Quartile"</f>
        <v>1st Quartile</v>
      </c>
    </row>
    <row r="845" spans="1:26">
      <c r="A845">
        <v>2022</v>
      </c>
      <c r="B845">
        <v>8</v>
      </c>
      <c r="C845" t="s">
        <v>1798</v>
      </c>
      <c r="D845" t="s">
        <v>1643</v>
      </c>
      <c r="E845">
        <v>32</v>
      </c>
      <c r="F845" t="s">
        <v>1798</v>
      </c>
      <c r="G845">
        <v>42</v>
      </c>
      <c r="H845">
        <v>0.74399999999999999</v>
      </c>
      <c r="I845">
        <v>0.84799999999999998</v>
      </c>
      <c r="J845">
        <v>-5.0730000000000004</v>
      </c>
      <c r="K845">
        <v>0</v>
      </c>
      <c r="L845">
        <v>9</v>
      </c>
      <c r="M845">
        <v>9.9299999999999999E-2</v>
      </c>
      <c r="N845">
        <v>8.1100000000000005E-2</v>
      </c>
      <c r="O845">
        <v>1.1199999999999999E-5</v>
      </c>
      <c r="P845">
        <v>8.8900000000000007E-2</v>
      </c>
      <c r="Q845">
        <v>0.82299999999999995</v>
      </c>
      <c r="R845">
        <v>150.05600000000001</v>
      </c>
      <c r="S845">
        <v>4</v>
      </c>
      <c r="T845">
        <v>178913</v>
      </c>
      <c r="U845">
        <v>4</v>
      </c>
      <c r="V845">
        <v>178913</v>
      </c>
      <c r="W845">
        <v>4</v>
      </c>
      <c r="X845">
        <v>178913</v>
      </c>
      <c r="Y845" t="s">
        <v>17</v>
      </c>
      <c r="Z845" t="str">
        <f>LOOKUP(B845,{0,1083,124200,681950},{"1st","2nd","3rd","4th"})&amp;" Quartile"</f>
        <v>1st Quartile</v>
      </c>
    </row>
    <row r="846" spans="1:26">
      <c r="A846">
        <v>2022</v>
      </c>
      <c r="B846">
        <v>8</v>
      </c>
      <c r="C846" t="s">
        <v>1747</v>
      </c>
      <c r="D846" t="s">
        <v>1748</v>
      </c>
      <c r="E846">
        <v>44</v>
      </c>
      <c r="F846" t="s">
        <v>1747</v>
      </c>
      <c r="G846">
        <v>47</v>
      </c>
      <c r="H846">
        <v>0.64600000000000002</v>
      </c>
      <c r="I846">
        <v>0.76500000000000001</v>
      </c>
      <c r="J846">
        <v>-7.5860000000000003</v>
      </c>
      <c r="K846">
        <v>0</v>
      </c>
      <c r="L846">
        <v>6</v>
      </c>
      <c r="M846">
        <v>4.48E-2</v>
      </c>
      <c r="N846">
        <v>4.3700000000000003E-2</v>
      </c>
      <c r="O846">
        <v>1.4100000000000001E-4</v>
      </c>
      <c r="P846">
        <v>0.159</v>
      </c>
      <c r="Q846">
        <v>0.36199999999999999</v>
      </c>
      <c r="R846">
        <v>126.024</v>
      </c>
      <c r="S846">
        <v>4</v>
      </c>
      <c r="T846">
        <v>146667</v>
      </c>
      <c r="U846">
        <v>4</v>
      </c>
      <c r="V846">
        <v>146667</v>
      </c>
      <c r="W846">
        <v>4</v>
      </c>
      <c r="X846">
        <v>146667</v>
      </c>
      <c r="Y846" t="s">
        <v>17</v>
      </c>
      <c r="Z846" t="str">
        <f>LOOKUP(B846,{0,1083,124200,681950},{"1st","2nd","3rd","4th"})&amp;" Quartile"</f>
        <v>1st Quartile</v>
      </c>
    </row>
    <row r="847" spans="1:26">
      <c r="A847">
        <v>2022</v>
      </c>
      <c r="B847">
        <v>8</v>
      </c>
      <c r="C847" t="s">
        <v>1736</v>
      </c>
      <c r="D847" t="s">
        <v>1585</v>
      </c>
      <c r="E847">
        <v>56</v>
      </c>
      <c r="F847" t="s">
        <v>1736</v>
      </c>
      <c r="G847">
        <v>53</v>
      </c>
      <c r="H847">
        <v>0.68100000000000005</v>
      </c>
      <c r="I847">
        <v>0.86499999999999999</v>
      </c>
      <c r="J847">
        <v>-4.5419999999999998</v>
      </c>
      <c r="K847">
        <v>0</v>
      </c>
      <c r="L847">
        <v>11</v>
      </c>
      <c r="M847">
        <v>0.19800000000000001</v>
      </c>
      <c r="N847">
        <v>0.28199999999999997</v>
      </c>
      <c r="O847">
        <v>1.6899999999999999E-4</v>
      </c>
      <c r="P847">
        <v>0.33</v>
      </c>
      <c r="Q847">
        <v>0.49399999999999999</v>
      </c>
      <c r="R847">
        <v>123.056</v>
      </c>
      <c r="S847">
        <v>4</v>
      </c>
      <c r="T847">
        <v>148293</v>
      </c>
      <c r="U847">
        <v>4</v>
      </c>
      <c r="V847">
        <v>148293</v>
      </c>
      <c r="W847">
        <v>4</v>
      </c>
      <c r="X847">
        <v>148293</v>
      </c>
      <c r="Y847" t="s">
        <v>17</v>
      </c>
      <c r="Z847" t="str">
        <f>LOOKUP(B847,{0,1083,124200,681950},{"1st","2nd","3rd","4th"})&amp;" Quartile"</f>
        <v>1st Quartile</v>
      </c>
    </row>
    <row r="848" spans="1:26">
      <c r="A848">
        <v>2020</v>
      </c>
      <c r="B848">
        <v>8</v>
      </c>
      <c r="C848" t="s">
        <v>928</v>
      </c>
      <c r="D848" t="s">
        <v>927</v>
      </c>
      <c r="E848">
        <v>51</v>
      </c>
      <c r="F848" t="s">
        <v>926</v>
      </c>
      <c r="G848">
        <v>59</v>
      </c>
      <c r="H848">
        <v>0.73199999999999998</v>
      </c>
      <c r="I848">
        <v>0.66800000000000004</v>
      </c>
      <c r="J848">
        <v>-6.7679999999999998</v>
      </c>
      <c r="K848">
        <v>1</v>
      </c>
      <c r="L848">
        <v>2</v>
      </c>
      <c r="M848">
        <v>4.4400000000000002E-2</v>
      </c>
      <c r="N848">
        <v>0.77500000000000002</v>
      </c>
      <c r="O848">
        <v>5.2299999999999999E-6</v>
      </c>
      <c r="P848">
        <v>0.224</v>
      </c>
      <c r="Q848">
        <v>0.70499999999999996</v>
      </c>
      <c r="R848">
        <v>111.001</v>
      </c>
      <c r="S848">
        <v>4</v>
      </c>
      <c r="T848">
        <v>242327</v>
      </c>
      <c r="U848">
        <v>4</v>
      </c>
      <c r="V848">
        <v>242327</v>
      </c>
      <c r="W848">
        <v>4</v>
      </c>
      <c r="X848">
        <v>242327</v>
      </c>
      <c r="Y848" t="s">
        <v>17</v>
      </c>
      <c r="Z848" t="str">
        <f>LOOKUP(B848,{0,1083,124200,681950},{"1st","2nd","3rd","4th"})&amp;" Quartile"</f>
        <v>1st Quartile</v>
      </c>
    </row>
    <row r="849" spans="1:26">
      <c r="A849">
        <v>2022</v>
      </c>
      <c r="B849">
        <v>7</v>
      </c>
      <c r="C849" t="s">
        <v>843</v>
      </c>
      <c r="D849" t="s">
        <v>1744</v>
      </c>
      <c r="E849">
        <v>21</v>
      </c>
      <c r="F849" t="s">
        <v>843</v>
      </c>
      <c r="G849">
        <v>39</v>
      </c>
      <c r="H849">
        <v>0.871</v>
      </c>
      <c r="I849">
        <v>0.81899999999999995</v>
      </c>
      <c r="J849">
        <v>-6.0220000000000002</v>
      </c>
      <c r="K849">
        <v>0</v>
      </c>
      <c r="L849">
        <v>4</v>
      </c>
      <c r="M849">
        <v>0.25600000000000001</v>
      </c>
      <c r="N849">
        <v>0.14199999999999999</v>
      </c>
      <c r="O849">
        <v>0</v>
      </c>
      <c r="P849">
        <v>0.106</v>
      </c>
      <c r="Q849">
        <v>0.71199999999999997</v>
      </c>
      <c r="R849">
        <v>112.114</v>
      </c>
      <c r="S849">
        <v>4</v>
      </c>
      <c r="T849">
        <v>198982</v>
      </c>
      <c r="U849">
        <v>4</v>
      </c>
      <c r="V849">
        <v>198982</v>
      </c>
      <c r="W849">
        <v>4</v>
      </c>
      <c r="X849">
        <v>198982</v>
      </c>
      <c r="Y849" t="s">
        <v>17</v>
      </c>
      <c r="Z849" t="str">
        <f>LOOKUP(B849,{0,1083,124200,681950},{"1st","2nd","3rd","4th"})&amp;" Quartile"</f>
        <v>1st Quartile</v>
      </c>
    </row>
    <row r="850" spans="1:26">
      <c r="A850">
        <v>2022</v>
      </c>
      <c r="B850">
        <v>7</v>
      </c>
      <c r="C850" t="s">
        <v>1714</v>
      </c>
      <c r="D850" t="s">
        <v>1702</v>
      </c>
      <c r="E850">
        <v>45</v>
      </c>
      <c r="F850" t="s">
        <v>1714</v>
      </c>
      <c r="G850">
        <v>48</v>
      </c>
      <c r="H850">
        <v>0.65600000000000003</v>
      </c>
      <c r="I850">
        <v>0.77800000000000002</v>
      </c>
      <c r="J850">
        <v>-6.8380000000000001</v>
      </c>
      <c r="K850">
        <v>1</v>
      </c>
      <c r="L850">
        <v>8</v>
      </c>
      <c r="M850">
        <v>0.26500000000000001</v>
      </c>
      <c r="N850">
        <v>0.4</v>
      </c>
      <c r="O850">
        <v>0</v>
      </c>
      <c r="P850">
        <v>0.53300000000000003</v>
      </c>
      <c r="Q850">
        <v>0.73599999999999999</v>
      </c>
      <c r="R850">
        <v>125.916</v>
      </c>
      <c r="S850">
        <v>4</v>
      </c>
      <c r="T850">
        <v>129717</v>
      </c>
      <c r="U850">
        <v>4</v>
      </c>
      <c r="V850">
        <v>129717</v>
      </c>
      <c r="W850">
        <v>4</v>
      </c>
      <c r="X850">
        <v>129717</v>
      </c>
      <c r="Y850" t="s">
        <v>17</v>
      </c>
      <c r="Z850" t="str">
        <f>LOOKUP(B850,{0,1083,124200,681950},{"1st","2nd","3rd","4th"})&amp;" Quartile"</f>
        <v>1st Quartile</v>
      </c>
    </row>
    <row r="851" spans="1:26">
      <c r="A851">
        <v>2022</v>
      </c>
      <c r="B851">
        <v>7</v>
      </c>
      <c r="C851" t="s">
        <v>1644</v>
      </c>
      <c r="D851" t="s">
        <v>1643</v>
      </c>
      <c r="E851">
        <v>32</v>
      </c>
      <c r="F851" t="s">
        <v>1644</v>
      </c>
      <c r="G851">
        <v>39</v>
      </c>
      <c r="H851">
        <v>0.86099999999999999</v>
      </c>
      <c r="I851">
        <v>0.63100000000000001</v>
      </c>
      <c r="J851">
        <v>-10.286</v>
      </c>
      <c r="K851">
        <v>1</v>
      </c>
      <c r="L851">
        <v>8</v>
      </c>
      <c r="M851">
        <v>0.23</v>
      </c>
      <c r="N851">
        <v>1.8800000000000001E-2</v>
      </c>
      <c r="O851">
        <v>2.8299999999999999E-4</v>
      </c>
      <c r="P851">
        <v>9.5399999999999999E-2</v>
      </c>
      <c r="Q851">
        <v>0.67500000000000004</v>
      </c>
      <c r="R851">
        <v>117.99299999999999</v>
      </c>
      <c r="S851">
        <v>4</v>
      </c>
      <c r="T851">
        <v>180923</v>
      </c>
      <c r="U851">
        <v>4</v>
      </c>
      <c r="V851">
        <v>180923</v>
      </c>
      <c r="W851">
        <v>4</v>
      </c>
      <c r="X851">
        <v>180923</v>
      </c>
      <c r="Y851" t="s">
        <v>17</v>
      </c>
      <c r="Z851" t="str">
        <f>LOOKUP(B851,{0,1083,124200,681950},{"1st","2nd","3rd","4th"})&amp;" Quartile"</f>
        <v>1st Quartile</v>
      </c>
    </row>
    <row r="852" spans="1:26">
      <c r="A852">
        <v>2021</v>
      </c>
      <c r="B852">
        <v>7</v>
      </c>
      <c r="C852" t="s">
        <v>1329</v>
      </c>
      <c r="D852" t="s">
        <v>396</v>
      </c>
      <c r="E852">
        <v>81</v>
      </c>
      <c r="F852" t="s">
        <v>1329</v>
      </c>
      <c r="G852">
        <v>86</v>
      </c>
      <c r="H852">
        <v>0.73599999999999999</v>
      </c>
      <c r="I852">
        <v>0.70399999999999996</v>
      </c>
      <c r="J852">
        <v>-7.4089999999999998</v>
      </c>
      <c r="K852">
        <v>0</v>
      </c>
      <c r="L852">
        <v>3</v>
      </c>
      <c r="M852">
        <v>6.1499999999999999E-2</v>
      </c>
      <c r="N852">
        <v>2.0299999999999999E-2</v>
      </c>
      <c r="O852">
        <v>0</v>
      </c>
      <c r="P852">
        <v>5.0099999999999999E-2</v>
      </c>
      <c r="Q852">
        <v>0.89400000000000002</v>
      </c>
      <c r="R852">
        <v>149.995</v>
      </c>
      <c r="S852">
        <v>4</v>
      </c>
      <c r="T852">
        <v>212000</v>
      </c>
      <c r="U852">
        <v>4</v>
      </c>
      <c r="V852">
        <v>212000</v>
      </c>
      <c r="W852">
        <v>4</v>
      </c>
      <c r="X852">
        <v>212000</v>
      </c>
      <c r="Y852" t="s">
        <v>17</v>
      </c>
      <c r="Z852" t="str">
        <f>LOOKUP(B852,{0,1083,124200,681950},{"1st","2nd","3rd","4th"})&amp;" Quartile"</f>
        <v>1st Quartile</v>
      </c>
    </row>
    <row r="853" spans="1:26">
      <c r="A853">
        <v>2020</v>
      </c>
      <c r="B853">
        <v>7</v>
      </c>
      <c r="C853" t="s">
        <v>954</v>
      </c>
      <c r="D853" t="s">
        <v>953</v>
      </c>
      <c r="E853">
        <v>70</v>
      </c>
      <c r="F853" t="s">
        <v>952</v>
      </c>
      <c r="G853">
        <v>62</v>
      </c>
      <c r="H853">
        <v>0.746</v>
      </c>
      <c r="I853">
        <v>0.48599999999999999</v>
      </c>
      <c r="J853">
        <v>-7.0039999999999996</v>
      </c>
      <c r="K853">
        <v>1</v>
      </c>
      <c r="L853">
        <v>10</v>
      </c>
      <c r="M853">
        <v>3.44E-2</v>
      </c>
      <c r="N853">
        <v>0.222</v>
      </c>
      <c r="O853">
        <v>1.4100000000000001E-6</v>
      </c>
      <c r="P853">
        <v>0.123</v>
      </c>
      <c r="Q853">
        <v>0.41699999999999998</v>
      </c>
      <c r="R853">
        <v>92.057000000000002</v>
      </c>
      <c r="S853">
        <v>4</v>
      </c>
      <c r="T853">
        <v>233228</v>
      </c>
      <c r="U853">
        <v>4</v>
      </c>
      <c r="V853">
        <v>233228</v>
      </c>
      <c r="W853">
        <v>4</v>
      </c>
      <c r="X853">
        <v>233228</v>
      </c>
      <c r="Y853" t="s">
        <v>17</v>
      </c>
      <c r="Z853" t="str">
        <f>LOOKUP(B853,{0,1083,124200,681950},{"1st","2nd","3rd","4th"})&amp;" Quartile"</f>
        <v>1st Quartile</v>
      </c>
    </row>
    <row r="854" spans="1:26">
      <c r="A854">
        <v>2022</v>
      </c>
      <c r="B854">
        <v>6</v>
      </c>
      <c r="C854" t="s">
        <v>1819</v>
      </c>
      <c r="D854" t="s">
        <v>1820</v>
      </c>
      <c r="E854">
        <v>36</v>
      </c>
      <c r="F854" t="s">
        <v>1819</v>
      </c>
      <c r="G854">
        <v>0</v>
      </c>
      <c r="H854">
        <v>0.80200000000000005</v>
      </c>
      <c r="I854">
        <v>0.50900000000000001</v>
      </c>
      <c r="J854">
        <v>-6.8890000000000002</v>
      </c>
      <c r="K854">
        <v>0</v>
      </c>
      <c r="L854">
        <v>10</v>
      </c>
      <c r="M854">
        <v>0.18099999999999999</v>
      </c>
      <c r="N854">
        <v>2.8299999999999999E-2</v>
      </c>
      <c r="O854">
        <v>0</v>
      </c>
      <c r="P854">
        <v>0.307</v>
      </c>
      <c r="Q854">
        <v>5.67E-2</v>
      </c>
      <c r="R854">
        <v>87.849000000000004</v>
      </c>
      <c r="S854">
        <v>4</v>
      </c>
      <c r="T854">
        <v>135000</v>
      </c>
      <c r="U854">
        <v>4</v>
      </c>
      <c r="V854">
        <v>135000</v>
      </c>
      <c r="W854">
        <v>4</v>
      </c>
      <c r="X854">
        <v>135000</v>
      </c>
      <c r="Y854" t="s">
        <v>17</v>
      </c>
      <c r="Z854" t="str">
        <f>LOOKUP(B854,{0,1083,124200,681950},{"1st","2nd","3rd","4th"})&amp;" Quartile"</f>
        <v>1st Quartile</v>
      </c>
    </row>
    <row r="855" spans="1:26">
      <c r="A855">
        <v>2022</v>
      </c>
      <c r="B855">
        <v>6</v>
      </c>
      <c r="C855" t="s">
        <v>1642</v>
      </c>
      <c r="D855" t="s">
        <v>1643</v>
      </c>
      <c r="E855">
        <v>32</v>
      </c>
      <c r="F855" t="s">
        <v>1642</v>
      </c>
      <c r="G855">
        <v>39</v>
      </c>
      <c r="H855">
        <v>0.54700000000000004</v>
      </c>
      <c r="I855">
        <v>0.86499999999999999</v>
      </c>
      <c r="J855">
        <v>-5.0579999999999998</v>
      </c>
      <c r="K855">
        <v>0</v>
      </c>
      <c r="L855">
        <v>7</v>
      </c>
      <c r="M855">
        <v>4.8300000000000003E-2</v>
      </c>
      <c r="N855">
        <v>1.41E-2</v>
      </c>
      <c r="O855">
        <v>0</v>
      </c>
      <c r="P855">
        <v>0.245</v>
      </c>
      <c r="Q855">
        <v>0.63800000000000001</v>
      </c>
      <c r="R855">
        <v>159.87</v>
      </c>
      <c r="S855">
        <v>4</v>
      </c>
      <c r="T855">
        <v>166354</v>
      </c>
      <c r="U855">
        <v>4</v>
      </c>
      <c r="V855">
        <v>166354</v>
      </c>
      <c r="W855">
        <v>4</v>
      </c>
      <c r="X855">
        <v>166354</v>
      </c>
      <c r="Y855" t="s">
        <v>17</v>
      </c>
      <c r="Z855" t="str">
        <f>LOOKUP(B855,{0,1083,124200,681950},{"1st","2nd","3rd","4th"})&amp;" Quartile"</f>
        <v>1st Quartile</v>
      </c>
    </row>
    <row r="856" spans="1:26">
      <c r="A856">
        <v>2022</v>
      </c>
      <c r="B856">
        <v>5</v>
      </c>
      <c r="C856" t="s">
        <v>1723</v>
      </c>
      <c r="D856" t="s">
        <v>1724</v>
      </c>
      <c r="E856">
        <v>36</v>
      </c>
      <c r="F856" t="s">
        <v>1723</v>
      </c>
      <c r="G856">
        <v>54</v>
      </c>
      <c r="H856">
        <v>0.77300000000000002</v>
      </c>
      <c r="I856">
        <v>0.74</v>
      </c>
      <c r="J856">
        <v>-5.0519999999999996</v>
      </c>
      <c r="K856">
        <v>0</v>
      </c>
      <c r="L856">
        <v>5</v>
      </c>
      <c r="M856">
        <v>3.15E-2</v>
      </c>
      <c r="N856">
        <v>7.79E-3</v>
      </c>
      <c r="O856">
        <v>2.48E-5</v>
      </c>
      <c r="P856">
        <v>0.15</v>
      </c>
      <c r="Q856">
        <v>0.65900000000000003</v>
      </c>
      <c r="R856">
        <v>125.98099999999999</v>
      </c>
      <c r="S856">
        <v>4</v>
      </c>
      <c r="T856">
        <v>160026</v>
      </c>
      <c r="U856">
        <v>4</v>
      </c>
      <c r="V856">
        <v>160026</v>
      </c>
      <c r="W856">
        <v>4</v>
      </c>
      <c r="X856">
        <v>160026</v>
      </c>
      <c r="Y856" t="s">
        <v>17</v>
      </c>
      <c r="Z856" t="str">
        <f>LOOKUP(B856,{0,1083,124200,681950},{"1st","2nd","3rd","4th"})&amp;" Quartile"</f>
        <v>1st Quartile</v>
      </c>
    </row>
    <row r="857" spans="1:26">
      <c r="A857">
        <v>2021</v>
      </c>
      <c r="B857">
        <v>5</v>
      </c>
      <c r="C857" t="s">
        <v>1206</v>
      </c>
      <c r="D857" t="s">
        <v>1205</v>
      </c>
      <c r="E857">
        <v>65</v>
      </c>
      <c r="F857" t="s">
        <v>1204</v>
      </c>
      <c r="G857">
        <v>70</v>
      </c>
      <c r="H857">
        <v>0.69199999999999995</v>
      </c>
      <c r="I857">
        <v>0.83099999999999996</v>
      </c>
      <c r="J857">
        <v>-5.3890000000000002</v>
      </c>
      <c r="K857">
        <v>1</v>
      </c>
      <c r="L857">
        <v>9</v>
      </c>
      <c r="M857">
        <v>3.4000000000000002E-2</v>
      </c>
      <c r="N857">
        <v>1.46E-2</v>
      </c>
      <c r="O857">
        <v>0</v>
      </c>
      <c r="P857">
        <v>0.10299999999999999</v>
      </c>
      <c r="Q857">
        <v>0.67600000000000005</v>
      </c>
      <c r="R857">
        <v>114.97199999999999</v>
      </c>
      <c r="S857">
        <v>4</v>
      </c>
      <c r="T857">
        <v>224294</v>
      </c>
      <c r="U857">
        <v>4</v>
      </c>
      <c r="V857">
        <v>224294</v>
      </c>
      <c r="W857">
        <v>4</v>
      </c>
      <c r="X857">
        <v>224294</v>
      </c>
      <c r="Y857" t="s">
        <v>17</v>
      </c>
      <c r="Z857" t="str">
        <f>LOOKUP(B857,{0,1083,124200,681950},{"1st","2nd","3rd","4th"})&amp;" Quartile"</f>
        <v>1st Quartile</v>
      </c>
    </row>
    <row r="858" spans="1:26">
      <c r="A858">
        <v>2020</v>
      </c>
      <c r="B858">
        <v>5</v>
      </c>
      <c r="C858" t="s">
        <v>1023</v>
      </c>
      <c r="D858" t="s">
        <v>306</v>
      </c>
      <c r="E858">
        <v>72</v>
      </c>
      <c r="F858" t="s">
        <v>1023</v>
      </c>
      <c r="G858">
        <v>63</v>
      </c>
      <c r="H858">
        <v>0.82199999999999995</v>
      </c>
      <c r="I858">
        <v>0.871</v>
      </c>
      <c r="J858">
        <v>-4.0949999999999998</v>
      </c>
      <c r="K858">
        <v>1</v>
      </c>
      <c r="L858">
        <v>1</v>
      </c>
      <c r="M858">
        <v>0.214</v>
      </c>
      <c r="N858">
        <v>5.6699999999999997E-3</v>
      </c>
      <c r="O858">
        <v>0.39100000000000001</v>
      </c>
      <c r="P858">
        <v>0.10100000000000001</v>
      </c>
      <c r="Q858">
        <v>0.64800000000000002</v>
      </c>
      <c r="R858">
        <v>145.06200000000001</v>
      </c>
      <c r="S858">
        <v>4</v>
      </c>
      <c r="T858">
        <v>140527</v>
      </c>
      <c r="U858">
        <v>4</v>
      </c>
      <c r="V858">
        <v>140527</v>
      </c>
      <c r="W858">
        <v>4</v>
      </c>
      <c r="X858">
        <v>140527</v>
      </c>
      <c r="Y858" t="s">
        <v>17</v>
      </c>
      <c r="Z858" t="str">
        <f>LOOKUP(B858,{0,1083,124200,681950},{"1st","2nd","3rd","4th"})&amp;" Quartile"</f>
        <v>1st Quartile</v>
      </c>
    </row>
    <row r="859" spans="1:26">
      <c r="A859">
        <v>2019</v>
      </c>
      <c r="B859">
        <v>5</v>
      </c>
      <c r="C859" t="s">
        <v>329</v>
      </c>
      <c r="D859" t="s">
        <v>328</v>
      </c>
      <c r="E859">
        <v>84</v>
      </c>
      <c r="F859" t="s">
        <v>327</v>
      </c>
      <c r="G859">
        <v>44</v>
      </c>
      <c r="H859">
        <v>0.85099999999999998</v>
      </c>
      <c r="I859">
        <v>0.80600000000000005</v>
      </c>
      <c r="J859">
        <v>-4.6180000000000003</v>
      </c>
      <c r="K859">
        <v>1</v>
      </c>
      <c r="L859">
        <v>4</v>
      </c>
      <c r="M859">
        <v>7.8799999999999995E-2</v>
      </c>
      <c r="N859">
        <v>0.12</v>
      </c>
      <c r="O859">
        <v>1.39E-6</v>
      </c>
      <c r="P859">
        <v>0.122</v>
      </c>
      <c r="Q859">
        <v>0.77500000000000002</v>
      </c>
      <c r="R859">
        <v>119.002</v>
      </c>
      <c r="S859">
        <v>4</v>
      </c>
      <c r="T859">
        <v>237200</v>
      </c>
      <c r="U859">
        <v>4</v>
      </c>
      <c r="V859">
        <v>237200</v>
      </c>
      <c r="W859">
        <v>4</v>
      </c>
      <c r="X859">
        <v>237200</v>
      </c>
      <c r="Y859" t="s">
        <v>17</v>
      </c>
      <c r="Z859" t="str">
        <f>LOOKUP(B859,{0,1083,124200,681950},{"1st","2nd","3rd","4th"})&amp;" Quartile"</f>
        <v>1st Quartile</v>
      </c>
    </row>
    <row r="860" spans="1:26">
      <c r="A860">
        <v>2022</v>
      </c>
      <c r="B860">
        <v>4</v>
      </c>
      <c r="C860" t="s">
        <v>1728</v>
      </c>
      <c r="D860" t="s">
        <v>1620</v>
      </c>
      <c r="E860">
        <v>54</v>
      </c>
      <c r="F860" t="s">
        <v>1728</v>
      </c>
      <c r="G860">
        <v>0</v>
      </c>
      <c r="H860">
        <v>0.59199999999999997</v>
      </c>
      <c r="I860">
        <v>0.71899999999999997</v>
      </c>
      <c r="J860">
        <v>-5.0439999999999996</v>
      </c>
      <c r="K860">
        <v>1</v>
      </c>
      <c r="L860">
        <v>2</v>
      </c>
      <c r="M860">
        <v>4.5199999999999997E-2</v>
      </c>
      <c r="N860">
        <v>8.5800000000000008E-3</v>
      </c>
      <c r="O860">
        <v>0</v>
      </c>
      <c r="P860">
        <v>0.63500000000000001</v>
      </c>
      <c r="Q860">
        <v>0.16900000000000001</v>
      </c>
      <c r="R860">
        <v>125.03</v>
      </c>
      <c r="S860">
        <v>4</v>
      </c>
      <c r="T860">
        <v>171028</v>
      </c>
      <c r="U860">
        <v>4</v>
      </c>
      <c r="V860">
        <v>171028</v>
      </c>
      <c r="W860">
        <v>4</v>
      </c>
      <c r="X860">
        <v>171028</v>
      </c>
      <c r="Y860" t="s">
        <v>17</v>
      </c>
      <c r="Z860" t="str">
        <f>LOOKUP(B860,{0,1083,124200,681950},{"1st","2nd","3rd","4th"})&amp;" Quartile"</f>
        <v>1st Quartile</v>
      </c>
    </row>
    <row r="861" spans="1:26">
      <c r="A861">
        <v>2021</v>
      </c>
      <c r="B861">
        <v>4</v>
      </c>
      <c r="C861" t="s">
        <v>1350</v>
      </c>
      <c r="D861" t="s">
        <v>88</v>
      </c>
      <c r="E861">
        <v>72</v>
      </c>
      <c r="F861" t="s">
        <v>87</v>
      </c>
      <c r="G861">
        <v>69</v>
      </c>
      <c r="H861">
        <v>0.67600000000000005</v>
      </c>
      <c r="I861">
        <v>0.67</v>
      </c>
      <c r="J861">
        <v>-6.5839999999999996</v>
      </c>
      <c r="K861">
        <v>1</v>
      </c>
      <c r="L861">
        <v>8</v>
      </c>
      <c r="M861">
        <v>3.7400000000000003E-2</v>
      </c>
      <c r="N861">
        <v>0.35299999999999998</v>
      </c>
      <c r="O861">
        <v>0</v>
      </c>
      <c r="P861">
        <v>0.10299999999999999</v>
      </c>
      <c r="Q861">
        <v>0.54</v>
      </c>
      <c r="R861">
        <v>113.01</v>
      </c>
      <c r="S861">
        <v>4</v>
      </c>
      <c r="T861">
        <v>148260</v>
      </c>
      <c r="U861">
        <v>4</v>
      </c>
      <c r="V861">
        <v>148260</v>
      </c>
      <c r="W861">
        <v>4</v>
      </c>
      <c r="X861">
        <v>148260</v>
      </c>
      <c r="Y861" t="s">
        <v>17</v>
      </c>
      <c r="Z861" t="str">
        <f>LOOKUP(B861,{0,1083,124200,681950},{"1st","2nd","3rd","4th"})&amp;" Quartile"</f>
        <v>1st Quartile</v>
      </c>
    </row>
    <row r="862" spans="1:26">
      <c r="A862">
        <v>2022</v>
      </c>
      <c r="B862">
        <v>3</v>
      </c>
      <c r="C862" t="s">
        <v>1730</v>
      </c>
      <c r="D862" t="s">
        <v>1731</v>
      </c>
      <c r="E862">
        <v>42</v>
      </c>
      <c r="F862" t="s">
        <v>1730</v>
      </c>
      <c r="G862">
        <v>0</v>
      </c>
      <c r="H862">
        <v>0.748</v>
      </c>
      <c r="I862">
        <v>0.89400000000000002</v>
      </c>
      <c r="J862">
        <v>-4.6769999999999996</v>
      </c>
      <c r="K862">
        <v>1</v>
      </c>
      <c r="L862">
        <v>7</v>
      </c>
      <c r="M862">
        <v>9.98E-2</v>
      </c>
      <c r="N862">
        <v>0.311</v>
      </c>
      <c r="O862">
        <v>2.9E-5</v>
      </c>
      <c r="P862">
        <v>0.23899999999999999</v>
      </c>
      <c r="Q862">
        <v>0.503</v>
      </c>
      <c r="R862">
        <v>120.004</v>
      </c>
      <c r="S862">
        <v>4</v>
      </c>
      <c r="T862">
        <v>148000</v>
      </c>
      <c r="U862">
        <v>4</v>
      </c>
      <c r="V862">
        <v>148000</v>
      </c>
      <c r="W862">
        <v>4</v>
      </c>
      <c r="X862">
        <v>148000</v>
      </c>
      <c r="Y862" t="s">
        <v>17</v>
      </c>
      <c r="Z862" t="str">
        <f>LOOKUP(B862,{0,1083,124200,681950},{"1st","2nd","3rd","4th"})&amp;" Quartile"</f>
        <v>1st Quartile</v>
      </c>
    </row>
    <row r="863" spans="1:26">
      <c r="A863">
        <v>2022</v>
      </c>
      <c r="B863">
        <v>3</v>
      </c>
      <c r="C863" t="s">
        <v>1699</v>
      </c>
      <c r="D863" t="s">
        <v>1700</v>
      </c>
      <c r="E863">
        <v>38</v>
      </c>
      <c r="F863" t="s">
        <v>1699</v>
      </c>
      <c r="G863">
        <v>36</v>
      </c>
      <c r="H863">
        <v>0.746</v>
      </c>
      <c r="I863">
        <v>0.86599999999999999</v>
      </c>
      <c r="J863">
        <v>-3.113</v>
      </c>
      <c r="K863">
        <v>0</v>
      </c>
      <c r="L863">
        <v>9</v>
      </c>
      <c r="M863">
        <v>0.14799999999999999</v>
      </c>
      <c r="N863">
        <v>0.124</v>
      </c>
      <c r="O863">
        <v>1.26E-5</v>
      </c>
      <c r="P863">
        <v>0.59599999999999997</v>
      </c>
      <c r="Q863">
        <v>0.51900000000000002</v>
      </c>
      <c r="R863">
        <v>128.054</v>
      </c>
      <c r="S863">
        <v>4</v>
      </c>
      <c r="T863">
        <v>138750</v>
      </c>
      <c r="U863">
        <v>4</v>
      </c>
      <c r="V863">
        <v>138750</v>
      </c>
      <c r="W863">
        <v>4</v>
      </c>
      <c r="X863">
        <v>138750</v>
      </c>
      <c r="Y863" t="s">
        <v>17</v>
      </c>
      <c r="Z863" t="str">
        <f>LOOKUP(B863,{0,1083,124200,681950},{"1st","2nd","3rd","4th"})&amp;" Quartile"</f>
        <v>1st Quartile</v>
      </c>
    </row>
    <row r="864" spans="1:26">
      <c r="A864">
        <v>2022</v>
      </c>
      <c r="B864">
        <v>3</v>
      </c>
      <c r="C864" t="s">
        <v>1675</v>
      </c>
      <c r="D864" t="s">
        <v>1674</v>
      </c>
      <c r="E864">
        <v>66</v>
      </c>
      <c r="F864" t="s">
        <v>1673</v>
      </c>
      <c r="G864">
        <v>77</v>
      </c>
      <c r="H864">
        <v>0.72199999999999998</v>
      </c>
      <c r="I864">
        <v>0.89300000000000002</v>
      </c>
      <c r="J864">
        <v>-3.2549999999999999</v>
      </c>
      <c r="K864">
        <v>0</v>
      </c>
      <c r="L864">
        <v>0</v>
      </c>
      <c r="M864">
        <v>4.7500000000000001E-2</v>
      </c>
      <c r="N864">
        <v>4.41E-2</v>
      </c>
      <c r="O864">
        <v>9.3700000000000001E-4</v>
      </c>
      <c r="P864">
        <v>6.7299999999999999E-2</v>
      </c>
      <c r="Q864">
        <v>0.439</v>
      </c>
      <c r="R864">
        <v>119.932</v>
      </c>
      <c r="S864">
        <v>4</v>
      </c>
      <c r="T864">
        <v>116750</v>
      </c>
      <c r="U864">
        <v>4</v>
      </c>
      <c r="V864">
        <v>116750</v>
      </c>
      <c r="W864">
        <v>4</v>
      </c>
      <c r="X864">
        <v>116750</v>
      </c>
      <c r="Y864" t="s">
        <v>17</v>
      </c>
      <c r="Z864" t="str">
        <f>LOOKUP(B864,{0,1083,124200,681950},{"1st","2nd","3rd","4th"})&amp;" Quartile"</f>
        <v>1st Quartile</v>
      </c>
    </row>
    <row r="865" spans="1:26">
      <c r="A865">
        <v>2022</v>
      </c>
      <c r="B865">
        <v>3</v>
      </c>
      <c r="C865" t="s">
        <v>1600</v>
      </c>
      <c r="D865" t="s">
        <v>1601</v>
      </c>
      <c r="E865">
        <v>31</v>
      </c>
      <c r="F865" t="s">
        <v>1600</v>
      </c>
      <c r="G865">
        <v>49</v>
      </c>
      <c r="H865">
        <v>0.625</v>
      </c>
      <c r="I865">
        <v>0.69799999999999995</v>
      </c>
      <c r="J865">
        <v>-5.8040000000000003</v>
      </c>
      <c r="K865">
        <v>1</v>
      </c>
      <c r="L865">
        <v>0</v>
      </c>
      <c r="M865">
        <v>0.14599999999999999</v>
      </c>
      <c r="N865">
        <v>1.0699999999999999E-2</v>
      </c>
      <c r="O865">
        <v>0</v>
      </c>
      <c r="P865">
        <v>0.156</v>
      </c>
      <c r="Q865">
        <v>0.20399999999999999</v>
      </c>
      <c r="R865">
        <v>120.119</v>
      </c>
      <c r="S865">
        <v>4</v>
      </c>
      <c r="T865">
        <v>132625</v>
      </c>
      <c r="U865">
        <v>4</v>
      </c>
      <c r="V865">
        <v>132625</v>
      </c>
      <c r="W865">
        <v>4</v>
      </c>
      <c r="X865">
        <v>132625</v>
      </c>
      <c r="Y865" t="s">
        <v>17</v>
      </c>
      <c r="Z865" t="str">
        <f>LOOKUP(B865,{0,1083,124200,681950},{"1st","2nd","3rd","4th"})&amp;" Quartile"</f>
        <v>1st Quartile</v>
      </c>
    </row>
    <row r="866" spans="1:26">
      <c r="A866">
        <v>2022</v>
      </c>
      <c r="B866">
        <v>3</v>
      </c>
      <c r="C866" t="s">
        <v>1592</v>
      </c>
      <c r="D866" t="s">
        <v>1574</v>
      </c>
      <c r="E866">
        <v>60</v>
      </c>
      <c r="F866" t="s">
        <v>1592</v>
      </c>
      <c r="G866">
        <v>47</v>
      </c>
      <c r="H866">
        <v>0.73399999999999999</v>
      </c>
      <c r="I866">
        <v>0.78900000000000003</v>
      </c>
      <c r="J866">
        <v>-5.3280000000000003</v>
      </c>
      <c r="K866">
        <v>1</v>
      </c>
      <c r="L866">
        <v>11</v>
      </c>
      <c r="M866">
        <v>0.24299999999999999</v>
      </c>
      <c r="N866">
        <v>8.09E-2</v>
      </c>
      <c r="O866">
        <v>1.15E-4</v>
      </c>
      <c r="P866">
        <v>0.215</v>
      </c>
      <c r="Q866">
        <v>0.25800000000000001</v>
      </c>
      <c r="R866">
        <v>125.992</v>
      </c>
      <c r="S866">
        <v>4</v>
      </c>
      <c r="T866">
        <v>133810</v>
      </c>
      <c r="U866">
        <v>4</v>
      </c>
      <c r="V866">
        <v>133810</v>
      </c>
      <c r="W866">
        <v>4</v>
      </c>
      <c r="X866">
        <v>133810</v>
      </c>
      <c r="Y866" t="s">
        <v>17</v>
      </c>
      <c r="Z866" t="str">
        <f>LOOKUP(B866,{0,1083,124200,681950},{"1st","2nd","3rd","4th"})&amp;" Quartile"</f>
        <v>1st Quartile</v>
      </c>
    </row>
    <row r="867" spans="1:26">
      <c r="A867">
        <v>2022</v>
      </c>
      <c r="B867">
        <v>3</v>
      </c>
      <c r="C867" t="s">
        <v>1555</v>
      </c>
      <c r="D867" t="s">
        <v>1550</v>
      </c>
      <c r="E867">
        <v>41</v>
      </c>
      <c r="F867" t="s">
        <v>1555</v>
      </c>
      <c r="G867">
        <v>41</v>
      </c>
      <c r="H867">
        <v>0.64200000000000002</v>
      </c>
      <c r="I867">
        <v>0.72499999999999998</v>
      </c>
      <c r="J867">
        <v>-7.89</v>
      </c>
      <c r="K867">
        <v>1</v>
      </c>
      <c r="L867">
        <v>11</v>
      </c>
      <c r="M867">
        <v>5.7099999999999998E-2</v>
      </c>
      <c r="N867">
        <v>0.192</v>
      </c>
      <c r="O867">
        <v>0</v>
      </c>
      <c r="P867">
        <v>0.153</v>
      </c>
      <c r="Q867">
        <v>0.13400000000000001</v>
      </c>
      <c r="R867">
        <v>105.101</v>
      </c>
      <c r="S867">
        <v>4</v>
      </c>
      <c r="T867">
        <v>196583</v>
      </c>
      <c r="U867">
        <v>4</v>
      </c>
      <c r="V867">
        <v>196583</v>
      </c>
      <c r="W867">
        <v>4</v>
      </c>
      <c r="X867">
        <v>196583</v>
      </c>
      <c r="Y867" t="s">
        <v>17</v>
      </c>
      <c r="Z867" t="str">
        <f>LOOKUP(B867,{0,1083,124200,681950},{"1st","2nd","3rd","4th"})&amp;" Quartile"</f>
        <v>1st Quartile</v>
      </c>
    </row>
    <row r="868" spans="1:26">
      <c r="A868">
        <v>2021</v>
      </c>
      <c r="B868">
        <v>3</v>
      </c>
      <c r="C868" t="s">
        <v>1434</v>
      </c>
      <c r="D868" t="s">
        <v>1433</v>
      </c>
      <c r="E868">
        <v>89</v>
      </c>
      <c r="F868" t="s">
        <v>1432</v>
      </c>
      <c r="G868">
        <v>62</v>
      </c>
      <c r="H868">
        <v>0.84199999999999997</v>
      </c>
      <c r="I868">
        <v>0.60199999999999998</v>
      </c>
      <c r="J868">
        <v>-7.1029999999999998</v>
      </c>
      <c r="K868">
        <v>1</v>
      </c>
      <c r="L868">
        <v>1</v>
      </c>
      <c r="M868">
        <v>7.9600000000000004E-2</v>
      </c>
      <c r="N868">
        <v>6.3800000000000003E-3</v>
      </c>
      <c r="O868">
        <v>0.112</v>
      </c>
      <c r="P868">
        <v>0.10299999999999999</v>
      </c>
      <c r="Q868">
        <v>0.372</v>
      </c>
      <c r="R868">
        <v>124.21299999999999</v>
      </c>
      <c r="S868">
        <v>4</v>
      </c>
      <c r="T868">
        <v>205760</v>
      </c>
      <c r="U868">
        <v>4</v>
      </c>
      <c r="V868">
        <v>205760</v>
      </c>
      <c r="W868">
        <v>4</v>
      </c>
      <c r="X868">
        <v>205760</v>
      </c>
      <c r="Y868" t="s">
        <v>17</v>
      </c>
      <c r="Z868" t="str">
        <f>LOOKUP(B868,{0,1083,124200,681950},{"1st","2nd","3rd","4th"})&amp;" Quartile"</f>
        <v>1st Quartile</v>
      </c>
    </row>
    <row r="869" spans="1:26">
      <c r="A869">
        <v>2019</v>
      </c>
      <c r="B869">
        <v>3</v>
      </c>
      <c r="C869" t="s">
        <v>136</v>
      </c>
      <c r="D869" t="s">
        <v>135</v>
      </c>
      <c r="E869">
        <v>60</v>
      </c>
      <c r="F869" t="s">
        <v>134</v>
      </c>
      <c r="G869">
        <v>55</v>
      </c>
      <c r="H869">
        <v>0.68</v>
      </c>
      <c r="I869">
        <v>0.46500000000000002</v>
      </c>
      <c r="J869">
        <v>-8.3529999999999998</v>
      </c>
      <c r="K869">
        <v>1</v>
      </c>
      <c r="L869">
        <v>8</v>
      </c>
      <c r="M869">
        <v>2.9000000000000001E-2</v>
      </c>
      <c r="N869">
        <v>0.74299999999999999</v>
      </c>
      <c r="O869">
        <v>0.67600000000000005</v>
      </c>
      <c r="P869">
        <v>0.13600000000000001</v>
      </c>
      <c r="Q869">
        <v>0.84699999999999998</v>
      </c>
      <c r="R869">
        <v>109.97199999999999</v>
      </c>
      <c r="S869">
        <v>4</v>
      </c>
      <c r="T869">
        <v>126387</v>
      </c>
      <c r="U869">
        <v>4</v>
      </c>
      <c r="V869">
        <v>126387</v>
      </c>
      <c r="W869">
        <v>4</v>
      </c>
      <c r="X869">
        <v>126387</v>
      </c>
      <c r="Y869" t="s">
        <v>17</v>
      </c>
      <c r="Z869" t="str">
        <f>LOOKUP(B869,{0,1083,124200,681950},{"1st","2nd","3rd","4th"})&amp;" Quartile"</f>
        <v>1st Quartile</v>
      </c>
    </row>
    <row r="870" spans="1:26">
      <c r="A870">
        <v>2022</v>
      </c>
      <c r="B870">
        <v>2</v>
      </c>
      <c r="C870" t="s">
        <v>1342</v>
      </c>
      <c r="D870" t="s">
        <v>1546</v>
      </c>
      <c r="E870">
        <v>48</v>
      </c>
      <c r="F870" t="s">
        <v>1342</v>
      </c>
      <c r="G870">
        <v>49</v>
      </c>
      <c r="H870">
        <v>0.70099999999999996</v>
      </c>
      <c r="I870">
        <v>0.83599999999999997</v>
      </c>
      <c r="J870">
        <v>-6.5209999999999999</v>
      </c>
      <c r="K870">
        <v>1</v>
      </c>
      <c r="L870">
        <v>9</v>
      </c>
      <c r="M870">
        <v>0.27500000000000002</v>
      </c>
      <c r="N870">
        <v>3.04E-2</v>
      </c>
      <c r="O870">
        <v>1.4300000000000001E-4</v>
      </c>
      <c r="P870">
        <v>0.63500000000000001</v>
      </c>
      <c r="Q870">
        <v>0.373</v>
      </c>
      <c r="R870">
        <v>124.953</v>
      </c>
      <c r="S870">
        <v>4</v>
      </c>
      <c r="T870">
        <v>157320</v>
      </c>
      <c r="U870">
        <v>4</v>
      </c>
      <c r="V870">
        <v>157320</v>
      </c>
      <c r="W870">
        <v>4</v>
      </c>
      <c r="X870">
        <v>157320</v>
      </c>
      <c r="Y870" t="s">
        <v>17</v>
      </c>
      <c r="Z870" t="str">
        <f>LOOKUP(B870,{0,1083,124200,681950},{"1st","2nd","3rd","4th"})&amp;" Quartile"</f>
        <v>1st Quartile</v>
      </c>
    </row>
    <row r="871" spans="1:26">
      <c r="A871">
        <v>2022</v>
      </c>
      <c r="B871">
        <v>2</v>
      </c>
      <c r="C871" t="s">
        <v>1571</v>
      </c>
      <c r="D871" t="s">
        <v>1631</v>
      </c>
      <c r="E871">
        <v>46</v>
      </c>
      <c r="F871" t="s">
        <v>1571</v>
      </c>
      <c r="G871">
        <v>51</v>
      </c>
      <c r="H871">
        <v>0.75</v>
      </c>
      <c r="I871">
        <v>0.879</v>
      </c>
      <c r="J871">
        <v>-4.88</v>
      </c>
      <c r="K871">
        <v>0</v>
      </c>
      <c r="L871">
        <v>4</v>
      </c>
      <c r="M871">
        <v>4.2700000000000002E-2</v>
      </c>
      <c r="N871">
        <v>2.3300000000000001E-2</v>
      </c>
      <c r="O871">
        <v>0</v>
      </c>
      <c r="P871">
        <v>0.193</v>
      </c>
      <c r="Q871">
        <v>0.33300000000000002</v>
      </c>
      <c r="R871">
        <v>124.038</v>
      </c>
      <c r="S871">
        <v>4</v>
      </c>
      <c r="T871">
        <v>181308</v>
      </c>
      <c r="U871">
        <v>4</v>
      </c>
      <c r="V871">
        <v>181308</v>
      </c>
      <c r="W871">
        <v>4</v>
      </c>
      <c r="X871">
        <v>181308</v>
      </c>
      <c r="Y871" t="s">
        <v>17</v>
      </c>
      <c r="Z871" t="str">
        <f>LOOKUP(B871,{0,1083,124200,681950},{"1st","2nd","3rd","4th"})&amp;" Quartile"</f>
        <v>1st Quartile</v>
      </c>
    </row>
    <row r="872" spans="1:26">
      <c r="A872">
        <v>2022</v>
      </c>
      <c r="B872">
        <v>2</v>
      </c>
      <c r="C872" t="s">
        <v>1619</v>
      </c>
      <c r="D872" t="s">
        <v>1620</v>
      </c>
      <c r="E872">
        <v>54</v>
      </c>
      <c r="F872" t="s">
        <v>1619</v>
      </c>
      <c r="G872">
        <v>50</v>
      </c>
      <c r="H872">
        <v>0.73899999999999999</v>
      </c>
      <c r="I872">
        <v>0.73399999999999999</v>
      </c>
      <c r="J872">
        <v>-6.0620000000000003</v>
      </c>
      <c r="K872">
        <v>1</v>
      </c>
      <c r="L872">
        <v>6</v>
      </c>
      <c r="M872">
        <v>0.25900000000000001</v>
      </c>
      <c r="N872">
        <v>2.4199999999999999E-2</v>
      </c>
      <c r="O872">
        <v>0</v>
      </c>
      <c r="P872">
        <v>9.2100000000000001E-2</v>
      </c>
      <c r="Q872">
        <v>0.47099999999999997</v>
      </c>
      <c r="R872">
        <v>101.995</v>
      </c>
      <c r="S872">
        <v>4</v>
      </c>
      <c r="T872">
        <v>174858</v>
      </c>
      <c r="U872">
        <v>4</v>
      </c>
      <c r="V872">
        <v>174858</v>
      </c>
      <c r="W872">
        <v>4</v>
      </c>
      <c r="X872">
        <v>174858</v>
      </c>
      <c r="Y872" t="s">
        <v>17</v>
      </c>
      <c r="Z872" t="str">
        <f>LOOKUP(B872,{0,1083,124200,681950},{"1st","2nd","3rd","4th"})&amp;" Quartile"</f>
        <v>1st Quartile</v>
      </c>
    </row>
    <row r="873" spans="1:26">
      <c r="A873">
        <v>2022</v>
      </c>
      <c r="B873">
        <v>2</v>
      </c>
      <c r="C873" t="s">
        <v>1610</v>
      </c>
      <c r="D873" t="s">
        <v>1365</v>
      </c>
      <c r="E873">
        <v>83</v>
      </c>
      <c r="F873" t="s">
        <v>1364</v>
      </c>
      <c r="G873">
        <v>78</v>
      </c>
      <c r="H873">
        <v>0.48</v>
      </c>
      <c r="I873">
        <v>0.60199999999999998</v>
      </c>
      <c r="J873">
        <v>-6.335</v>
      </c>
      <c r="K873">
        <v>0</v>
      </c>
      <c r="L873">
        <v>10</v>
      </c>
      <c r="M873">
        <v>0.36799999999999999</v>
      </c>
      <c r="N873">
        <v>0.48699999999999999</v>
      </c>
      <c r="O873">
        <v>0</v>
      </c>
      <c r="P873">
        <v>8.48E-2</v>
      </c>
      <c r="Q873">
        <v>0.26900000000000002</v>
      </c>
      <c r="R873">
        <v>179.798</v>
      </c>
      <c r="S873">
        <v>4</v>
      </c>
      <c r="T873">
        <v>213333</v>
      </c>
      <c r="U873">
        <v>4</v>
      </c>
      <c r="V873">
        <v>213333</v>
      </c>
      <c r="W873">
        <v>4</v>
      </c>
      <c r="X873">
        <v>213333</v>
      </c>
      <c r="Y873" t="s">
        <v>17</v>
      </c>
      <c r="Z873" t="str">
        <f>LOOKUP(B873,{0,1083,124200,681950},{"1st","2nd","3rd","4th"})&amp;" Quartile"</f>
        <v>1st Quartile</v>
      </c>
    </row>
    <row r="874" spans="1:26">
      <c r="A874">
        <v>2022</v>
      </c>
      <c r="B874">
        <v>1</v>
      </c>
      <c r="C874" t="s">
        <v>1817</v>
      </c>
      <c r="D874" t="s">
        <v>1818</v>
      </c>
      <c r="E874">
        <v>74</v>
      </c>
      <c r="F874" t="s">
        <v>1817</v>
      </c>
      <c r="G874">
        <v>89</v>
      </c>
      <c r="H874">
        <v>0.56299999999999994</v>
      </c>
      <c r="I874">
        <v>0.63900000000000001</v>
      </c>
      <c r="J874">
        <v>-8.2050000000000001</v>
      </c>
      <c r="K874">
        <v>1</v>
      </c>
      <c r="L874">
        <v>0</v>
      </c>
      <c r="M874">
        <v>6.8400000000000002E-2</v>
      </c>
      <c r="N874">
        <v>0.107</v>
      </c>
      <c r="O874">
        <v>1.06E-5</v>
      </c>
      <c r="P874">
        <v>0.44600000000000001</v>
      </c>
      <c r="Q874">
        <v>0.51800000000000002</v>
      </c>
      <c r="R874">
        <v>169.98500000000001</v>
      </c>
      <c r="S874">
        <v>4</v>
      </c>
      <c r="T874">
        <v>179551</v>
      </c>
      <c r="U874">
        <v>4</v>
      </c>
      <c r="V874">
        <v>179551</v>
      </c>
      <c r="W874">
        <v>4</v>
      </c>
      <c r="X874">
        <v>179551</v>
      </c>
      <c r="Y874" t="s">
        <v>17</v>
      </c>
      <c r="Z874" t="str">
        <f>LOOKUP(B874,{0,1083,124200,681950},{"1st","2nd","3rd","4th"})&amp;" Quartile"</f>
        <v>1st Quartile</v>
      </c>
    </row>
    <row r="875" spans="1:26">
      <c r="A875">
        <v>2022</v>
      </c>
      <c r="B875">
        <v>1</v>
      </c>
      <c r="C875" t="s">
        <v>1745</v>
      </c>
      <c r="D875" t="s">
        <v>1746</v>
      </c>
      <c r="E875">
        <v>48</v>
      </c>
      <c r="F875" t="s">
        <v>1745</v>
      </c>
      <c r="G875">
        <v>52</v>
      </c>
      <c r="H875">
        <v>0.64200000000000002</v>
      </c>
      <c r="I875">
        <v>0.61</v>
      </c>
      <c r="J875">
        <v>-9.1940000000000008</v>
      </c>
      <c r="K875">
        <v>0</v>
      </c>
      <c r="L875">
        <v>2</v>
      </c>
      <c r="M875">
        <v>9.9199999999999997E-2</v>
      </c>
      <c r="N875">
        <v>0.16</v>
      </c>
      <c r="O875">
        <v>6.8900000000000001E-6</v>
      </c>
      <c r="P875">
        <v>0.40799999999999997</v>
      </c>
      <c r="Q875">
        <v>0.29399999999999998</v>
      </c>
      <c r="R875">
        <v>129.886</v>
      </c>
      <c r="S875">
        <v>3</v>
      </c>
      <c r="T875">
        <v>168000</v>
      </c>
      <c r="U875">
        <v>3</v>
      </c>
      <c r="V875">
        <v>168000</v>
      </c>
      <c r="W875">
        <v>3</v>
      </c>
      <c r="X875">
        <v>168000</v>
      </c>
      <c r="Y875" t="s">
        <v>17</v>
      </c>
      <c r="Z875" t="str">
        <f>LOOKUP(B875,{0,1083,124200,681950},{"1st","2nd","3rd","4th"})&amp;" Quartile"</f>
        <v>1st Quartile</v>
      </c>
    </row>
    <row r="876" spans="1:26">
      <c r="A876">
        <v>2022</v>
      </c>
      <c r="B876">
        <v>1</v>
      </c>
      <c r="C876" t="s">
        <v>1657</v>
      </c>
      <c r="D876" t="s">
        <v>1658</v>
      </c>
      <c r="E876">
        <v>52</v>
      </c>
      <c r="F876" t="s">
        <v>1657</v>
      </c>
      <c r="G876">
        <v>46</v>
      </c>
      <c r="H876">
        <v>0.59499999999999997</v>
      </c>
      <c r="I876">
        <v>0.81200000000000006</v>
      </c>
      <c r="J876">
        <v>-5.6230000000000002</v>
      </c>
      <c r="K876">
        <v>1</v>
      </c>
      <c r="L876">
        <v>9</v>
      </c>
      <c r="M876">
        <v>4.8099999999999997E-2</v>
      </c>
      <c r="N876">
        <v>3.2100000000000002E-3</v>
      </c>
      <c r="O876">
        <v>1.3799999999999999E-6</v>
      </c>
      <c r="P876">
        <v>0.39700000000000002</v>
      </c>
      <c r="Q876">
        <v>0.48299999999999998</v>
      </c>
      <c r="R876">
        <v>104.98</v>
      </c>
      <c r="S876">
        <v>4</v>
      </c>
      <c r="T876">
        <v>124571</v>
      </c>
      <c r="U876">
        <v>4</v>
      </c>
      <c r="V876">
        <v>124571</v>
      </c>
      <c r="W876">
        <v>4</v>
      </c>
      <c r="X876">
        <v>124571</v>
      </c>
      <c r="Y876" t="s">
        <v>17</v>
      </c>
      <c r="Z876" t="str">
        <f>LOOKUP(B876,{0,1083,124200,681950},{"1st","2nd","3rd","4th"})&amp;" Quartile"</f>
        <v>1st Quartile</v>
      </c>
    </row>
    <row r="877" spans="1:26">
      <c r="A877">
        <v>2022</v>
      </c>
      <c r="B877">
        <v>1</v>
      </c>
      <c r="C877" t="s">
        <v>1596</v>
      </c>
      <c r="D877" t="s">
        <v>1597</v>
      </c>
      <c r="E877">
        <v>26</v>
      </c>
      <c r="F877" t="s">
        <v>1596</v>
      </c>
      <c r="G877">
        <v>37</v>
      </c>
      <c r="H877">
        <v>0.86299999999999999</v>
      </c>
      <c r="I877">
        <v>0.32500000000000001</v>
      </c>
      <c r="J877">
        <v>-7.8639999999999999</v>
      </c>
      <c r="K877">
        <v>1</v>
      </c>
      <c r="L877">
        <v>0</v>
      </c>
      <c r="M877">
        <v>0.34100000000000003</v>
      </c>
      <c r="N877">
        <v>0.66700000000000004</v>
      </c>
      <c r="O877">
        <v>1.7099999999999999E-5</v>
      </c>
      <c r="P877">
        <v>0.1</v>
      </c>
      <c r="Q877">
        <v>0.53700000000000003</v>
      </c>
      <c r="R877">
        <v>98.947999999999993</v>
      </c>
      <c r="S877">
        <v>4</v>
      </c>
      <c r="T877">
        <v>126314</v>
      </c>
      <c r="U877">
        <v>4</v>
      </c>
      <c r="V877">
        <v>126314</v>
      </c>
      <c r="W877">
        <v>4</v>
      </c>
      <c r="X877">
        <v>126314</v>
      </c>
      <c r="Y877" t="s">
        <v>17</v>
      </c>
      <c r="Z877" t="str">
        <f>LOOKUP(B877,{0,1083,124200,681950},{"1st","2nd","3rd","4th"})&amp;" Quartile"</f>
        <v>1st Quartile</v>
      </c>
    </row>
    <row r="878" spans="1:26">
      <c r="A878">
        <v>2022</v>
      </c>
      <c r="B878">
        <v>1</v>
      </c>
      <c r="C878" t="s">
        <v>1580</v>
      </c>
      <c r="D878" t="s">
        <v>1581</v>
      </c>
      <c r="E878">
        <v>18</v>
      </c>
      <c r="F878" t="s">
        <v>1580</v>
      </c>
      <c r="G878">
        <v>31</v>
      </c>
      <c r="H878">
        <v>0.71499999999999997</v>
      </c>
      <c r="I878">
        <v>0.70599999999999996</v>
      </c>
      <c r="J878">
        <v>-5.8040000000000003</v>
      </c>
      <c r="K878">
        <v>0</v>
      </c>
      <c r="L878">
        <v>4</v>
      </c>
      <c r="M878">
        <v>0.38300000000000001</v>
      </c>
      <c r="N878">
        <v>0.32600000000000001</v>
      </c>
      <c r="O878">
        <v>2.31E-4</v>
      </c>
      <c r="P878">
        <v>0.52500000000000002</v>
      </c>
      <c r="Q878">
        <v>0.34799999999999998</v>
      </c>
      <c r="R878">
        <v>126.069</v>
      </c>
      <c r="S878">
        <v>4</v>
      </c>
      <c r="T878">
        <v>137431</v>
      </c>
      <c r="U878">
        <v>4</v>
      </c>
      <c r="V878">
        <v>137431</v>
      </c>
      <c r="W878">
        <v>4</v>
      </c>
      <c r="X878">
        <v>137431</v>
      </c>
      <c r="Y878" t="s">
        <v>17</v>
      </c>
      <c r="Z878" t="str">
        <f>LOOKUP(B878,{0,1083,124200,681950},{"1st","2nd","3rd","4th"})&amp;" Quartile"</f>
        <v>1st Quartile</v>
      </c>
    </row>
    <row r="879" spans="1:26">
      <c r="A879">
        <v>2021</v>
      </c>
      <c r="B879">
        <v>1</v>
      </c>
      <c r="C879" t="s">
        <v>1301</v>
      </c>
      <c r="D879" t="s">
        <v>1302</v>
      </c>
      <c r="E879">
        <v>0</v>
      </c>
      <c r="F879" t="s">
        <v>1301</v>
      </c>
      <c r="G879">
        <v>0</v>
      </c>
      <c r="H879">
        <v>0.71699999999999997</v>
      </c>
      <c r="I879">
        <v>0.84599999999999997</v>
      </c>
      <c r="J879">
        <v>-3.1819999999999999</v>
      </c>
      <c r="K879">
        <v>0</v>
      </c>
      <c r="L879">
        <v>1</v>
      </c>
      <c r="M879">
        <v>3.2899999999999999E-2</v>
      </c>
      <c r="N879">
        <v>4.0099999999999997E-3</v>
      </c>
      <c r="O879">
        <v>9.1300000000000006E-2</v>
      </c>
      <c r="P879">
        <v>0.05</v>
      </c>
      <c r="Q879">
        <v>0.71299999999999997</v>
      </c>
      <c r="R879">
        <v>136.96100000000001</v>
      </c>
      <c r="S879">
        <v>4</v>
      </c>
      <c r="T879">
        <v>155365</v>
      </c>
      <c r="U879">
        <v>4</v>
      </c>
      <c r="V879">
        <v>155365</v>
      </c>
      <c r="W879">
        <v>4</v>
      </c>
      <c r="X879">
        <v>155365</v>
      </c>
      <c r="Y879" t="s">
        <v>17</v>
      </c>
      <c r="Z879" t="str">
        <f>LOOKUP(B879,{0,1083,124200,681950},{"1st","2nd","3rd","4th"})&amp;" Quartile"</f>
        <v>1st Quartile</v>
      </c>
    </row>
    <row r="880" spans="1:26">
      <c r="A880">
        <v>2021</v>
      </c>
      <c r="B880">
        <v>1</v>
      </c>
      <c r="C880" t="s">
        <v>1279</v>
      </c>
      <c r="D880" t="s">
        <v>1280</v>
      </c>
      <c r="E880">
        <v>12</v>
      </c>
      <c r="F880" t="s">
        <v>1279</v>
      </c>
      <c r="G880">
        <v>28</v>
      </c>
      <c r="H880">
        <v>0.69699999999999995</v>
      </c>
      <c r="I880">
        <v>0.505</v>
      </c>
      <c r="J880">
        <v>-7.5949999999999998</v>
      </c>
      <c r="K880">
        <v>0</v>
      </c>
      <c r="L880">
        <v>1</v>
      </c>
      <c r="M880">
        <v>0.121</v>
      </c>
      <c r="N880">
        <v>0.121</v>
      </c>
      <c r="O880">
        <v>0</v>
      </c>
      <c r="P880">
        <v>0.254</v>
      </c>
      <c r="Q880">
        <v>0.17199999999999999</v>
      </c>
      <c r="R880">
        <v>93.022000000000006</v>
      </c>
      <c r="S880">
        <v>4</v>
      </c>
      <c r="T880">
        <v>216790</v>
      </c>
      <c r="U880">
        <v>4</v>
      </c>
      <c r="V880">
        <v>216790</v>
      </c>
      <c r="W880">
        <v>4</v>
      </c>
      <c r="X880">
        <v>216790</v>
      </c>
      <c r="Y880" t="s">
        <v>17</v>
      </c>
      <c r="Z880" t="str">
        <f>LOOKUP(B880,{0,1083,124200,681950},{"1st","2nd","3rd","4th"})&amp;" Quartile"</f>
        <v>1st Quartile</v>
      </c>
    </row>
    <row r="881" spans="1:26">
      <c r="A881">
        <v>2020</v>
      </c>
      <c r="B881">
        <v>1</v>
      </c>
      <c r="C881" t="s">
        <v>996</v>
      </c>
      <c r="D881" t="s">
        <v>995</v>
      </c>
      <c r="E881">
        <v>82</v>
      </c>
      <c r="F881" t="s">
        <v>994</v>
      </c>
      <c r="G881">
        <v>79</v>
      </c>
      <c r="H881">
        <v>0.67300000000000004</v>
      </c>
      <c r="I881">
        <v>0.64900000000000002</v>
      </c>
      <c r="J881">
        <v>-8.4329999999999998</v>
      </c>
      <c r="K881">
        <v>0</v>
      </c>
      <c r="L881">
        <v>1</v>
      </c>
      <c r="M881">
        <v>0.19600000000000001</v>
      </c>
      <c r="N881">
        <v>0.188</v>
      </c>
      <c r="O881">
        <v>0</v>
      </c>
      <c r="P881">
        <v>0.122</v>
      </c>
      <c r="Q881">
        <v>0.47</v>
      </c>
      <c r="R881">
        <v>153.07499999999999</v>
      </c>
      <c r="S881">
        <v>4</v>
      </c>
      <c r="T881">
        <v>153800</v>
      </c>
      <c r="U881">
        <v>4</v>
      </c>
      <c r="V881">
        <v>153800</v>
      </c>
      <c r="W881">
        <v>4</v>
      </c>
      <c r="X881">
        <v>153800</v>
      </c>
      <c r="Y881" t="s">
        <v>17</v>
      </c>
      <c r="Z881" t="str">
        <f>LOOKUP(B881,{0,1083,124200,681950},{"1st","2nd","3rd","4th"})&amp;" Quartile"</f>
        <v>1st Quartile</v>
      </c>
    </row>
    <row r="882" spans="1:26">
      <c r="A882">
        <v>2020</v>
      </c>
      <c r="B882">
        <v>1</v>
      </c>
      <c r="C882" t="s">
        <v>947</v>
      </c>
      <c r="D882" t="s">
        <v>948</v>
      </c>
      <c r="E882">
        <v>0</v>
      </c>
      <c r="F882" t="s">
        <v>947</v>
      </c>
      <c r="G882">
        <v>0</v>
      </c>
      <c r="H882">
        <v>0.69599999999999995</v>
      </c>
      <c r="I882">
        <v>0.375</v>
      </c>
      <c r="J882">
        <v>-7.5430000000000001</v>
      </c>
      <c r="K882">
        <v>1</v>
      </c>
      <c r="L882">
        <v>3</v>
      </c>
      <c r="M882">
        <v>0.49299999999999999</v>
      </c>
      <c r="N882">
        <v>0.27</v>
      </c>
      <c r="O882">
        <v>0</v>
      </c>
      <c r="P882">
        <v>0.26900000000000002</v>
      </c>
      <c r="Q882">
        <v>0.68799999999999994</v>
      </c>
      <c r="R882">
        <v>101.07299999999999</v>
      </c>
      <c r="S882">
        <v>4</v>
      </c>
      <c r="T882">
        <v>351467</v>
      </c>
      <c r="U882">
        <v>4</v>
      </c>
      <c r="V882">
        <v>351467</v>
      </c>
      <c r="W882">
        <v>4</v>
      </c>
      <c r="X882">
        <v>351467</v>
      </c>
      <c r="Y882" t="s">
        <v>17</v>
      </c>
      <c r="Z882" t="str">
        <f>LOOKUP(B882,{0,1083,124200,681950},{"1st","2nd","3rd","4th"})&amp;" Quartile"</f>
        <v>1st Quartile</v>
      </c>
    </row>
    <row r="883" spans="1:26">
      <c r="A883">
        <v>2019</v>
      </c>
      <c r="B883">
        <v>1</v>
      </c>
      <c r="C883" t="s">
        <v>495</v>
      </c>
      <c r="D883" t="s">
        <v>496</v>
      </c>
      <c r="E883">
        <v>61</v>
      </c>
      <c r="F883" t="s">
        <v>495</v>
      </c>
      <c r="G883">
        <v>58</v>
      </c>
      <c r="H883">
        <v>0.68300000000000005</v>
      </c>
      <c r="I883">
        <v>0.63600000000000001</v>
      </c>
      <c r="J883">
        <v>-12.096</v>
      </c>
      <c r="K883">
        <v>0</v>
      </c>
      <c r="L883">
        <v>7</v>
      </c>
      <c r="M883">
        <v>9.7799999999999998E-2</v>
      </c>
      <c r="N883">
        <v>0.30199999999999999</v>
      </c>
      <c r="O883">
        <v>0.498</v>
      </c>
      <c r="P883">
        <v>9.7199999999999995E-2</v>
      </c>
      <c r="Q883">
        <v>0.61499999999999999</v>
      </c>
      <c r="R883">
        <v>160.012</v>
      </c>
      <c r="S883">
        <v>4</v>
      </c>
      <c r="T883">
        <v>142365</v>
      </c>
      <c r="U883">
        <v>4</v>
      </c>
      <c r="V883">
        <v>142365</v>
      </c>
      <c r="W883">
        <v>4</v>
      </c>
      <c r="X883">
        <v>142365</v>
      </c>
      <c r="Y883" t="s">
        <v>17</v>
      </c>
      <c r="Z883" t="str">
        <f>LOOKUP(B883,{0,1083,124200,681950},{"1st","2nd","3rd","4th"})&amp;" Quartile"</f>
        <v>1st Quartile</v>
      </c>
    </row>
    <row r="884" spans="1:26">
      <c r="A884">
        <v>2019</v>
      </c>
      <c r="B884">
        <v>1</v>
      </c>
      <c r="C884" t="s">
        <v>475</v>
      </c>
      <c r="D884" t="s">
        <v>474</v>
      </c>
      <c r="E884">
        <v>62</v>
      </c>
      <c r="F884" t="s">
        <v>473</v>
      </c>
      <c r="G884">
        <v>54</v>
      </c>
      <c r="H884">
        <v>0.94899999999999995</v>
      </c>
      <c r="I884">
        <v>0.42499999999999999</v>
      </c>
      <c r="J884">
        <v>-7.3929999999999998</v>
      </c>
      <c r="K884">
        <v>1</v>
      </c>
      <c r="L884">
        <v>5</v>
      </c>
      <c r="M884">
        <v>0.224</v>
      </c>
      <c r="N884">
        <v>2.9499999999999998E-2</v>
      </c>
      <c r="O884">
        <v>0</v>
      </c>
      <c r="P884">
        <v>0.106</v>
      </c>
      <c r="Q884">
        <v>0.621</v>
      </c>
      <c r="R884">
        <v>124.92700000000001</v>
      </c>
      <c r="S884">
        <v>4</v>
      </c>
      <c r="T884">
        <v>135023</v>
      </c>
      <c r="U884">
        <v>4</v>
      </c>
      <c r="V884">
        <v>135023</v>
      </c>
      <c r="W884">
        <v>4</v>
      </c>
      <c r="X884">
        <v>135023</v>
      </c>
      <c r="Y884" t="s">
        <v>17</v>
      </c>
      <c r="Z884" t="str">
        <f>LOOKUP(B884,{0,1083,124200,681950},{"1st","2nd","3rd","4th"})&amp;" Quartile"</f>
        <v>1st Quartile</v>
      </c>
    </row>
    <row r="885" spans="1:26">
      <c r="A885">
        <v>2019</v>
      </c>
      <c r="B885">
        <v>1</v>
      </c>
      <c r="C885" t="s">
        <v>303</v>
      </c>
      <c r="D885" t="s">
        <v>304</v>
      </c>
      <c r="E885">
        <v>47</v>
      </c>
      <c r="F885" t="s">
        <v>303</v>
      </c>
      <c r="G885">
        <v>58</v>
      </c>
      <c r="H885">
        <v>0.69599999999999995</v>
      </c>
      <c r="I885">
        <v>0.39900000000000002</v>
      </c>
      <c r="J885">
        <v>-8.673</v>
      </c>
      <c r="K885">
        <v>0</v>
      </c>
      <c r="L885">
        <v>4</v>
      </c>
      <c r="M885">
        <v>3.6900000000000002E-2</v>
      </c>
      <c r="N885">
        <v>2.24E-2</v>
      </c>
      <c r="O885">
        <v>0</v>
      </c>
      <c r="P885">
        <v>7.4700000000000003E-2</v>
      </c>
      <c r="Q885">
        <v>0.36399999999999999</v>
      </c>
      <c r="R885">
        <v>98.004000000000005</v>
      </c>
      <c r="S885">
        <v>4</v>
      </c>
      <c r="T885">
        <v>156770</v>
      </c>
      <c r="U885">
        <v>4</v>
      </c>
      <c r="V885">
        <v>156770</v>
      </c>
      <c r="W885">
        <v>4</v>
      </c>
      <c r="X885">
        <v>156770</v>
      </c>
      <c r="Y885" t="s">
        <v>17</v>
      </c>
      <c r="Z885" t="str">
        <f>LOOKUP(B885,{0,1083,124200,681950},{"1st","2nd","3rd","4th"})&amp;" Quartile"</f>
        <v>1st Quartile</v>
      </c>
    </row>
    <row r="886" spans="1:26">
      <c r="A886">
        <v>2022</v>
      </c>
      <c r="B886">
        <v>0</v>
      </c>
      <c r="C886" t="s">
        <v>1783</v>
      </c>
      <c r="D886" t="s">
        <v>1784</v>
      </c>
      <c r="E886">
        <v>56</v>
      </c>
      <c r="F886" t="s">
        <v>1783</v>
      </c>
      <c r="G886">
        <v>51</v>
      </c>
      <c r="H886">
        <v>0.621</v>
      </c>
      <c r="I886">
        <v>0.84699999999999998</v>
      </c>
      <c r="J886">
        <v>-6.1079999999999997</v>
      </c>
      <c r="K886">
        <v>1</v>
      </c>
      <c r="L886">
        <v>3</v>
      </c>
      <c r="M886">
        <v>0.27800000000000002</v>
      </c>
      <c r="N886">
        <v>5.8400000000000001E-2</v>
      </c>
      <c r="O886">
        <v>1.11E-6</v>
      </c>
      <c r="P886">
        <v>0.109</v>
      </c>
      <c r="Q886">
        <v>0.373</v>
      </c>
      <c r="R886">
        <v>101.996</v>
      </c>
      <c r="S886">
        <v>4</v>
      </c>
      <c r="T886">
        <v>172431</v>
      </c>
      <c r="U886">
        <v>4</v>
      </c>
      <c r="V886">
        <v>172431</v>
      </c>
      <c r="W886">
        <v>4</v>
      </c>
      <c r="X886">
        <v>172431</v>
      </c>
      <c r="Y886" t="s">
        <v>17</v>
      </c>
      <c r="Z886" t="str">
        <f>LOOKUP(B886,{0,1083,124200,681950},{"1st","2nd","3rd","4th"})&amp;" Quartile"</f>
        <v>1st Quartile</v>
      </c>
    </row>
    <row r="887" spans="1:26">
      <c r="A887">
        <v>2022</v>
      </c>
      <c r="B887">
        <v>0</v>
      </c>
      <c r="C887" t="s">
        <v>1600</v>
      </c>
      <c r="D887" t="s">
        <v>1772</v>
      </c>
      <c r="E887">
        <v>61</v>
      </c>
      <c r="F887" t="s">
        <v>1600</v>
      </c>
      <c r="G887">
        <v>0</v>
      </c>
      <c r="H887">
        <v>0.64300000000000002</v>
      </c>
      <c r="I887">
        <v>0.745</v>
      </c>
      <c r="J887">
        <v>-5.5540000000000003</v>
      </c>
      <c r="K887">
        <v>0</v>
      </c>
      <c r="L887">
        <v>5</v>
      </c>
      <c r="M887">
        <v>6.1899999999999997E-2</v>
      </c>
      <c r="N887">
        <v>4.4900000000000002E-2</v>
      </c>
      <c r="O887">
        <v>0</v>
      </c>
      <c r="P887">
        <v>9.1600000000000001E-2</v>
      </c>
      <c r="Q887">
        <v>0.46100000000000002</v>
      </c>
      <c r="R887">
        <v>124.968</v>
      </c>
      <c r="S887">
        <v>4</v>
      </c>
      <c r="T887">
        <v>182613</v>
      </c>
      <c r="U887">
        <v>4</v>
      </c>
      <c r="V887">
        <v>182613</v>
      </c>
      <c r="W887">
        <v>4</v>
      </c>
      <c r="X887">
        <v>182613</v>
      </c>
      <c r="Y887" t="s">
        <v>17</v>
      </c>
      <c r="Z887" t="str">
        <f>LOOKUP(B887,{0,1083,124200,681950},{"1st","2nd","3rd","4th"})&amp;" Quartile"</f>
        <v>1st Quartile</v>
      </c>
    </row>
    <row r="888" spans="1:26">
      <c r="A888">
        <v>2022</v>
      </c>
      <c r="B888">
        <v>0</v>
      </c>
      <c r="C888" t="s">
        <v>1764</v>
      </c>
      <c r="D888" t="s">
        <v>1568</v>
      </c>
      <c r="E888">
        <v>46</v>
      </c>
      <c r="F888" t="s">
        <v>1764</v>
      </c>
      <c r="G888">
        <v>51</v>
      </c>
      <c r="H888">
        <v>0.55700000000000005</v>
      </c>
      <c r="I888">
        <v>0.80200000000000005</v>
      </c>
      <c r="J888">
        <v>-4.4290000000000003</v>
      </c>
      <c r="K888">
        <v>1</v>
      </c>
      <c r="L888">
        <v>0</v>
      </c>
      <c r="M888">
        <v>5.4100000000000002E-2</v>
      </c>
      <c r="N888">
        <v>9.2399999999999999E-3</v>
      </c>
      <c r="O888">
        <v>7.0799999999999997E-4</v>
      </c>
      <c r="P888">
        <v>0.56899999999999995</v>
      </c>
      <c r="Q888">
        <v>0.77800000000000002</v>
      </c>
      <c r="R888">
        <v>169.893</v>
      </c>
      <c r="S888">
        <v>4</v>
      </c>
      <c r="T888">
        <v>191080</v>
      </c>
      <c r="U888">
        <v>4</v>
      </c>
      <c r="V888">
        <v>191080</v>
      </c>
      <c r="W888">
        <v>4</v>
      </c>
      <c r="X888">
        <v>191080</v>
      </c>
      <c r="Y888" t="s">
        <v>17</v>
      </c>
      <c r="Z888" t="str">
        <f>LOOKUP(B888,{0,1083,124200,681950},{"1st","2nd","3rd","4th"})&amp;" Quartile"</f>
        <v>1st Quartile</v>
      </c>
    </row>
    <row r="889" spans="1:26">
      <c r="A889">
        <v>2022</v>
      </c>
      <c r="B889">
        <v>0</v>
      </c>
      <c r="C889" t="s">
        <v>1763</v>
      </c>
      <c r="D889" t="s">
        <v>1702</v>
      </c>
      <c r="E889">
        <v>45</v>
      </c>
      <c r="F889" t="s">
        <v>1763</v>
      </c>
      <c r="G889">
        <v>42</v>
      </c>
      <c r="H889">
        <v>0.72899999999999998</v>
      </c>
      <c r="I889">
        <v>0.76300000000000001</v>
      </c>
      <c r="J889">
        <v>-7.6769999999999996</v>
      </c>
      <c r="K889">
        <v>1</v>
      </c>
      <c r="L889">
        <v>6</v>
      </c>
      <c r="M889">
        <v>3.4500000000000003E-2</v>
      </c>
      <c r="N889">
        <v>0.66800000000000004</v>
      </c>
      <c r="O889">
        <v>2.64E-2</v>
      </c>
      <c r="P889">
        <v>0.14699999999999999</v>
      </c>
      <c r="Q889">
        <v>0.113</v>
      </c>
      <c r="R889">
        <v>125.989</v>
      </c>
      <c r="S889">
        <v>4</v>
      </c>
      <c r="T889">
        <v>137029</v>
      </c>
      <c r="U889">
        <v>4</v>
      </c>
      <c r="V889">
        <v>137029</v>
      </c>
      <c r="W889">
        <v>4</v>
      </c>
      <c r="X889">
        <v>137029</v>
      </c>
      <c r="Y889" t="s">
        <v>17</v>
      </c>
      <c r="Z889" t="str">
        <f>LOOKUP(B889,{0,1083,124200,681950},{"1st","2nd","3rd","4th"})&amp;" Quartile"</f>
        <v>1st Quartile</v>
      </c>
    </row>
    <row r="890" spans="1:26">
      <c r="A890">
        <v>2022</v>
      </c>
      <c r="B890">
        <v>0</v>
      </c>
      <c r="C890" t="s">
        <v>1755</v>
      </c>
      <c r="D890" t="s">
        <v>1756</v>
      </c>
      <c r="E890">
        <v>51</v>
      </c>
      <c r="F890" t="s">
        <v>1755</v>
      </c>
      <c r="G890">
        <v>46</v>
      </c>
      <c r="H890">
        <v>0.71199999999999997</v>
      </c>
      <c r="I890">
        <v>0.82899999999999996</v>
      </c>
      <c r="J890">
        <v>-8.1669999999999998</v>
      </c>
      <c r="K890">
        <v>0</v>
      </c>
      <c r="L890">
        <v>0</v>
      </c>
      <c r="M890">
        <v>0.03</v>
      </c>
      <c r="N890">
        <v>8.9099999999999999E-2</v>
      </c>
      <c r="O890">
        <v>2.7900000000000001E-2</v>
      </c>
      <c r="P890">
        <v>0.16800000000000001</v>
      </c>
      <c r="Q890">
        <v>0.54100000000000004</v>
      </c>
      <c r="R890">
        <v>121.976</v>
      </c>
      <c r="S890">
        <v>4</v>
      </c>
      <c r="T890">
        <v>155410</v>
      </c>
      <c r="U890">
        <v>4</v>
      </c>
      <c r="V890">
        <v>155410</v>
      </c>
      <c r="W890">
        <v>4</v>
      </c>
      <c r="X890">
        <v>155410</v>
      </c>
      <c r="Y890" t="s">
        <v>17</v>
      </c>
      <c r="Z890" t="str">
        <f>LOOKUP(B890,{0,1083,124200,681950},{"1st","2nd","3rd","4th"})&amp;" Quartile"</f>
        <v>1st Quartile</v>
      </c>
    </row>
    <row r="891" spans="1:26">
      <c r="A891">
        <v>2022</v>
      </c>
      <c r="B891">
        <v>0</v>
      </c>
      <c r="C891" t="s">
        <v>1737</v>
      </c>
      <c r="D891" t="s">
        <v>1738</v>
      </c>
      <c r="E891">
        <v>40</v>
      </c>
      <c r="F891" t="s">
        <v>1737</v>
      </c>
      <c r="G891">
        <v>51</v>
      </c>
      <c r="H891">
        <v>0.79600000000000004</v>
      </c>
      <c r="I891">
        <v>0.73099999999999998</v>
      </c>
      <c r="J891">
        <v>-7.7249999999999996</v>
      </c>
      <c r="K891">
        <v>0</v>
      </c>
      <c r="L891">
        <v>7</v>
      </c>
      <c r="M891">
        <v>6.6900000000000001E-2</v>
      </c>
      <c r="N891">
        <v>0.52900000000000003</v>
      </c>
      <c r="O891">
        <v>0.23899999999999999</v>
      </c>
      <c r="P891">
        <v>0.14299999999999999</v>
      </c>
      <c r="Q891">
        <v>0.498</v>
      </c>
      <c r="R891">
        <v>120.06699999999999</v>
      </c>
      <c r="S891">
        <v>4</v>
      </c>
      <c r="T891">
        <v>174000</v>
      </c>
      <c r="U891">
        <v>4</v>
      </c>
      <c r="V891">
        <v>174000</v>
      </c>
      <c r="W891">
        <v>4</v>
      </c>
      <c r="X891">
        <v>174000</v>
      </c>
      <c r="Y891" t="s">
        <v>17</v>
      </c>
      <c r="Z891" t="str">
        <f>LOOKUP(B891,{0,1083,124200,681950},{"1st","2nd","3rd","4th"})&amp;" Quartile"</f>
        <v>1st Quartile</v>
      </c>
    </row>
    <row r="892" spans="1:26">
      <c r="A892">
        <v>2022</v>
      </c>
      <c r="B892">
        <v>0</v>
      </c>
      <c r="C892" t="s">
        <v>1734</v>
      </c>
      <c r="D892" t="s">
        <v>1735</v>
      </c>
      <c r="E892">
        <v>40</v>
      </c>
      <c r="F892" t="s">
        <v>1734</v>
      </c>
      <c r="G892">
        <v>42</v>
      </c>
      <c r="H892">
        <v>0.69799999999999995</v>
      </c>
      <c r="I892">
        <v>0.78</v>
      </c>
      <c r="J892">
        <v>-6.2510000000000003</v>
      </c>
      <c r="K892">
        <v>1</v>
      </c>
      <c r="L892">
        <v>6</v>
      </c>
      <c r="M892">
        <v>6.2600000000000003E-2</v>
      </c>
      <c r="N892">
        <v>0.157</v>
      </c>
      <c r="O892">
        <v>3.2500000000000001E-2</v>
      </c>
      <c r="P892">
        <v>0.309</v>
      </c>
      <c r="Q892">
        <v>0.20300000000000001</v>
      </c>
      <c r="R892">
        <v>122.07599999999999</v>
      </c>
      <c r="S892">
        <v>4</v>
      </c>
      <c r="T892">
        <v>177956</v>
      </c>
      <c r="U892">
        <v>4</v>
      </c>
      <c r="V892">
        <v>177956</v>
      </c>
      <c r="W892">
        <v>4</v>
      </c>
      <c r="X892">
        <v>177956</v>
      </c>
      <c r="Y892" t="s">
        <v>17</v>
      </c>
      <c r="Z892" t="str">
        <f>LOOKUP(B892,{0,1083,124200,681950},{"1st","2nd","3rd","4th"})&amp;" Quartile"</f>
        <v>1st Quartile</v>
      </c>
    </row>
    <row r="893" spans="1:26">
      <c r="A893">
        <v>2022</v>
      </c>
      <c r="B893">
        <v>0</v>
      </c>
      <c r="C893" t="s">
        <v>1715</v>
      </c>
      <c r="D893" t="s">
        <v>1716</v>
      </c>
      <c r="E893">
        <v>49</v>
      </c>
      <c r="F893" t="s">
        <v>1715</v>
      </c>
      <c r="G893">
        <v>51</v>
      </c>
      <c r="H893">
        <v>0.64500000000000002</v>
      </c>
      <c r="I893">
        <v>0.86799999999999999</v>
      </c>
      <c r="J893">
        <v>-6.8609999999999998</v>
      </c>
      <c r="K893">
        <v>0</v>
      </c>
      <c r="L893">
        <v>8</v>
      </c>
      <c r="M893">
        <v>8.2799999999999999E-2</v>
      </c>
      <c r="N893">
        <v>6.6100000000000006E-2</v>
      </c>
      <c r="O893">
        <v>4.7099999999999998E-3</v>
      </c>
      <c r="P893">
        <v>0.24099999999999999</v>
      </c>
      <c r="Q893">
        <v>0.51</v>
      </c>
      <c r="R893">
        <v>120.009</v>
      </c>
      <c r="S893">
        <v>4</v>
      </c>
      <c r="T893">
        <v>197000</v>
      </c>
      <c r="U893">
        <v>4</v>
      </c>
      <c r="V893">
        <v>197000</v>
      </c>
      <c r="W893">
        <v>4</v>
      </c>
      <c r="X893">
        <v>197000</v>
      </c>
      <c r="Y893" t="s">
        <v>17</v>
      </c>
      <c r="Z893" t="str">
        <f>LOOKUP(B893,{0,1083,124200,681950},{"1st","2nd","3rd","4th"})&amp;" Quartile"</f>
        <v>1st Quartile</v>
      </c>
    </row>
    <row r="894" spans="1:26">
      <c r="A894">
        <v>2022</v>
      </c>
      <c r="B894">
        <v>0</v>
      </c>
      <c r="C894" t="s">
        <v>1703</v>
      </c>
      <c r="D894" t="s">
        <v>1704</v>
      </c>
      <c r="E894">
        <v>46</v>
      </c>
      <c r="F894" t="s">
        <v>1703</v>
      </c>
      <c r="G894">
        <v>31</v>
      </c>
      <c r="H894">
        <v>0.80600000000000005</v>
      </c>
      <c r="I894">
        <v>0.84499999999999997</v>
      </c>
      <c r="J894">
        <v>-4.7530000000000001</v>
      </c>
      <c r="K894">
        <v>1</v>
      </c>
      <c r="L894">
        <v>11</v>
      </c>
      <c r="M894">
        <v>0.19</v>
      </c>
      <c r="N894">
        <v>8.2500000000000004E-2</v>
      </c>
      <c r="O894">
        <v>0</v>
      </c>
      <c r="P894">
        <v>0.26</v>
      </c>
      <c r="Q894">
        <v>0.50800000000000001</v>
      </c>
      <c r="R894">
        <v>125.998</v>
      </c>
      <c r="S894">
        <v>4</v>
      </c>
      <c r="T894">
        <v>128095</v>
      </c>
      <c r="U894">
        <v>4</v>
      </c>
      <c r="V894">
        <v>128095</v>
      </c>
      <c r="W894">
        <v>4</v>
      </c>
      <c r="X894">
        <v>128095</v>
      </c>
      <c r="Y894" t="s">
        <v>17</v>
      </c>
      <c r="Z894" t="str">
        <f>LOOKUP(B894,{0,1083,124200,681950},{"1st","2nd","3rd","4th"})&amp;" Quartile"</f>
        <v>1st Quartile</v>
      </c>
    </row>
    <row r="895" spans="1:26">
      <c r="A895">
        <v>2022</v>
      </c>
      <c r="B895">
        <v>0</v>
      </c>
      <c r="C895" t="s">
        <v>1686</v>
      </c>
      <c r="D895" t="s">
        <v>1687</v>
      </c>
      <c r="E895">
        <v>61</v>
      </c>
      <c r="F895" t="s">
        <v>1686</v>
      </c>
      <c r="G895">
        <v>43</v>
      </c>
      <c r="H895">
        <v>0.69599999999999995</v>
      </c>
      <c r="I895">
        <v>0.89900000000000002</v>
      </c>
      <c r="J895">
        <v>-5.8120000000000003</v>
      </c>
      <c r="K895">
        <v>0</v>
      </c>
      <c r="L895">
        <v>6</v>
      </c>
      <c r="M895">
        <v>0.14399999999999999</v>
      </c>
      <c r="N895">
        <v>0.13100000000000001</v>
      </c>
      <c r="O895">
        <v>1.41E-3</v>
      </c>
      <c r="P895">
        <v>0.114</v>
      </c>
      <c r="Q895">
        <v>0.51700000000000002</v>
      </c>
      <c r="R895">
        <v>123.901</v>
      </c>
      <c r="S895">
        <v>4</v>
      </c>
      <c r="T895">
        <v>159927</v>
      </c>
      <c r="U895">
        <v>4</v>
      </c>
      <c r="V895">
        <v>159927</v>
      </c>
      <c r="W895">
        <v>4</v>
      </c>
      <c r="X895">
        <v>159927</v>
      </c>
      <c r="Y895" t="s">
        <v>17</v>
      </c>
      <c r="Z895" t="str">
        <f>LOOKUP(B895,{0,1083,124200,681950},{"1st","2nd","3rd","4th"})&amp;" Quartile"</f>
        <v>1st Quartile</v>
      </c>
    </row>
    <row r="896" spans="1:26">
      <c r="A896">
        <v>2022</v>
      </c>
      <c r="B896">
        <v>0</v>
      </c>
      <c r="C896" t="s">
        <v>1684</v>
      </c>
      <c r="D896" t="s">
        <v>1685</v>
      </c>
      <c r="E896">
        <v>35</v>
      </c>
      <c r="F896" t="s">
        <v>1684</v>
      </c>
      <c r="G896">
        <v>46</v>
      </c>
      <c r="H896">
        <v>0.55200000000000005</v>
      </c>
      <c r="I896">
        <v>0.83099999999999996</v>
      </c>
      <c r="J896">
        <v>-7.2279999999999998</v>
      </c>
      <c r="K896">
        <v>0</v>
      </c>
      <c r="L896">
        <v>6</v>
      </c>
      <c r="M896">
        <v>0.19400000000000001</v>
      </c>
      <c r="N896">
        <v>9.0499999999999997E-2</v>
      </c>
      <c r="O896">
        <v>2.5999999999999998E-5</v>
      </c>
      <c r="P896">
        <v>0.44</v>
      </c>
      <c r="Q896">
        <v>0.73299999999999998</v>
      </c>
      <c r="R896">
        <v>127.851</v>
      </c>
      <c r="S896">
        <v>4</v>
      </c>
      <c r="T896">
        <v>199687</v>
      </c>
      <c r="U896">
        <v>4</v>
      </c>
      <c r="V896">
        <v>199687</v>
      </c>
      <c r="W896">
        <v>4</v>
      </c>
      <c r="X896">
        <v>199687</v>
      </c>
      <c r="Y896" t="s">
        <v>17</v>
      </c>
      <c r="Z896" t="str">
        <f>LOOKUP(B896,{0,1083,124200,681950},{"1st","2nd","3rd","4th"})&amp;" Quartile"</f>
        <v>1st Quartile</v>
      </c>
    </row>
    <row r="897" spans="1:26">
      <c r="A897">
        <v>2022</v>
      </c>
      <c r="B897">
        <v>0</v>
      </c>
      <c r="C897" t="s">
        <v>1680</v>
      </c>
      <c r="D897" t="s">
        <v>1546</v>
      </c>
      <c r="E897">
        <v>48</v>
      </c>
      <c r="F897" t="s">
        <v>1680</v>
      </c>
      <c r="G897">
        <v>37</v>
      </c>
      <c r="H897">
        <v>0.82299999999999995</v>
      </c>
      <c r="I897">
        <v>0.77100000000000002</v>
      </c>
      <c r="J897">
        <v>-6.0549999999999997</v>
      </c>
      <c r="K897">
        <v>0</v>
      </c>
      <c r="L897">
        <v>9</v>
      </c>
      <c r="M897">
        <v>3.6499999999999998E-2</v>
      </c>
      <c r="N897">
        <v>0.627</v>
      </c>
      <c r="O897">
        <v>1.01E-3</v>
      </c>
      <c r="P897">
        <v>0.27100000000000002</v>
      </c>
      <c r="Q897">
        <v>0.65800000000000003</v>
      </c>
      <c r="R897">
        <v>122.015</v>
      </c>
      <c r="S897">
        <v>4</v>
      </c>
      <c r="T897">
        <v>156885</v>
      </c>
      <c r="U897">
        <v>4</v>
      </c>
      <c r="V897">
        <v>156885</v>
      </c>
      <c r="W897">
        <v>4</v>
      </c>
      <c r="X897">
        <v>156885</v>
      </c>
      <c r="Y897" t="s">
        <v>17</v>
      </c>
      <c r="Z897" t="str">
        <f>LOOKUP(B897,{0,1083,124200,681950},{"1st","2nd","3rd","4th"})&amp;" Quartile"</f>
        <v>1st Quartile</v>
      </c>
    </row>
    <row r="898" spans="1:26">
      <c r="A898">
        <v>2022</v>
      </c>
      <c r="B898">
        <v>0</v>
      </c>
      <c r="C898" t="s">
        <v>1679</v>
      </c>
      <c r="D898" t="s">
        <v>1678</v>
      </c>
      <c r="E898">
        <v>50</v>
      </c>
      <c r="F898" t="s">
        <v>1677</v>
      </c>
      <c r="G898">
        <v>55</v>
      </c>
      <c r="H898">
        <v>0.67900000000000005</v>
      </c>
      <c r="I898">
        <v>0.86899999999999999</v>
      </c>
      <c r="J898">
        <v>-4.7009999999999996</v>
      </c>
      <c r="K898">
        <v>0</v>
      </c>
      <c r="L898">
        <v>5</v>
      </c>
      <c r="M898">
        <v>0.13800000000000001</v>
      </c>
      <c r="N898">
        <v>9.6900000000000007E-3</v>
      </c>
      <c r="O898">
        <v>1.3200000000000001E-5</v>
      </c>
      <c r="P898">
        <v>0.27800000000000002</v>
      </c>
      <c r="Q898">
        <v>0.41</v>
      </c>
      <c r="R898">
        <v>125.09</v>
      </c>
      <c r="S898">
        <v>4</v>
      </c>
      <c r="T898">
        <v>170040</v>
      </c>
      <c r="U898">
        <v>4</v>
      </c>
      <c r="V898">
        <v>170040</v>
      </c>
      <c r="W898">
        <v>4</v>
      </c>
      <c r="X898">
        <v>170040</v>
      </c>
      <c r="Y898" t="s">
        <v>17</v>
      </c>
      <c r="Z898" t="str">
        <f>LOOKUP(B898,{0,1083,124200,681950},{"1st","2nd","3rd","4th"})&amp;" Quartile"</f>
        <v>1st Quartile</v>
      </c>
    </row>
    <row r="899" spans="1:26">
      <c r="A899">
        <v>2022</v>
      </c>
      <c r="B899">
        <v>0</v>
      </c>
      <c r="C899" t="s">
        <v>1519</v>
      </c>
      <c r="D899" t="s">
        <v>319</v>
      </c>
      <c r="E899">
        <v>90</v>
      </c>
      <c r="F899" t="s">
        <v>1167</v>
      </c>
      <c r="G899">
        <v>86</v>
      </c>
      <c r="H899">
        <v>0.67700000000000005</v>
      </c>
      <c r="I899">
        <v>0.69599999999999995</v>
      </c>
      <c r="J899">
        <v>-6.181</v>
      </c>
      <c r="K899">
        <v>1</v>
      </c>
      <c r="L899">
        <v>0</v>
      </c>
      <c r="M899">
        <v>0.11899999999999999</v>
      </c>
      <c r="N899">
        <v>0.32100000000000001</v>
      </c>
      <c r="O899">
        <v>0</v>
      </c>
      <c r="P899">
        <v>0.42</v>
      </c>
      <c r="Q899">
        <v>0.46400000000000002</v>
      </c>
      <c r="R899">
        <v>90.03</v>
      </c>
      <c r="S899">
        <v>4</v>
      </c>
      <c r="T899">
        <v>198082</v>
      </c>
      <c r="U899">
        <v>4</v>
      </c>
      <c r="V899">
        <v>198082</v>
      </c>
      <c r="W899">
        <v>4</v>
      </c>
      <c r="X899">
        <v>198082</v>
      </c>
      <c r="Y899" t="s">
        <v>17</v>
      </c>
      <c r="Z899" t="str">
        <f>LOOKUP(B899,{0,1083,124200,681950},{"1st","2nd","3rd","4th"})&amp;" Quartile"</f>
        <v>1st Quartile</v>
      </c>
    </row>
    <row r="900" spans="1:26">
      <c r="A900">
        <v>2022</v>
      </c>
      <c r="B900">
        <v>0</v>
      </c>
      <c r="C900" t="s">
        <v>1665</v>
      </c>
      <c r="D900" t="s">
        <v>1574</v>
      </c>
      <c r="E900">
        <v>60</v>
      </c>
      <c r="F900" t="s">
        <v>1665</v>
      </c>
      <c r="G900">
        <v>0</v>
      </c>
      <c r="H900">
        <v>0.71499999999999997</v>
      </c>
      <c r="I900">
        <v>0.72</v>
      </c>
      <c r="J900">
        <v>-3.9060000000000001</v>
      </c>
      <c r="K900">
        <v>1</v>
      </c>
      <c r="L900">
        <v>9</v>
      </c>
      <c r="M900">
        <v>0.193</v>
      </c>
      <c r="N900">
        <v>0.13400000000000001</v>
      </c>
      <c r="O900">
        <v>0</v>
      </c>
      <c r="P900">
        <v>0.36599999999999999</v>
      </c>
      <c r="Q900">
        <v>0.41</v>
      </c>
      <c r="R900">
        <v>128.048</v>
      </c>
      <c r="S900">
        <v>4</v>
      </c>
      <c r="T900">
        <v>138779</v>
      </c>
      <c r="U900">
        <v>4</v>
      </c>
      <c r="V900">
        <v>138779</v>
      </c>
      <c r="W900">
        <v>4</v>
      </c>
      <c r="X900">
        <v>138779</v>
      </c>
      <c r="Y900" t="s">
        <v>17</v>
      </c>
      <c r="Z900" t="str">
        <f>LOOKUP(B900,{0,1083,124200,681950},{"1st","2nd","3rd","4th"})&amp;" Quartile"</f>
        <v>1st Quartile</v>
      </c>
    </row>
    <row r="901" spans="1:26">
      <c r="A901">
        <v>2022</v>
      </c>
      <c r="B901">
        <v>0</v>
      </c>
      <c r="C901" t="s">
        <v>1663</v>
      </c>
      <c r="D901" t="s">
        <v>1664</v>
      </c>
      <c r="E901">
        <v>35</v>
      </c>
      <c r="F901" t="s">
        <v>1663</v>
      </c>
      <c r="G901">
        <v>0</v>
      </c>
      <c r="H901">
        <v>0.60899999999999999</v>
      </c>
      <c r="I901">
        <v>0.77700000000000002</v>
      </c>
      <c r="J901">
        <v>-5.8789999999999996</v>
      </c>
      <c r="K901">
        <v>1</v>
      </c>
      <c r="L901">
        <v>6</v>
      </c>
      <c r="M901">
        <v>3.5299999999999998E-2</v>
      </c>
      <c r="N901">
        <v>1.6199999999999999E-3</v>
      </c>
      <c r="O901">
        <v>1.28E-6</v>
      </c>
      <c r="P901">
        <v>7.2999999999999995E-2</v>
      </c>
      <c r="Q901">
        <v>0.34899999999999998</v>
      </c>
      <c r="R901">
        <v>126.001</v>
      </c>
      <c r="S901">
        <v>4</v>
      </c>
      <c r="T901">
        <v>154286</v>
      </c>
      <c r="U901">
        <v>4</v>
      </c>
      <c r="V901">
        <v>154286</v>
      </c>
      <c r="W901">
        <v>4</v>
      </c>
      <c r="X901">
        <v>154286</v>
      </c>
      <c r="Y901" t="s">
        <v>17</v>
      </c>
      <c r="Z901" t="str">
        <f>LOOKUP(B901,{0,1083,124200,681950},{"1st","2nd","3rd","4th"})&amp;" Quartile"</f>
        <v>1st Quartile</v>
      </c>
    </row>
    <row r="902" spans="1:26">
      <c r="A902">
        <v>2022</v>
      </c>
      <c r="B902">
        <v>0</v>
      </c>
      <c r="C902" t="s">
        <v>1606</v>
      </c>
      <c r="D902" t="s">
        <v>1607</v>
      </c>
      <c r="E902">
        <v>37</v>
      </c>
      <c r="F902" t="s">
        <v>1606</v>
      </c>
      <c r="G902">
        <v>39</v>
      </c>
      <c r="H902">
        <v>0.47399999999999998</v>
      </c>
      <c r="I902">
        <v>0.72199999999999998</v>
      </c>
      <c r="J902">
        <v>-6.2089999999999996</v>
      </c>
      <c r="K902">
        <v>1</v>
      </c>
      <c r="L902">
        <v>2</v>
      </c>
      <c r="M902">
        <v>3.5499999999999997E-2</v>
      </c>
      <c r="N902">
        <v>6.0400000000000002E-2</v>
      </c>
      <c r="O902">
        <v>0</v>
      </c>
      <c r="P902">
        <v>0.58399999999999996</v>
      </c>
      <c r="Q902">
        <v>0.27400000000000002</v>
      </c>
      <c r="R902">
        <v>155.941</v>
      </c>
      <c r="S902">
        <v>4</v>
      </c>
      <c r="T902">
        <v>149231</v>
      </c>
      <c r="U902">
        <v>4</v>
      </c>
      <c r="V902">
        <v>149231</v>
      </c>
      <c r="W902">
        <v>4</v>
      </c>
      <c r="X902">
        <v>149231</v>
      </c>
      <c r="Y902" t="s">
        <v>17</v>
      </c>
      <c r="Z902" t="str">
        <f>LOOKUP(B902,{0,1083,124200,681950},{"1st","2nd","3rd","4th"})&amp;" Quartile"</f>
        <v>1st Quartile</v>
      </c>
    </row>
    <row r="903" spans="1:26">
      <c r="A903">
        <v>2022</v>
      </c>
      <c r="B903">
        <v>0</v>
      </c>
      <c r="C903" t="s">
        <v>1598</v>
      </c>
      <c r="D903" t="s">
        <v>1599</v>
      </c>
      <c r="E903">
        <v>32</v>
      </c>
      <c r="F903" t="s">
        <v>1598</v>
      </c>
      <c r="G903">
        <v>38</v>
      </c>
      <c r="H903">
        <v>0.57399999999999995</v>
      </c>
      <c r="I903">
        <v>0.85199999999999998</v>
      </c>
      <c r="J903">
        <v>-9.0510000000000002</v>
      </c>
      <c r="K903">
        <v>1</v>
      </c>
      <c r="L903">
        <v>5</v>
      </c>
      <c r="M903">
        <v>4.3799999999999999E-2</v>
      </c>
      <c r="N903">
        <v>3.2000000000000001E-2</v>
      </c>
      <c r="O903">
        <v>7.0499999999999993E-2</v>
      </c>
      <c r="P903">
        <v>0.13600000000000001</v>
      </c>
      <c r="Q903">
        <v>3.6299999999999999E-2</v>
      </c>
      <c r="R903">
        <v>123.005</v>
      </c>
      <c r="S903">
        <v>4</v>
      </c>
      <c r="T903">
        <v>165854</v>
      </c>
      <c r="U903">
        <v>4</v>
      </c>
      <c r="V903">
        <v>165854</v>
      </c>
      <c r="W903">
        <v>4</v>
      </c>
      <c r="X903">
        <v>165854</v>
      </c>
      <c r="Y903" t="s">
        <v>17</v>
      </c>
      <c r="Z903" t="str">
        <f>LOOKUP(B903,{0,1083,124200,681950},{"1st","2nd","3rd","4th"})&amp;" Quartile"</f>
        <v>1st Quartile</v>
      </c>
    </row>
    <row r="904" spans="1:26">
      <c r="A904">
        <v>2022</v>
      </c>
      <c r="B904">
        <v>0</v>
      </c>
      <c r="C904" t="s">
        <v>573</v>
      </c>
      <c r="D904" t="s">
        <v>572</v>
      </c>
      <c r="E904">
        <v>76</v>
      </c>
      <c r="F904" t="s">
        <v>571</v>
      </c>
      <c r="G904">
        <v>86</v>
      </c>
      <c r="H904">
        <v>0.76400000000000001</v>
      </c>
      <c r="I904">
        <v>0.70499999999999996</v>
      </c>
      <c r="J904">
        <v>-5.2789999999999999</v>
      </c>
      <c r="K904">
        <v>0</v>
      </c>
      <c r="L904">
        <v>3</v>
      </c>
      <c r="M904">
        <v>2.7799999999999998E-2</v>
      </c>
      <c r="N904">
        <v>3.7100000000000001E-2</v>
      </c>
      <c r="O904">
        <v>1.9400000000000001E-5</v>
      </c>
      <c r="P904">
        <v>9.4299999999999995E-2</v>
      </c>
      <c r="Q904">
        <v>0.67200000000000004</v>
      </c>
      <c r="R904">
        <v>101.003</v>
      </c>
      <c r="S904">
        <v>4</v>
      </c>
      <c r="T904">
        <v>196520</v>
      </c>
      <c r="U904">
        <v>4</v>
      </c>
      <c r="V904">
        <v>196520</v>
      </c>
      <c r="W904">
        <v>4</v>
      </c>
      <c r="X904">
        <v>196520</v>
      </c>
      <c r="Y904" t="s">
        <v>17</v>
      </c>
      <c r="Z904" t="str">
        <f>LOOKUP(B904,{0,1083,124200,681950},{"1st","2nd","3rd","4th"})&amp;" Quartile"</f>
        <v>1st Quartile</v>
      </c>
    </row>
    <row r="905" spans="1:26">
      <c r="A905">
        <v>2022</v>
      </c>
      <c r="B905">
        <v>0</v>
      </c>
      <c r="C905" t="s">
        <v>1595</v>
      </c>
      <c r="D905" t="s">
        <v>1594</v>
      </c>
      <c r="E905">
        <v>79</v>
      </c>
      <c r="F905" t="s">
        <v>1593</v>
      </c>
      <c r="G905">
        <v>67</v>
      </c>
      <c r="H905">
        <v>0.85299999999999998</v>
      </c>
      <c r="I905">
        <v>0.63700000000000001</v>
      </c>
      <c r="J905">
        <v>-5.9240000000000004</v>
      </c>
      <c r="K905">
        <v>0</v>
      </c>
      <c r="L905">
        <v>3</v>
      </c>
      <c r="M905">
        <v>0.33100000000000002</v>
      </c>
      <c r="N905">
        <v>0.129</v>
      </c>
      <c r="O905">
        <v>0</v>
      </c>
      <c r="P905">
        <v>0.26700000000000002</v>
      </c>
      <c r="Q905">
        <v>0.496</v>
      </c>
      <c r="R905">
        <v>86.048000000000002</v>
      </c>
      <c r="S905">
        <v>4</v>
      </c>
      <c r="T905">
        <v>156195</v>
      </c>
      <c r="U905">
        <v>4</v>
      </c>
      <c r="V905">
        <v>156195</v>
      </c>
      <c r="W905">
        <v>4</v>
      </c>
      <c r="X905">
        <v>156195</v>
      </c>
      <c r="Y905" t="s">
        <v>17</v>
      </c>
      <c r="Z905" t="str">
        <f>LOOKUP(B905,{0,1083,124200,681950},{"1st","2nd","3rd","4th"})&amp;" Quartile"</f>
        <v>1st Quartile</v>
      </c>
    </row>
    <row r="906" spans="1:26">
      <c r="A906">
        <v>2022</v>
      </c>
      <c r="B906">
        <v>0</v>
      </c>
      <c r="C906" t="s">
        <v>1587</v>
      </c>
      <c r="D906" t="s">
        <v>1588</v>
      </c>
      <c r="E906">
        <v>52</v>
      </c>
      <c r="F906" t="s">
        <v>1587</v>
      </c>
      <c r="G906">
        <v>0</v>
      </c>
      <c r="H906">
        <v>0.63900000000000001</v>
      </c>
      <c r="I906">
        <v>0.70399999999999996</v>
      </c>
      <c r="J906">
        <v>-7.3319999999999999</v>
      </c>
      <c r="K906">
        <v>1</v>
      </c>
      <c r="L906">
        <v>10</v>
      </c>
      <c r="M906">
        <v>3.5200000000000002E-2</v>
      </c>
      <c r="N906">
        <v>6.4600000000000005E-2</v>
      </c>
      <c r="O906">
        <v>0</v>
      </c>
      <c r="P906">
        <v>0.44500000000000001</v>
      </c>
      <c r="Q906">
        <v>0.28499999999999998</v>
      </c>
      <c r="R906">
        <v>115.05200000000001</v>
      </c>
      <c r="S906">
        <v>4</v>
      </c>
      <c r="T906">
        <v>180522</v>
      </c>
      <c r="U906">
        <v>4</v>
      </c>
      <c r="V906">
        <v>180522</v>
      </c>
      <c r="W906">
        <v>4</v>
      </c>
      <c r="X906">
        <v>180522</v>
      </c>
      <c r="Y906" t="s">
        <v>17</v>
      </c>
      <c r="Z906" t="str">
        <f>LOOKUP(B906,{0,1083,124200,681950},{"1st","2nd","3rd","4th"})&amp;" Quartile"</f>
        <v>1st Quartile</v>
      </c>
    </row>
    <row r="907" spans="1:26">
      <c r="A907">
        <v>2022</v>
      </c>
      <c r="B907">
        <v>0</v>
      </c>
      <c r="C907" t="s">
        <v>1586</v>
      </c>
      <c r="D907" t="s">
        <v>1586</v>
      </c>
      <c r="E907">
        <v>58</v>
      </c>
      <c r="F907" t="s">
        <v>1586</v>
      </c>
      <c r="G907">
        <v>76</v>
      </c>
      <c r="H907">
        <v>0.71599999999999997</v>
      </c>
      <c r="I907">
        <v>0.53700000000000003</v>
      </c>
      <c r="J907">
        <v>-7.6479999999999997</v>
      </c>
      <c r="K907">
        <v>0</v>
      </c>
      <c r="L907">
        <v>0</v>
      </c>
      <c r="M907">
        <v>5.1400000000000001E-2</v>
      </c>
      <c r="N907">
        <v>0.23300000000000001</v>
      </c>
      <c r="O907">
        <v>0</v>
      </c>
      <c r="P907">
        <v>0.157</v>
      </c>
      <c r="Q907">
        <v>0.28000000000000003</v>
      </c>
      <c r="R907">
        <v>129.97900000000001</v>
      </c>
      <c r="S907">
        <v>4</v>
      </c>
      <c r="T907">
        <v>165978</v>
      </c>
      <c r="U907">
        <v>4</v>
      </c>
      <c r="V907">
        <v>165978</v>
      </c>
      <c r="W907">
        <v>4</v>
      </c>
      <c r="X907">
        <v>165978</v>
      </c>
      <c r="Y907" t="s">
        <v>17</v>
      </c>
      <c r="Z907" t="str">
        <f>LOOKUP(B907,{0,1083,124200,681950},{"1st","2nd","3rd","4th"})&amp;" Quartile"</f>
        <v>1st Quartile</v>
      </c>
    </row>
    <row r="908" spans="1:26">
      <c r="A908">
        <v>2022</v>
      </c>
      <c r="B908">
        <v>0</v>
      </c>
      <c r="C908" t="s">
        <v>1582</v>
      </c>
      <c r="D908" t="s">
        <v>1583</v>
      </c>
      <c r="E908">
        <v>63</v>
      </c>
      <c r="F908" t="s">
        <v>1582</v>
      </c>
      <c r="G908">
        <v>47</v>
      </c>
      <c r="H908">
        <v>0.58799999999999997</v>
      </c>
      <c r="I908">
        <v>0.68500000000000005</v>
      </c>
      <c r="J908">
        <v>-8.08</v>
      </c>
      <c r="K908">
        <v>1</v>
      </c>
      <c r="L908">
        <v>8</v>
      </c>
      <c r="M908">
        <v>6.2399999999999997E-2</v>
      </c>
      <c r="N908">
        <v>0.374</v>
      </c>
      <c r="O908">
        <v>1.55E-4</v>
      </c>
      <c r="P908">
        <v>0.58099999999999996</v>
      </c>
      <c r="Q908">
        <v>0.122</v>
      </c>
      <c r="R908">
        <v>107.938</v>
      </c>
      <c r="S908">
        <v>4</v>
      </c>
      <c r="T908">
        <v>146669</v>
      </c>
      <c r="U908">
        <v>4</v>
      </c>
      <c r="V908">
        <v>146669</v>
      </c>
      <c r="W908">
        <v>4</v>
      </c>
      <c r="X908">
        <v>146669</v>
      </c>
      <c r="Y908" t="s">
        <v>17</v>
      </c>
      <c r="Z908" t="str">
        <f>LOOKUP(B908,{0,1083,124200,681950},{"1st","2nd","3rd","4th"})&amp;" Quartile"</f>
        <v>1st Quartile</v>
      </c>
    </row>
    <row r="909" spans="1:26">
      <c r="A909">
        <v>2022</v>
      </c>
      <c r="B909">
        <v>0</v>
      </c>
      <c r="C909" t="s">
        <v>1579</v>
      </c>
      <c r="D909" t="s">
        <v>1578</v>
      </c>
      <c r="E909">
        <v>44</v>
      </c>
      <c r="F909" t="s">
        <v>1577</v>
      </c>
      <c r="G909">
        <v>47</v>
      </c>
      <c r="H909">
        <v>0.72099999999999997</v>
      </c>
      <c r="I909">
        <v>0.77800000000000002</v>
      </c>
      <c r="J909">
        <v>-6.53</v>
      </c>
      <c r="K909">
        <v>0</v>
      </c>
      <c r="L909">
        <v>8</v>
      </c>
      <c r="M909">
        <v>4.5900000000000003E-2</v>
      </c>
      <c r="N909">
        <v>2.6199999999999999E-3</v>
      </c>
      <c r="O909">
        <v>7.2899999999999997E-5</v>
      </c>
      <c r="P909">
        <v>0.111</v>
      </c>
      <c r="Q909">
        <v>0.44900000000000001</v>
      </c>
      <c r="R909">
        <v>122.023</v>
      </c>
      <c r="S909">
        <v>4</v>
      </c>
      <c r="T909">
        <v>141636</v>
      </c>
      <c r="U909">
        <v>4</v>
      </c>
      <c r="V909">
        <v>141636</v>
      </c>
      <c r="W909">
        <v>4</v>
      </c>
      <c r="X909">
        <v>141636</v>
      </c>
      <c r="Y909" t="s">
        <v>17</v>
      </c>
      <c r="Z909" t="str">
        <f>LOOKUP(B909,{0,1083,124200,681950},{"1st","2nd","3rd","4th"})&amp;" Quartile"</f>
        <v>1st Quartile</v>
      </c>
    </row>
    <row r="910" spans="1:26">
      <c r="A910">
        <v>2022</v>
      </c>
      <c r="B910">
        <v>0</v>
      </c>
      <c r="C910" t="s">
        <v>1569</v>
      </c>
      <c r="D910" t="s">
        <v>1570</v>
      </c>
      <c r="E910">
        <v>40</v>
      </c>
      <c r="F910" t="s">
        <v>1569</v>
      </c>
      <c r="G910">
        <v>46</v>
      </c>
      <c r="H910">
        <v>0.70599999999999996</v>
      </c>
      <c r="I910">
        <v>0.89500000000000002</v>
      </c>
      <c r="J910">
        <v>-3.879</v>
      </c>
      <c r="K910">
        <v>0</v>
      </c>
      <c r="L910">
        <v>8</v>
      </c>
      <c r="M910">
        <v>0.14799999999999999</v>
      </c>
      <c r="N910">
        <v>0.29899999999999999</v>
      </c>
      <c r="O910">
        <v>0</v>
      </c>
      <c r="P910">
        <v>0.48</v>
      </c>
      <c r="Q910">
        <v>0.55600000000000005</v>
      </c>
      <c r="R910">
        <v>120.97799999999999</v>
      </c>
      <c r="S910">
        <v>4</v>
      </c>
      <c r="T910">
        <v>163884</v>
      </c>
      <c r="U910">
        <v>4</v>
      </c>
      <c r="V910">
        <v>163884</v>
      </c>
      <c r="W910">
        <v>4</v>
      </c>
      <c r="X910">
        <v>163884</v>
      </c>
      <c r="Y910" t="s">
        <v>17</v>
      </c>
      <c r="Z910" t="str">
        <f>LOOKUP(B910,{0,1083,124200,681950},{"1st","2nd","3rd","4th"})&amp;" Quartile"</f>
        <v>1st Quartile</v>
      </c>
    </row>
    <row r="911" spans="1:26">
      <c r="A911">
        <v>2022</v>
      </c>
      <c r="B911">
        <v>0</v>
      </c>
      <c r="C911" t="s">
        <v>1037</v>
      </c>
      <c r="D911" t="s">
        <v>1036</v>
      </c>
      <c r="E911">
        <v>70</v>
      </c>
      <c r="F911" t="s">
        <v>1035</v>
      </c>
      <c r="G911">
        <v>75</v>
      </c>
      <c r="H911">
        <v>0.77400000000000002</v>
      </c>
      <c r="I911">
        <v>0.55400000000000005</v>
      </c>
      <c r="J911">
        <v>-7.9089999999999998</v>
      </c>
      <c r="K911">
        <v>1</v>
      </c>
      <c r="L911">
        <v>0</v>
      </c>
      <c r="M911">
        <v>3.8300000000000001E-2</v>
      </c>
      <c r="N911">
        <v>0.20699999999999999</v>
      </c>
      <c r="O911">
        <v>0</v>
      </c>
      <c r="P911">
        <v>0.13200000000000001</v>
      </c>
      <c r="Q911">
        <v>0.34899999999999998</v>
      </c>
      <c r="R911">
        <v>99.034000000000006</v>
      </c>
      <c r="S911">
        <v>4</v>
      </c>
      <c r="T911">
        <v>162547</v>
      </c>
      <c r="U911">
        <v>4</v>
      </c>
      <c r="V911">
        <v>162547</v>
      </c>
      <c r="W911">
        <v>4</v>
      </c>
      <c r="X911">
        <v>162547</v>
      </c>
      <c r="Y911" t="s">
        <v>17</v>
      </c>
      <c r="Z911" t="str">
        <f>LOOKUP(B911,{0,1083,124200,681950},{"1st","2nd","3rd","4th"})&amp;" Quartile"</f>
        <v>1st Quartile</v>
      </c>
    </row>
    <row r="912" spans="1:26">
      <c r="A912">
        <v>2022</v>
      </c>
      <c r="B912">
        <v>0</v>
      </c>
      <c r="C912" t="s">
        <v>1563</v>
      </c>
      <c r="D912" t="s">
        <v>1564</v>
      </c>
      <c r="E912">
        <v>32</v>
      </c>
      <c r="F912" t="s">
        <v>1563</v>
      </c>
      <c r="G912">
        <v>43</v>
      </c>
      <c r="H912">
        <v>0.64100000000000001</v>
      </c>
      <c r="I912">
        <v>0.59699999999999998</v>
      </c>
      <c r="J912">
        <v>-7.06</v>
      </c>
      <c r="K912">
        <v>1</v>
      </c>
      <c r="L912">
        <v>9</v>
      </c>
      <c r="M912">
        <v>3.3000000000000002E-2</v>
      </c>
      <c r="N912">
        <v>3.9899999999999999E-4</v>
      </c>
      <c r="O912">
        <v>0</v>
      </c>
      <c r="P912">
        <v>0.36699999999999999</v>
      </c>
      <c r="Q912">
        <v>0.39400000000000002</v>
      </c>
      <c r="R912">
        <v>120.06</v>
      </c>
      <c r="S912">
        <v>4</v>
      </c>
      <c r="T912">
        <v>186000</v>
      </c>
      <c r="U912">
        <v>4</v>
      </c>
      <c r="V912">
        <v>186000</v>
      </c>
      <c r="W912">
        <v>4</v>
      </c>
      <c r="X912">
        <v>186000</v>
      </c>
      <c r="Y912" t="s">
        <v>17</v>
      </c>
      <c r="Z912" t="str">
        <f>LOOKUP(B912,{0,1083,124200,681950},{"1st","2nd","3rd","4th"})&amp;" Quartile"</f>
        <v>1st Quartile</v>
      </c>
    </row>
    <row r="913" spans="1:26">
      <c r="A913">
        <v>2022</v>
      </c>
      <c r="B913">
        <v>0</v>
      </c>
      <c r="C913" t="s">
        <v>1556</v>
      </c>
      <c r="D913" t="s">
        <v>1557</v>
      </c>
      <c r="E913">
        <v>21</v>
      </c>
      <c r="F913" t="s">
        <v>1556</v>
      </c>
      <c r="G913">
        <v>38</v>
      </c>
      <c r="H913">
        <v>0.58099999999999996</v>
      </c>
      <c r="I913">
        <v>0.71799999999999997</v>
      </c>
      <c r="J913">
        <v>-5.6310000000000002</v>
      </c>
      <c r="K913">
        <v>1</v>
      </c>
      <c r="L913">
        <v>1</v>
      </c>
      <c r="M913">
        <v>8.5099999999999995E-2</v>
      </c>
      <c r="N913">
        <v>1.95E-2</v>
      </c>
      <c r="O913">
        <v>0</v>
      </c>
      <c r="P913">
        <v>7.4999999999999997E-2</v>
      </c>
      <c r="Q913">
        <v>0.14899999999999999</v>
      </c>
      <c r="R913">
        <v>92.992000000000004</v>
      </c>
      <c r="S913">
        <v>4</v>
      </c>
      <c r="T913">
        <v>184516</v>
      </c>
      <c r="U913">
        <v>4</v>
      </c>
      <c r="V913">
        <v>184516</v>
      </c>
      <c r="W913">
        <v>4</v>
      </c>
      <c r="X913">
        <v>184516</v>
      </c>
      <c r="Y913" t="s">
        <v>17</v>
      </c>
      <c r="Z913" t="str">
        <f>LOOKUP(B913,{0,1083,124200,681950},{"1st","2nd","3rd","4th"})&amp;" Quartile"</f>
        <v>1st Quartile</v>
      </c>
    </row>
    <row r="914" spans="1:26">
      <c r="A914">
        <v>2022</v>
      </c>
      <c r="B914">
        <v>0</v>
      </c>
      <c r="C914" t="s">
        <v>1548</v>
      </c>
      <c r="D914" t="s">
        <v>1546</v>
      </c>
      <c r="E914">
        <v>48</v>
      </c>
      <c r="F914" t="s">
        <v>1548</v>
      </c>
      <c r="G914">
        <v>47</v>
      </c>
      <c r="H914">
        <v>0.72599999999999998</v>
      </c>
      <c r="I914">
        <v>0.81499999999999995</v>
      </c>
      <c r="J914">
        <v>-5.0919999999999996</v>
      </c>
      <c r="K914">
        <v>0</v>
      </c>
      <c r="L914">
        <v>4</v>
      </c>
      <c r="M914">
        <v>0.10100000000000001</v>
      </c>
      <c r="N914">
        <v>0.20599999999999999</v>
      </c>
      <c r="O914">
        <v>0</v>
      </c>
      <c r="P914">
        <v>0.63100000000000001</v>
      </c>
      <c r="Q914">
        <v>0.627</v>
      </c>
      <c r="R914">
        <v>121.97499999999999</v>
      </c>
      <c r="S914">
        <v>4</v>
      </c>
      <c r="T914">
        <v>147367</v>
      </c>
      <c r="U914">
        <v>4</v>
      </c>
      <c r="V914">
        <v>147367</v>
      </c>
      <c r="W914">
        <v>4</v>
      </c>
      <c r="X914">
        <v>147367</v>
      </c>
      <c r="Y914" t="s">
        <v>17</v>
      </c>
      <c r="Z914" t="str">
        <f>LOOKUP(B914,{0,1083,124200,681950},{"1st","2nd","3rd","4th"})&amp;" Quartile"</f>
        <v>1st Quartile</v>
      </c>
    </row>
    <row r="915" spans="1:26">
      <c r="A915">
        <v>2022</v>
      </c>
      <c r="B915">
        <v>0</v>
      </c>
      <c r="C915" t="s">
        <v>1541</v>
      </c>
      <c r="D915" t="s">
        <v>1542</v>
      </c>
      <c r="E915">
        <v>39</v>
      </c>
      <c r="F915" t="s">
        <v>1541</v>
      </c>
      <c r="G915">
        <v>37</v>
      </c>
      <c r="H915">
        <v>0.54400000000000004</v>
      </c>
      <c r="I915">
        <v>0.748</v>
      </c>
      <c r="J915">
        <v>-5.556</v>
      </c>
      <c r="K915">
        <v>1</v>
      </c>
      <c r="L915">
        <v>5</v>
      </c>
      <c r="M915">
        <v>8.6499999999999994E-2</v>
      </c>
      <c r="N915">
        <v>6.4600000000000005E-2</v>
      </c>
      <c r="O915">
        <v>0</v>
      </c>
      <c r="P915">
        <v>0.51900000000000002</v>
      </c>
      <c r="Q915">
        <v>0.39100000000000001</v>
      </c>
      <c r="R915">
        <v>123.752</v>
      </c>
      <c r="S915">
        <v>4</v>
      </c>
      <c r="T915">
        <v>148999</v>
      </c>
      <c r="U915">
        <v>4</v>
      </c>
      <c r="V915">
        <v>148999</v>
      </c>
      <c r="W915">
        <v>4</v>
      </c>
      <c r="X915">
        <v>148999</v>
      </c>
      <c r="Y915" t="s">
        <v>17</v>
      </c>
      <c r="Z915" t="str">
        <f>LOOKUP(B915,{0,1083,124200,681950},{"1st","2nd","3rd","4th"})&amp;" Quartile"</f>
        <v>1st Quartile</v>
      </c>
    </row>
    <row r="916" spans="1:26">
      <c r="A916">
        <v>2022</v>
      </c>
      <c r="B916">
        <v>0</v>
      </c>
      <c r="C916" t="s">
        <v>1535</v>
      </c>
      <c r="D916" t="s">
        <v>1536</v>
      </c>
      <c r="E916">
        <v>52</v>
      </c>
      <c r="F916" t="s">
        <v>1535</v>
      </c>
      <c r="G916">
        <v>56</v>
      </c>
      <c r="H916">
        <v>0.7</v>
      </c>
      <c r="I916">
        <v>0.84799999999999998</v>
      </c>
      <c r="J916">
        <v>-5.4729999999999999</v>
      </c>
      <c r="K916">
        <v>1</v>
      </c>
      <c r="L916">
        <v>8</v>
      </c>
      <c r="M916">
        <v>0.217</v>
      </c>
      <c r="N916">
        <v>0.317</v>
      </c>
      <c r="O916">
        <v>0</v>
      </c>
      <c r="P916">
        <v>0.34899999999999998</v>
      </c>
      <c r="Q916">
        <v>0.28999999999999998</v>
      </c>
      <c r="R916">
        <v>124.056</v>
      </c>
      <c r="S916">
        <v>4</v>
      </c>
      <c r="T916">
        <v>129693</v>
      </c>
      <c r="U916">
        <v>4</v>
      </c>
      <c r="V916">
        <v>129693</v>
      </c>
      <c r="W916">
        <v>4</v>
      </c>
      <c r="X916">
        <v>129693</v>
      </c>
      <c r="Y916" t="s">
        <v>17</v>
      </c>
      <c r="Z916" t="str">
        <f>LOOKUP(B916,{0,1083,124200,681950},{"1st","2nd","3rd","4th"})&amp;" Quartile"</f>
        <v>1st Quartile</v>
      </c>
    </row>
    <row r="917" spans="1:26">
      <c r="A917">
        <v>2021</v>
      </c>
      <c r="B917">
        <v>0</v>
      </c>
      <c r="C917" t="s">
        <v>1519</v>
      </c>
      <c r="D917" t="s">
        <v>319</v>
      </c>
      <c r="E917">
        <v>90</v>
      </c>
      <c r="F917" t="s">
        <v>1167</v>
      </c>
      <c r="G917">
        <v>86</v>
      </c>
      <c r="H917">
        <v>0.67700000000000005</v>
      </c>
      <c r="I917">
        <v>0.69599999999999995</v>
      </c>
      <c r="J917">
        <v>-6.181</v>
      </c>
      <c r="K917">
        <v>1</v>
      </c>
      <c r="L917">
        <v>0</v>
      </c>
      <c r="M917">
        <v>0.11899999999999999</v>
      </c>
      <c r="N917">
        <v>0.32100000000000001</v>
      </c>
      <c r="O917">
        <v>0</v>
      </c>
      <c r="P917">
        <v>0.42</v>
      </c>
      <c r="Q917">
        <v>0.46400000000000002</v>
      </c>
      <c r="R917">
        <v>90.03</v>
      </c>
      <c r="S917">
        <v>4</v>
      </c>
      <c r="T917">
        <v>198082</v>
      </c>
      <c r="U917">
        <v>4</v>
      </c>
      <c r="V917">
        <v>198082</v>
      </c>
      <c r="W917">
        <v>4</v>
      </c>
      <c r="X917">
        <v>198082</v>
      </c>
      <c r="Y917" t="s">
        <v>17</v>
      </c>
      <c r="Z917" t="str">
        <f>LOOKUP(B917,{0,1083,124200,681950},{"1st","2nd","3rd","4th"})&amp;" Quartile"</f>
        <v>1st Quartile</v>
      </c>
    </row>
    <row r="918" spans="1:26">
      <c r="A918">
        <v>2021</v>
      </c>
      <c r="B918">
        <v>0</v>
      </c>
      <c r="C918" t="s">
        <v>1491</v>
      </c>
      <c r="D918" t="s">
        <v>1492</v>
      </c>
      <c r="E918">
        <v>56</v>
      </c>
      <c r="F918" t="s">
        <v>1491</v>
      </c>
      <c r="G918">
        <v>59</v>
      </c>
      <c r="H918">
        <v>0.75</v>
      </c>
      <c r="I918">
        <v>0.69799999999999995</v>
      </c>
      <c r="J918">
        <v>-4.3710000000000004</v>
      </c>
      <c r="K918">
        <v>0</v>
      </c>
      <c r="L918">
        <v>1</v>
      </c>
      <c r="M918">
        <v>3.8800000000000001E-2</v>
      </c>
      <c r="N918">
        <v>0.42699999999999999</v>
      </c>
      <c r="O918">
        <v>0</v>
      </c>
      <c r="P918">
        <v>6.54E-2</v>
      </c>
      <c r="Q918">
        <v>0.83399999999999996</v>
      </c>
      <c r="R918">
        <v>122.95399999999999</v>
      </c>
      <c r="S918">
        <v>4</v>
      </c>
      <c r="T918">
        <v>200013</v>
      </c>
      <c r="U918">
        <v>4</v>
      </c>
      <c r="V918">
        <v>200013</v>
      </c>
      <c r="W918">
        <v>4</v>
      </c>
      <c r="X918">
        <v>200013</v>
      </c>
      <c r="Y918" t="s">
        <v>17</v>
      </c>
      <c r="Z918" t="str">
        <f>LOOKUP(B918,{0,1083,124200,681950},{"1st","2nd","3rd","4th"})&amp;" Quartile"</f>
        <v>1st Quartile</v>
      </c>
    </row>
    <row r="919" spans="1:26">
      <c r="A919">
        <v>2021</v>
      </c>
      <c r="B919">
        <v>0</v>
      </c>
      <c r="C919" t="s">
        <v>1483</v>
      </c>
      <c r="D919" t="s">
        <v>1358</v>
      </c>
      <c r="E919">
        <v>63</v>
      </c>
      <c r="F919" t="s">
        <v>1138</v>
      </c>
      <c r="G919">
        <v>52</v>
      </c>
      <c r="H919">
        <v>0.69699999999999995</v>
      </c>
      <c r="I919">
        <v>0.68799999999999994</v>
      </c>
      <c r="J919">
        <v>-4.5510000000000002</v>
      </c>
      <c r="K919">
        <v>1</v>
      </c>
      <c r="L919">
        <v>6</v>
      </c>
      <c r="M919">
        <v>3.6200000000000003E-2</v>
      </c>
      <c r="N919">
        <v>0.28999999999999998</v>
      </c>
      <c r="O919">
        <v>0</v>
      </c>
      <c r="P919">
        <v>0.308</v>
      </c>
      <c r="Q919">
        <v>0.66600000000000004</v>
      </c>
      <c r="R919">
        <v>121.962</v>
      </c>
      <c r="S919">
        <v>4</v>
      </c>
      <c r="T919">
        <v>199920</v>
      </c>
      <c r="U919">
        <v>4</v>
      </c>
      <c r="V919">
        <v>199920</v>
      </c>
      <c r="W919">
        <v>4</v>
      </c>
      <c r="X919">
        <v>199920</v>
      </c>
      <c r="Y919" t="s">
        <v>17</v>
      </c>
      <c r="Z919" t="str">
        <f>LOOKUP(B919,{0,1083,124200,681950},{"1st","2nd","3rd","4th"})&amp;" Quartile"</f>
        <v>1st Quartile</v>
      </c>
    </row>
    <row r="920" spans="1:26">
      <c r="A920">
        <v>2021</v>
      </c>
      <c r="B920">
        <v>0</v>
      </c>
      <c r="C920" t="s">
        <v>1474</v>
      </c>
      <c r="D920" t="s">
        <v>899</v>
      </c>
      <c r="E920">
        <v>85</v>
      </c>
      <c r="F920" t="s">
        <v>1474</v>
      </c>
      <c r="G920">
        <v>27</v>
      </c>
      <c r="H920">
        <v>0.55600000000000005</v>
      </c>
      <c r="I920">
        <v>0.66100000000000003</v>
      </c>
      <c r="J920">
        <v>-5.0519999999999996</v>
      </c>
      <c r="K920">
        <v>0</v>
      </c>
      <c r="L920">
        <v>6</v>
      </c>
      <c r="M920">
        <v>0.20399999999999999</v>
      </c>
      <c r="N920">
        <v>0.3</v>
      </c>
      <c r="O920">
        <v>0</v>
      </c>
      <c r="P920">
        <v>0.10100000000000001</v>
      </c>
      <c r="Q920">
        <v>0.66800000000000004</v>
      </c>
      <c r="R920">
        <v>168.56</v>
      </c>
      <c r="S920">
        <v>4</v>
      </c>
      <c r="T920">
        <v>178148</v>
      </c>
      <c r="U920">
        <v>4</v>
      </c>
      <c r="V920">
        <v>178148</v>
      </c>
      <c r="W920">
        <v>4</v>
      </c>
      <c r="X920">
        <v>178148</v>
      </c>
      <c r="Y920" t="s">
        <v>17</v>
      </c>
      <c r="Z920" t="str">
        <f>LOOKUP(B920,{0,1083,124200,681950},{"1st","2nd","3rd","4th"})&amp;" Quartile"</f>
        <v>1st Quartile</v>
      </c>
    </row>
    <row r="921" spans="1:26">
      <c r="A921">
        <v>2021</v>
      </c>
      <c r="B921">
        <v>0</v>
      </c>
      <c r="C921" t="s">
        <v>1138</v>
      </c>
      <c r="D921" t="s">
        <v>1358</v>
      </c>
      <c r="E921">
        <v>63</v>
      </c>
      <c r="F921" t="s">
        <v>1138</v>
      </c>
      <c r="G921">
        <v>75</v>
      </c>
      <c r="H921">
        <v>0.70599999999999996</v>
      </c>
      <c r="I921">
        <v>0.751</v>
      </c>
      <c r="J921">
        <v>-6.3230000000000004</v>
      </c>
      <c r="K921">
        <v>1</v>
      </c>
      <c r="L921">
        <v>9</v>
      </c>
      <c r="M921">
        <v>7.0800000000000002E-2</v>
      </c>
      <c r="N921">
        <v>0.17299999999999999</v>
      </c>
      <c r="O921">
        <v>0</v>
      </c>
      <c r="P921">
        <v>0.16800000000000001</v>
      </c>
      <c r="Q921">
        <v>0.19500000000000001</v>
      </c>
      <c r="R921">
        <v>91.031000000000006</v>
      </c>
      <c r="S921">
        <v>4</v>
      </c>
      <c r="T921">
        <v>182307</v>
      </c>
      <c r="U921">
        <v>4</v>
      </c>
      <c r="V921">
        <v>182307</v>
      </c>
      <c r="W921">
        <v>4</v>
      </c>
      <c r="X921">
        <v>182307</v>
      </c>
      <c r="Y921" t="s">
        <v>17</v>
      </c>
      <c r="Z921" t="str">
        <f>LOOKUP(B921,{0,1083,124200,681950},{"1st","2nd","3rd","4th"})&amp;" Quartile"</f>
        <v>1st Quartile</v>
      </c>
    </row>
    <row r="922" spans="1:26">
      <c r="A922">
        <v>2021</v>
      </c>
      <c r="B922">
        <v>0</v>
      </c>
      <c r="C922" t="s">
        <v>1283</v>
      </c>
      <c r="D922" t="s">
        <v>1282</v>
      </c>
      <c r="E922">
        <v>49</v>
      </c>
      <c r="F922" t="s">
        <v>1281</v>
      </c>
      <c r="G922">
        <v>4</v>
      </c>
      <c r="H922">
        <v>0.78600000000000003</v>
      </c>
      <c r="I922">
        <v>0.76400000000000001</v>
      </c>
      <c r="J922">
        <v>-12.555999999999999</v>
      </c>
      <c r="K922">
        <v>1</v>
      </c>
      <c r="L922">
        <v>0</v>
      </c>
      <c r="M922">
        <v>4.7800000000000002E-2</v>
      </c>
      <c r="N922">
        <v>5.8399999999999997E-3</v>
      </c>
      <c r="O922">
        <v>1.3200000000000001E-5</v>
      </c>
      <c r="P922">
        <v>0.376</v>
      </c>
      <c r="Q922">
        <v>0.78900000000000003</v>
      </c>
      <c r="R922">
        <v>112.005</v>
      </c>
      <c r="S922">
        <v>4</v>
      </c>
      <c r="T922">
        <v>193190</v>
      </c>
      <c r="U922">
        <v>4</v>
      </c>
      <c r="V922">
        <v>193190</v>
      </c>
      <c r="W922">
        <v>4</v>
      </c>
      <c r="X922">
        <v>193190</v>
      </c>
      <c r="Y922" t="s">
        <v>17</v>
      </c>
      <c r="Z922" t="str">
        <f>LOOKUP(B922,{0,1083,124200,681950},{"1st","2nd","3rd","4th"})&amp;" Quartile"</f>
        <v>1st Quartile</v>
      </c>
    </row>
    <row r="923" spans="1:26">
      <c r="A923">
        <v>2021</v>
      </c>
      <c r="B923">
        <v>0</v>
      </c>
      <c r="C923" t="s">
        <v>1272</v>
      </c>
      <c r="D923" t="s">
        <v>837</v>
      </c>
      <c r="E923">
        <v>77</v>
      </c>
      <c r="F923" t="s">
        <v>1271</v>
      </c>
      <c r="G923">
        <v>65</v>
      </c>
      <c r="H923">
        <v>0.66800000000000004</v>
      </c>
      <c r="I923">
        <v>0.67300000000000004</v>
      </c>
      <c r="J923">
        <v>-5.7140000000000004</v>
      </c>
      <c r="K923">
        <v>1</v>
      </c>
      <c r="L923">
        <v>1</v>
      </c>
      <c r="M923">
        <v>0.14499999999999999</v>
      </c>
      <c r="N923">
        <v>0.48</v>
      </c>
      <c r="O923">
        <v>0</v>
      </c>
      <c r="P923">
        <v>0.19400000000000001</v>
      </c>
      <c r="Q923">
        <v>0.72699999999999998</v>
      </c>
      <c r="R923">
        <v>171.81200000000001</v>
      </c>
      <c r="S923">
        <v>4</v>
      </c>
      <c r="T923">
        <v>232000</v>
      </c>
      <c r="U923">
        <v>4</v>
      </c>
      <c r="V923">
        <v>232000</v>
      </c>
      <c r="W923">
        <v>4</v>
      </c>
      <c r="X923">
        <v>232000</v>
      </c>
      <c r="Y923" t="s">
        <v>17</v>
      </c>
      <c r="Z923" t="str">
        <f>LOOKUP(B923,{0,1083,124200,681950},{"1st","2nd","3rd","4th"})&amp;" Quartile"</f>
        <v>1st Quartile</v>
      </c>
    </row>
    <row r="924" spans="1:26">
      <c r="A924">
        <v>2021</v>
      </c>
      <c r="B924">
        <v>0</v>
      </c>
      <c r="C924" t="s">
        <v>176</v>
      </c>
      <c r="D924" t="s">
        <v>175</v>
      </c>
      <c r="E924">
        <v>88</v>
      </c>
      <c r="F924" t="s">
        <v>174</v>
      </c>
      <c r="G924">
        <v>80</v>
      </c>
      <c r="H924">
        <v>0.78700000000000003</v>
      </c>
      <c r="I924">
        <v>0.67300000000000004</v>
      </c>
      <c r="J924">
        <v>-4.5830000000000002</v>
      </c>
      <c r="K924">
        <v>0</v>
      </c>
      <c r="L924">
        <v>11</v>
      </c>
      <c r="M924">
        <v>0.159</v>
      </c>
      <c r="N924">
        <v>0.26400000000000001</v>
      </c>
      <c r="O924">
        <v>3.3500000000000001E-6</v>
      </c>
      <c r="P924">
        <v>9.0399999999999994E-2</v>
      </c>
      <c r="Q924">
        <v>0.77900000000000003</v>
      </c>
      <c r="R924">
        <v>110.962</v>
      </c>
      <c r="S924">
        <v>4</v>
      </c>
      <c r="T924">
        <v>237893</v>
      </c>
      <c r="U924">
        <v>4</v>
      </c>
      <c r="V924">
        <v>237893</v>
      </c>
      <c r="W924">
        <v>4</v>
      </c>
      <c r="X924">
        <v>237893</v>
      </c>
      <c r="Y924" t="s">
        <v>17</v>
      </c>
      <c r="Z924" t="str">
        <f>LOOKUP(B924,{0,1083,124200,681950},{"1st","2nd","3rd","4th"})&amp;" Quartile"</f>
        <v>1st Quartile</v>
      </c>
    </row>
    <row r="925" spans="1:26">
      <c r="A925">
        <v>2021</v>
      </c>
      <c r="B925">
        <v>0</v>
      </c>
      <c r="C925" t="s">
        <v>1254</v>
      </c>
      <c r="D925" t="s">
        <v>1253</v>
      </c>
      <c r="E925">
        <v>86</v>
      </c>
      <c r="F925" t="s">
        <v>1252</v>
      </c>
      <c r="G925">
        <v>72</v>
      </c>
      <c r="H925">
        <v>0.66600000000000004</v>
      </c>
      <c r="I925">
        <v>0.876</v>
      </c>
      <c r="J925">
        <v>-3.0779999999999998</v>
      </c>
      <c r="K925">
        <v>1</v>
      </c>
      <c r="L925">
        <v>3</v>
      </c>
      <c r="M925">
        <v>4.1399999999999999E-2</v>
      </c>
      <c r="N925">
        <v>5.5E-2</v>
      </c>
      <c r="O925">
        <v>0</v>
      </c>
      <c r="P925">
        <v>0.25900000000000001</v>
      </c>
      <c r="Q925">
        <v>0.55200000000000005</v>
      </c>
      <c r="R925">
        <v>129.88399999999999</v>
      </c>
      <c r="S925">
        <v>4</v>
      </c>
      <c r="T925">
        <v>194840</v>
      </c>
      <c r="U925">
        <v>4</v>
      </c>
      <c r="V925">
        <v>194840</v>
      </c>
      <c r="W925">
        <v>4</v>
      </c>
      <c r="X925">
        <v>194840</v>
      </c>
      <c r="Y925" t="s">
        <v>17</v>
      </c>
      <c r="Z925" t="str">
        <f>LOOKUP(B925,{0,1083,124200,681950},{"1st","2nd","3rd","4th"})&amp;" Quartile"</f>
        <v>1st Quartile</v>
      </c>
    </row>
    <row r="926" spans="1:26">
      <c r="A926">
        <v>2021</v>
      </c>
      <c r="B926">
        <v>0</v>
      </c>
      <c r="C926">
        <v>45131</v>
      </c>
      <c r="D926" t="s">
        <v>1235</v>
      </c>
      <c r="E926">
        <v>52</v>
      </c>
      <c r="F926" t="s">
        <v>1234</v>
      </c>
      <c r="G926">
        <v>67</v>
      </c>
      <c r="H926">
        <v>0.70399999999999996</v>
      </c>
      <c r="I926">
        <v>0.63800000000000001</v>
      </c>
      <c r="J926">
        <v>-2.8340000000000001</v>
      </c>
      <c r="K926">
        <v>1</v>
      </c>
      <c r="L926">
        <v>10</v>
      </c>
      <c r="M926">
        <v>7.4200000000000002E-2</v>
      </c>
      <c r="N926">
        <v>0.38500000000000001</v>
      </c>
      <c r="O926">
        <v>0</v>
      </c>
      <c r="P926">
        <v>6.83E-2</v>
      </c>
      <c r="Q926">
        <v>0.38600000000000001</v>
      </c>
      <c r="R926">
        <v>107.974</v>
      </c>
      <c r="S926">
        <v>4</v>
      </c>
      <c r="T926">
        <v>184478</v>
      </c>
      <c r="U926">
        <v>4</v>
      </c>
      <c r="V926">
        <v>184478</v>
      </c>
      <c r="W926">
        <v>4</v>
      </c>
      <c r="X926">
        <v>184478</v>
      </c>
      <c r="Y926" t="s">
        <v>17</v>
      </c>
      <c r="Z926" t="str">
        <f>LOOKUP(B926,{0,1083,124200,681950},{"1st","2nd","3rd","4th"})&amp;" Quartile"</f>
        <v>1st Quartile</v>
      </c>
    </row>
    <row r="927" spans="1:26">
      <c r="A927">
        <v>2021</v>
      </c>
      <c r="B927">
        <v>0</v>
      </c>
      <c r="C927" t="s">
        <v>1228</v>
      </c>
      <c r="D927" t="s">
        <v>1229</v>
      </c>
      <c r="E927">
        <v>46</v>
      </c>
      <c r="F927" t="s">
        <v>1228</v>
      </c>
      <c r="G927">
        <v>54</v>
      </c>
      <c r="H927">
        <v>0.70399999999999996</v>
      </c>
      <c r="I927">
        <v>0.57599999999999996</v>
      </c>
      <c r="J927">
        <v>-4.9619999999999997</v>
      </c>
      <c r="K927">
        <v>1</v>
      </c>
      <c r="L927">
        <v>8</v>
      </c>
      <c r="M927">
        <v>9.6699999999999994E-2</v>
      </c>
      <c r="N927">
        <v>0.65400000000000003</v>
      </c>
      <c r="O927">
        <v>0</v>
      </c>
      <c r="P927">
        <v>8.6499999999999994E-2</v>
      </c>
      <c r="Q927">
        <v>0.92100000000000004</v>
      </c>
      <c r="R927">
        <v>206.072</v>
      </c>
      <c r="S927">
        <v>4</v>
      </c>
      <c r="T927">
        <v>178720</v>
      </c>
      <c r="U927">
        <v>4</v>
      </c>
      <c r="V927">
        <v>178720</v>
      </c>
      <c r="W927">
        <v>4</v>
      </c>
      <c r="X927">
        <v>178720</v>
      </c>
      <c r="Y927" t="s">
        <v>17</v>
      </c>
      <c r="Z927" t="str">
        <f>LOOKUP(B927,{0,1083,124200,681950},{"1st","2nd","3rd","4th"})&amp;" Quartile"</f>
        <v>1st Quartile</v>
      </c>
    </row>
    <row r="928" spans="1:26">
      <c r="A928">
        <v>2021</v>
      </c>
      <c r="B928">
        <v>0</v>
      </c>
      <c r="C928" t="s">
        <v>1179</v>
      </c>
      <c r="D928" t="s">
        <v>1180</v>
      </c>
      <c r="E928">
        <v>83</v>
      </c>
      <c r="F928" t="s">
        <v>1179</v>
      </c>
      <c r="G928">
        <v>70</v>
      </c>
      <c r="H928">
        <v>0.71899999999999997</v>
      </c>
      <c r="I928">
        <v>0.79800000000000004</v>
      </c>
      <c r="J928">
        <v>-4.5819999999999999</v>
      </c>
      <c r="K928">
        <v>1</v>
      </c>
      <c r="L928">
        <v>10</v>
      </c>
      <c r="M928">
        <v>3.61E-2</v>
      </c>
      <c r="N928">
        <v>1.6199999999999999E-2</v>
      </c>
      <c r="O928">
        <v>2.34E-6</v>
      </c>
      <c r="P928">
        <v>0.13400000000000001</v>
      </c>
      <c r="Q928">
        <v>0.59099999999999997</v>
      </c>
      <c r="R928">
        <v>120.011</v>
      </c>
      <c r="S928">
        <v>4</v>
      </c>
      <c r="T928">
        <v>227741</v>
      </c>
      <c r="U928">
        <v>4</v>
      </c>
      <c r="V928">
        <v>227741</v>
      </c>
      <c r="W928">
        <v>4</v>
      </c>
      <c r="X928">
        <v>227741</v>
      </c>
      <c r="Y928" t="s">
        <v>17</v>
      </c>
      <c r="Z928" t="str">
        <f>LOOKUP(B928,{0,1083,124200,681950},{"1st","2nd","3rd","4th"})&amp;" Quartile"</f>
        <v>1st Quartile</v>
      </c>
    </row>
    <row r="929" spans="1:26">
      <c r="A929">
        <v>2020</v>
      </c>
      <c r="B929">
        <v>0</v>
      </c>
      <c r="C929" t="s">
        <v>1112</v>
      </c>
      <c r="D929" t="s">
        <v>1113</v>
      </c>
      <c r="E929">
        <v>51</v>
      </c>
      <c r="F929" t="s">
        <v>1112</v>
      </c>
      <c r="G929">
        <v>65</v>
      </c>
      <c r="H929">
        <v>0.748</v>
      </c>
      <c r="I929">
        <v>0.45700000000000002</v>
      </c>
      <c r="J929">
        <v>-7.56</v>
      </c>
      <c r="K929">
        <v>1</v>
      </c>
      <c r="L929">
        <v>6</v>
      </c>
      <c r="M929">
        <v>4.65E-2</v>
      </c>
      <c r="N929">
        <v>2.92E-2</v>
      </c>
      <c r="O929">
        <v>2.9399999999999999E-4</v>
      </c>
      <c r="P929">
        <v>0.44400000000000001</v>
      </c>
      <c r="Q929">
        <v>0.46400000000000002</v>
      </c>
      <c r="R929">
        <v>123.035</v>
      </c>
      <c r="S929">
        <v>4</v>
      </c>
      <c r="T929">
        <v>188293</v>
      </c>
      <c r="U929">
        <v>4</v>
      </c>
      <c r="V929">
        <v>188293</v>
      </c>
      <c r="W929">
        <v>4</v>
      </c>
      <c r="X929">
        <v>188293</v>
      </c>
      <c r="Y929" t="s">
        <v>17</v>
      </c>
      <c r="Z929" t="str">
        <f>LOOKUP(B929,{0,1083,124200,681950},{"1st","2nd","3rd","4th"})&amp;" Quartile"</f>
        <v>1st Quartile</v>
      </c>
    </row>
    <row r="930" spans="1:26">
      <c r="A930">
        <v>2020</v>
      </c>
      <c r="B930">
        <v>0</v>
      </c>
      <c r="C930" t="s">
        <v>1110</v>
      </c>
      <c r="D930" t="s">
        <v>1111</v>
      </c>
      <c r="E930">
        <v>29</v>
      </c>
      <c r="F930" t="s">
        <v>1110</v>
      </c>
      <c r="G930">
        <v>46</v>
      </c>
      <c r="H930">
        <v>0.91500000000000004</v>
      </c>
      <c r="I930">
        <v>0.39200000000000002</v>
      </c>
      <c r="J930">
        <v>-11.548</v>
      </c>
      <c r="K930">
        <v>1</v>
      </c>
      <c r="L930">
        <v>7</v>
      </c>
      <c r="M930">
        <v>0.47499999999999998</v>
      </c>
      <c r="N930">
        <v>0.112</v>
      </c>
      <c r="O930">
        <v>0</v>
      </c>
      <c r="P930">
        <v>3.1899999999999998E-2</v>
      </c>
      <c r="Q930">
        <v>0.67500000000000004</v>
      </c>
      <c r="R930">
        <v>139.94</v>
      </c>
      <c r="S930">
        <v>4</v>
      </c>
      <c r="T930">
        <v>151018</v>
      </c>
      <c r="U930">
        <v>4</v>
      </c>
      <c r="V930">
        <v>151018</v>
      </c>
      <c r="W930">
        <v>4</v>
      </c>
      <c r="X930">
        <v>151018</v>
      </c>
      <c r="Y930" t="s">
        <v>17</v>
      </c>
      <c r="Z930" t="str">
        <f>LOOKUP(B930,{0,1083,124200,681950},{"1st","2nd","3rd","4th"})&amp;" Quartile"</f>
        <v>1st Quartile</v>
      </c>
    </row>
    <row r="931" spans="1:26">
      <c r="A931">
        <v>2020</v>
      </c>
      <c r="B931">
        <v>0</v>
      </c>
      <c r="C931" t="s">
        <v>1059</v>
      </c>
      <c r="D931" t="s">
        <v>839</v>
      </c>
      <c r="E931">
        <v>88</v>
      </c>
      <c r="F931" t="s">
        <v>1058</v>
      </c>
      <c r="G931">
        <v>79</v>
      </c>
      <c r="H931">
        <v>0.71599999999999997</v>
      </c>
      <c r="I931">
        <v>0.53100000000000003</v>
      </c>
      <c r="J931">
        <v>-7.3550000000000004</v>
      </c>
      <c r="K931">
        <v>1</v>
      </c>
      <c r="L931">
        <v>7</v>
      </c>
      <c r="M931">
        <v>0.122</v>
      </c>
      <c r="N931">
        <v>7.0300000000000001E-2</v>
      </c>
      <c r="O931">
        <v>0</v>
      </c>
      <c r="P931">
        <v>0.224</v>
      </c>
      <c r="Q931">
        <v>0.34399999999999997</v>
      </c>
      <c r="R931">
        <v>71.994</v>
      </c>
      <c r="S931">
        <v>4</v>
      </c>
      <c r="T931">
        <v>386907</v>
      </c>
      <c r="U931">
        <v>4</v>
      </c>
      <c r="V931">
        <v>386907</v>
      </c>
      <c r="W931">
        <v>4</v>
      </c>
      <c r="X931">
        <v>386907</v>
      </c>
      <c r="Y931" t="s">
        <v>17</v>
      </c>
      <c r="Z931" t="str">
        <f>LOOKUP(B931,{0,1083,124200,681950},{"1st","2nd","3rd","4th"})&amp;" Quartile"</f>
        <v>1st Quartile</v>
      </c>
    </row>
    <row r="932" spans="1:26">
      <c r="A932">
        <v>2020</v>
      </c>
      <c r="B932">
        <v>0</v>
      </c>
      <c r="C932" t="s">
        <v>573</v>
      </c>
      <c r="D932" t="s">
        <v>572</v>
      </c>
      <c r="E932">
        <v>76</v>
      </c>
      <c r="F932" t="s">
        <v>571</v>
      </c>
      <c r="G932">
        <v>86</v>
      </c>
      <c r="H932">
        <v>0.76400000000000001</v>
      </c>
      <c r="I932">
        <v>0.70499999999999996</v>
      </c>
      <c r="J932">
        <v>-5.2789999999999999</v>
      </c>
      <c r="K932">
        <v>0</v>
      </c>
      <c r="L932">
        <v>3</v>
      </c>
      <c r="M932">
        <v>2.7799999999999998E-2</v>
      </c>
      <c r="N932">
        <v>3.7100000000000001E-2</v>
      </c>
      <c r="O932">
        <v>1.9400000000000001E-5</v>
      </c>
      <c r="P932">
        <v>9.4299999999999995E-2</v>
      </c>
      <c r="Q932">
        <v>0.67200000000000004</v>
      </c>
      <c r="R932">
        <v>101.003</v>
      </c>
      <c r="S932">
        <v>4</v>
      </c>
      <c r="T932">
        <v>196520</v>
      </c>
      <c r="U932">
        <v>4</v>
      </c>
      <c r="V932">
        <v>196520</v>
      </c>
      <c r="W932">
        <v>4</v>
      </c>
      <c r="X932">
        <v>196520</v>
      </c>
      <c r="Y932" t="s">
        <v>17</v>
      </c>
      <c r="Z932" t="str">
        <f>LOOKUP(B932,{0,1083,124200,681950},{"1st","2nd","3rd","4th"})&amp;" Quartile"</f>
        <v>1st Quartile</v>
      </c>
    </row>
    <row r="933" spans="1:26">
      <c r="A933">
        <v>2020</v>
      </c>
      <c r="B933">
        <v>0</v>
      </c>
      <c r="C933" t="s">
        <v>982</v>
      </c>
      <c r="D933" t="s">
        <v>981</v>
      </c>
      <c r="E933">
        <v>80</v>
      </c>
      <c r="F933" t="s">
        <v>980</v>
      </c>
      <c r="G933">
        <v>59</v>
      </c>
      <c r="H933">
        <v>0.61499999999999999</v>
      </c>
      <c r="I933">
        <v>0.71099999999999997</v>
      </c>
      <c r="J933">
        <v>-5.5069999999999997</v>
      </c>
      <c r="K933">
        <v>1</v>
      </c>
      <c r="L933">
        <v>11</v>
      </c>
      <c r="M933">
        <v>7.7899999999999997E-2</v>
      </c>
      <c r="N933">
        <v>4.4400000000000002E-2</v>
      </c>
      <c r="O933">
        <v>0</v>
      </c>
      <c r="P933">
        <v>0.14499999999999999</v>
      </c>
      <c r="Q933">
        <v>0.71099999999999997</v>
      </c>
      <c r="R933">
        <v>144.036</v>
      </c>
      <c r="S933">
        <v>4</v>
      </c>
      <c r="T933">
        <v>221253</v>
      </c>
      <c r="U933">
        <v>4</v>
      </c>
      <c r="V933">
        <v>221253</v>
      </c>
      <c r="W933">
        <v>4</v>
      </c>
      <c r="X933">
        <v>221253</v>
      </c>
      <c r="Y933" t="s">
        <v>17</v>
      </c>
      <c r="Z933" t="str">
        <f>LOOKUP(B933,{0,1083,124200,681950},{"1st","2nd","3rd","4th"})&amp;" Quartile"</f>
        <v>1st Quartile</v>
      </c>
    </row>
    <row r="934" spans="1:26">
      <c r="A934">
        <v>2020</v>
      </c>
      <c r="B934">
        <v>0</v>
      </c>
      <c r="C934" t="s">
        <v>945</v>
      </c>
      <c r="D934" t="s">
        <v>944</v>
      </c>
      <c r="E934">
        <v>84</v>
      </c>
      <c r="F934" t="s">
        <v>943</v>
      </c>
      <c r="G934">
        <v>47</v>
      </c>
      <c r="H934">
        <v>0.76300000000000001</v>
      </c>
      <c r="I934">
        <v>0.60399999999999998</v>
      </c>
      <c r="J934">
        <v>-5.7539999999999996</v>
      </c>
      <c r="K934">
        <v>1</v>
      </c>
      <c r="L934">
        <v>1</v>
      </c>
      <c r="M934">
        <v>0.114</v>
      </c>
      <c r="N934">
        <v>8.3799999999999999E-2</v>
      </c>
      <c r="O934">
        <v>0</v>
      </c>
      <c r="P934">
        <v>0.26100000000000001</v>
      </c>
      <c r="Q934">
        <v>0.18</v>
      </c>
      <c r="R934">
        <v>147.893</v>
      </c>
      <c r="S934">
        <v>4</v>
      </c>
      <c r="T934">
        <v>116757</v>
      </c>
      <c r="U934">
        <v>4</v>
      </c>
      <c r="V934">
        <v>116757</v>
      </c>
      <c r="W934">
        <v>4</v>
      </c>
      <c r="X934">
        <v>116757</v>
      </c>
      <c r="Y934" t="s">
        <v>17</v>
      </c>
      <c r="Z934" t="str">
        <f>LOOKUP(B934,{0,1083,124200,681950},{"1st","2nd","3rd","4th"})&amp;" Quartile"</f>
        <v>1st Quartile</v>
      </c>
    </row>
    <row r="935" spans="1:26">
      <c r="A935">
        <v>2020</v>
      </c>
      <c r="B935">
        <v>0</v>
      </c>
      <c r="C935" t="s">
        <v>936</v>
      </c>
      <c r="D935" t="s">
        <v>935</v>
      </c>
      <c r="E935">
        <v>37</v>
      </c>
      <c r="F935" t="s">
        <v>934</v>
      </c>
      <c r="G935">
        <v>30</v>
      </c>
      <c r="H935">
        <v>0.90500000000000003</v>
      </c>
      <c r="I935">
        <v>0.52100000000000002</v>
      </c>
      <c r="J935">
        <v>-4.3179999999999996</v>
      </c>
      <c r="K935">
        <v>1</v>
      </c>
      <c r="L935">
        <v>1</v>
      </c>
      <c r="M935">
        <v>0.443</v>
      </c>
      <c r="N935">
        <v>0.21299999999999999</v>
      </c>
      <c r="O935">
        <v>3.8699999999999999E-5</v>
      </c>
      <c r="P935">
        <v>0.17499999999999999</v>
      </c>
      <c r="Q935">
        <v>0.53300000000000003</v>
      </c>
      <c r="R935">
        <v>131.11500000000001</v>
      </c>
      <c r="S935">
        <v>4</v>
      </c>
      <c r="T935">
        <v>179871</v>
      </c>
      <c r="U935">
        <v>4</v>
      </c>
      <c r="V935">
        <v>179871</v>
      </c>
      <c r="W935">
        <v>4</v>
      </c>
      <c r="X935">
        <v>179871</v>
      </c>
      <c r="Y935" t="s">
        <v>17</v>
      </c>
      <c r="Z935" t="str">
        <f>LOOKUP(B935,{0,1083,124200,681950},{"1st","2nd","3rd","4th"})&amp;" Quartile"</f>
        <v>1st Quartile</v>
      </c>
    </row>
    <row r="936" spans="1:26">
      <c r="A936">
        <v>2020</v>
      </c>
      <c r="B936">
        <v>0</v>
      </c>
      <c r="C936" t="s">
        <v>916</v>
      </c>
      <c r="D936" t="s">
        <v>915</v>
      </c>
      <c r="E936">
        <v>51</v>
      </c>
      <c r="F936" t="s">
        <v>914</v>
      </c>
      <c r="G936">
        <v>54</v>
      </c>
      <c r="H936">
        <v>0.89100000000000001</v>
      </c>
      <c r="I936">
        <v>0.65700000000000003</v>
      </c>
      <c r="J936">
        <v>-5.5519999999999996</v>
      </c>
      <c r="K936">
        <v>0</v>
      </c>
      <c r="L936">
        <v>10</v>
      </c>
      <c r="M936">
        <v>0.16500000000000001</v>
      </c>
      <c r="N936">
        <v>8.3300000000000006E-3</v>
      </c>
      <c r="O936">
        <v>2.5999999999999999E-3</v>
      </c>
      <c r="P936">
        <v>5.3999999999999999E-2</v>
      </c>
      <c r="Q936">
        <v>0.45300000000000001</v>
      </c>
      <c r="R936">
        <v>125.995</v>
      </c>
      <c r="S936">
        <v>4</v>
      </c>
      <c r="T936">
        <v>230657</v>
      </c>
      <c r="U936">
        <v>4</v>
      </c>
      <c r="V936">
        <v>230657</v>
      </c>
      <c r="W936">
        <v>4</v>
      </c>
      <c r="X936">
        <v>230657</v>
      </c>
      <c r="Y936" t="s">
        <v>17</v>
      </c>
      <c r="Z936" t="str">
        <f>LOOKUP(B936,{0,1083,124200,681950},{"1st","2nd","3rd","4th"})&amp;" Quartile"</f>
        <v>1st Quartile</v>
      </c>
    </row>
    <row r="937" spans="1:26">
      <c r="A937">
        <v>2020</v>
      </c>
      <c r="B937">
        <v>0</v>
      </c>
      <c r="C937" t="s">
        <v>862</v>
      </c>
      <c r="D937" t="s">
        <v>861</v>
      </c>
      <c r="E937">
        <v>49</v>
      </c>
      <c r="F937" t="s">
        <v>860</v>
      </c>
      <c r="G937">
        <v>64</v>
      </c>
      <c r="H937">
        <v>0.78500000000000003</v>
      </c>
      <c r="I937">
        <v>0.77600000000000002</v>
      </c>
      <c r="J937">
        <v>-5.2590000000000003</v>
      </c>
      <c r="K937">
        <v>1</v>
      </c>
      <c r="L937">
        <v>2</v>
      </c>
      <c r="M937">
        <v>3.1199999999999999E-2</v>
      </c>
      <c r="N937">
        <v>0.72899999999999998</v>
      </c>
      <c r="O937">
        <v>0</v>
      </c>
      <c r="P937">
        <v>0.18099999999999999</v>
      </c>
      <c r="Q937">
        <v>0.96699999999999997</v>
      </c>
      <c r="R937">
        <v>121.505</v>
      </c>
      <c r="S937">
        <v>4</v>
      </c>
      <c r="T937">
        <v>148040</v>
      </c>
      <c r="U937">
        <v>4</v>
      </c>
      <c r="V937">
        <v>148040</v>
      </c>
      <c r="W937">
        <v>4</v>
      </c>
      <c r="X937">
        <v>148040</v>
      </c>
      <c r="Y937" t="s">
        <v>17</v>
      </c>
      <c r="Z937" t="str">
        <f>LOOKUP(B937,{0,1083,124200,681950},{"1st","2nd","3rd","4th"})&amp;" Quartile"</f>
        <v>1st Quartile</v>
      </c>
    </row>
    <row r="938" spans="1:26">
      <c r="A938">
        <v>2020</v>
      </c>
      <c r="B938">
        <v>0</v>
      </c>
      <c r="C938" t="s">
        <v>850</v>
      </c>
      <c r="D938" t="s">
        <v>851</v>
      </c>
      <c r="E938">
        <v>64</v>
      </c>
      <c r="F938" t="s">
        <v>850</v>
      </c>
      <c r="G938">
        <v>75</v>
      </c>
      <c r="H938">
        <v>0.76900000000000002</v>
      </c>
      <c r="I938">
        <v>0.47899999999999998</v>
      </c>
      <c r="J938">
        <v>-5.3390000000000004</v>
      </c>
      <c r="K938">
        <v>1</v>
      </c>
      <c r="L938">
        <v>1</v>
      </c>
      <c r="M938">
        <v>3.85E-2</v>
      </c>
      <c r="N938">
        <v>0.66</v>
      </c>
      <c r="O938">
        <v>0</v>
      </c>
      <c r="P938">
        <v>9.1399999999999995E-2</v>
      </c>
      <c r="Q938">
        <v>0.80300000000000005</v>
      </c>
      <c r="R938">
        <v>96.051000000000002</v>
      </c>
      <c r="S938">
        <v>4</v>
      </c>
      <c r="T938">
        <v>164640</v>
      </c>
      <c r="U938">
        <v>4</v>
      </c>
      <c r="V938">
        <v>164640</v>
      </c>
      <c r="W938">
        <v>4</v>
      </c>
      <c r="X938">
        <v>164640</v>
      </c>
      <c r="Y938" t="s">
        <v>17</v>
      </c>
      <c r="Z938" t="str">
        <f>LOOKUP(B938,{0,1083,124200,681950},{"1st","2nd","3rd","4th"})&amp;" Quartile"</f>
        <v>1st Quartile</v>
      </c>
    </row>
    <row r="939" spans="1:26">
      <c r="A939">
        <v>2020</v>
      </c>
      <c r="B939">
        <v>0</v>
      </c>
      <c r="C939" t="s">
        <v>843</v>
      </c>
      <c r="D939" t="s">
        <v>842</v>
      </c>
      <c r="E939">
        <v>71</v>
      </c>
      <c r="F939" t="s">
        <v>841</v>
      </c>
      <c r="G939">
        <v>60</v>
      </c>
      <c r="H939">
        <v>0.71799999999999997</v>
      </c>
      <c r="I939">
        <v>0.48399999999999999</v>
      </c>
      <c r="J939">
        <v>-10.375999999999999</v>
      </c>
      <c r="K939">
        <v>1</v>
      </c>
      <c r="L939">
        <v>11</v>
      </c>
      <c r="M939">
        <v>0.52300000000000002</v>
      </c>
      <c r="N939">
        <v>0.312</v>
      </c>
      <c r="O939">
        <v>0</v>
      </c>
      <c r="P939">
        <v>0.127</v>
      </c>
      <c r="Q939">
        <v>0.69199999999999995</v>
      </c>
      <c r="R939">
        <v>113.855</v>
      </c>
      <c r="S939">
        <v>4</v>
      </c>
      <c r="T939">
        <v>142044</v>
      </c>
      <c r="U939">
        <v>4</v>
      </c>
      <c r="V939">
        <v>142044</v>
      </c>
      <c r="W939">
        <v>4</v>
      </c>
      <c r="X939">
        <v>142044</v>
      </c>
      <c r="Y939" t="s">
        <v>17</v>
      </c>
      <c r="Z939" t="str">
        <f>LOOKUP(B939,{0,1083,124200,681950},{"1st","2nd","3rd","4th"})&amp;" Quartile"</f>
        <v>1st Quartile</v>
      </c>
    </row>
    <row r="940" spans="1:26">
      <c r="A940">
        <v>2020</v>
      </c>
      <c r="B940">
        <v>0</v>
      </c>
      <c r="C940" t="s">
        <v>827</v>
      </c>
      <c r="D940" t="s">
        <v>826</v>
      </c>
      <c r="E940">
        <v>64</v>
      </c>
      <c r="F940" t="s">
        <v>825</v>
      </c>
      <c r="G940">
        <v>61</v>
      </c>
      <c r="H940">
        <v>0.74399999999999999</v>
      </c>
      <c r="I940">
        <v>0.61399999999999999</v>
      </c>
      <c r="J940">
        <v>-3.9079999999999999</v>
      </c>
      <c r="K940">
        <v>0</v>
      </c>
      <c r="L940">
        <v>1</v>
      </c>
      <c r="M940">
        <v>8.3799999999999999E-2</v>
      </c>
      <c r="N940">
        <v>6.8500000000000002E-3</v>
      </c>
      <c r="O940">
        <v>0.33400000000000002</v>
      </c>
      <c r="P940">
        <v>7.0800000000000002E-2</v>
      </c>
      <c r="Q940">
        <v>0.77400000000000002</v>
      </c>
      <c r="R940">
        <v>131.994</v>
      </c>
      <c r="S940">
        <v>4</v>
      </c>
      <c r="T940">
        <v>383547</v>
      </c>
      <c r="U940">
        <v>4</v>
      </c>
      <c r="V940">
        <v>383547</v>
      </c>
      <c r="W940">
        <v>4</v>
      </c>
      <c r="X940">
        <v>383547</v>
      </c>
      <c r="Y940" t="s">
        <v>17</v>
      </c>
      <c r="Z940" t="str">
        <f>LOOKUP(B940,{0,1083,124200,681950},{"1st","2nd","3rd","4th"})&amp;" Quartile"</f>
        <v>1st Quartile</v>
      </c>
    </row>
    <row r="941" spans="1:26">
      <c r="A941">
        <v>2020</v>
      </c>
      <c r="B941">
        <v>0</v>
      </c>
      <c r="C941" t="s">
        <v>775</v>
      </c>
      <c r="D941" t="s">
        <v>774</v>
      </c>
      <c r="E941">
        <v>76</v>
      </c>
      <c r="F941" t="s">
        <v>773</v>
      </c>
      <c r="G941">
        <v>56</v>
      </c>
      <c r="H941">
        <v>0.46500000000000002</v>
      </c>
      <c r="I941">
        <v>0.44600000000000001</v>
      </c>
      <c r="J941">
        <v>-8.3360000000000003</v>
      </c>
      <c r="K941">
        <v>0</v>
      </c>
      <c r="L941">
        <v>10</v>
      </c>
      <c r="M941">
        <v>4.3299999999999998E-2</v>
      </c>
      <c r="N941">
        <v>0.10199999999999999</v>
      </c>
      <c r="O941">
        <v>0</v>
      </c>
      <c r="P941">
        <v>0.32100000000000001</v>
      </c>
      <c r="Q941">
        <v>0.13100000000000001</v>
      </c>
      <c r="R941">
        <v>121.801</v>
      </c>
      <c r="S941">
        <v>4</v>
      </c>
      <c r="T941">
        <v>177773</v>
      </c>
      <c r="U941">
        <v>4</v>
      </c>
      <c r="V941">
        <v>177773</v>
      </c>
      <c r="W941">
        <v>4</v>
      </c>
      <c r="X941">
        <v>177773</v>
      </c>
      <c r="Y941" t="s">
        <v>17</v>
      </c>
      <c r="Z941" t="str">
        <f>LOOKUP(B941,{0,1083,124200,681950},{"1st","2nd","3rd","4th"})&amp;" Quartile"</f>
        <v>1st Quartile</v>
      </c>
    </row>
    <row r="942" spans="1:26">
      <c r="A942">
        <v>2020</v>
      </c>
      <c r="B942">
        <v>0</v>
      </c>
      <c r="C942" t="s">
        <v>294</v>
      </c>
      <c r="D942" t="s">
        <v>293</v>
      </c>
      <c r="E942">
        <v>74</v>
      </c>
      <c r="F942" t="s">
        <v>292</v>
      </c>
      <c r="G942">
        <v>72</v>
      </c>
      <c r="H942">
        <v>0.746</v>
      </c>
      <c r="I942">
        <v>0.71699999999999997</v>
      </c>
      <c r="J942">
        <v>-4.8410000000000002</v>
      </c>
      <c r="K942">
        <v>0</v>
      </c>
      <c r="L942">
        <v>9</v>
      </c>
      <c r="M942">
        <v>0.17899999999999999</v>
      </c>
      <c r="N942">
        <v>0.19900000000000001</v>
      </c>
      <c r="O942">
        <v>0</v>
      </c>
      <c r="P942">
        <v>0.13200000000000001</v>
      </c>
      <c r="Q942">
        <v>0.52300000000000002</v>
      </c>
      <c r="R942">
        <v>150.964</v>
      </c>
      <c r="S942">
        <v>4</v>
      </c>
      <c r="T942">
        <v>179133</v>
      </c>
      <c r="U942">
        <v>4</v>
      </c>
      <c r="V942">
        <v>179133</v>
      </c>
      <c r="W942">
        <v>4</v>
      </c>
      <c r="X942">
        <v>179133</v>
      </c>
      <c r="Y942" t="s">
        <v>17</v>
      </c>
      <c r="Z942" t="str">
        <f>LOOKUP(B942,{0,1083,124200,681950},{"1st","2nd","3rd","4th"})&amp;" Quartile"</f>
        <v>1st Quartile</v>
      </c>
    </row>
    <row r="943" spans="1:26">
      <c r="A943">
        <v>2020</v>
      </c>
      <c r="B943">
        <v>0</v>
      </c>
      <c r="C943" t="s">
        <v>689</v>
      </c>
      <c r="D943" t="s">
        <v>690</v>
      </c>
      <c r="E943">
        <v>54</v>
      </c>
      <c r="F943" t="s">
        <v>689</v>
      </c>
      <c r="G943">
        <v>6</v>
      </c>
      <c r="H943">
        <v>0.78</v>
      </c>
      <c r="I943">
        <v>0.76600000000000001</v>
      </c>
      <c r="J943">
        <v>-7.72</v>
      </c>
      <c r="K943">
        <v>1</v>
      </c>
      <c r="L943">
        <v>0</v>
      </c>
      <c r="M943">
        <v>7.0000000000000007E-2</v>
      </c>
      <c r="N943">
        <v>1.8100000000000002E-2</v>
      </c>
      <c r="O943">
        <v>1.72E-3</v>
      </c>
      <c r="P943">
        <v>0.34200000000000003</v>
      </c>
      <c r="Q943">
        <v>0.441</v>
      </c>
      <c r="R943">
        <v>96.010999999999996</v>
      </c>
      <c r="S943">
        <v>4</v>
      </c>
      <c r="T943">
        <v>77049</v>
      </c>
      <c r="U943">
        <v>4</v>
      </c>
      <c r="V943">
        <v>77049</v>
      </c>
      <c r="W943">
        <v>4</v>
      </c>
      <c r="X943">
        <v>77049</v>
      </c>
      <c r="Y943" t="s">
        <v>17</v>
      </c>
      <c r="Z943" t="str">
        <f>LOOKUP(B943,{0,1083,124200,681950},{"1st","2nd","3rd","4th"})&amp;" Quartile"</f>
        <v>1st Quartile</v>
      </c>
    </row>
    <row r="944" spans="1:26">
      <c r="A944">
        <v>2020</v>
      </c>
      <c r="B944">
        <v>0</v>
      </c>
      <c r="C944" t="s">
        <v>677</v>
      </c>
      <c r="D944" t="s">
        <v>676</v>
      </c>
      <c r="E944">
        <v>72</v>
      </c>
      <c r="F944" t="s">
        <v>675</v>
      </c>
      <c r="G944">
        <v>77</v>
      </c>
      <c r="H944">
        <v>0.8</v>
      </c>
      <c r="I944">
        <v>0.65800000000000003</v>
      </c>
      <c r="J944">
        <v>-6.1420000000000003</v>
      </c>
      <c r="K944">
        <v>0</v>
      </c>
      <c r="L944">
        <v>1</v>
      </c>
      <c r="M944">
        <v>7.9000000000000001E-2</v>
      </c>
      <c r="N944">
        <v>0.25</v>
      </c>
      <c r="O944">
        <v>0</v>
      </c>
      <c r="P944">
        <v>0.111</v>
      </c>
      <c r="Q944">
        <v>0.46200000000000002</v>
      </c>
      <c r="R944">
        <v>140.042</v>
      </c>
      <c r="S944">
        <v>4</v>
      </c>
      <c r="T944">
        <v>195429</v>
      </c>
      <c r="U944">
        <v>4</v>
      </c>
      <c r="V944">
        <v>195429</v>
      </c>
      <c r="W944">
        <v>4</v>
      </c>
      <c r="X944">
        <v>195429</v>
      </c>
      <c r="Y944" t="s">
        <v>17</v>
      </c>
      <c r="Z944" t="str">
        <f>LOOKUP(B944,{0,1083,124200,681950},{"1st","2nd","3rd","4th"})&amp;" Quartile"</f>
        <v>1st Quartile</v>
      </c>
    </row>
    <row r="945" spans="1:26">
      <c r="A945">
        <v>2020</v>
      </c>
      <c r="B945">
        <v>0</v>
      </c>
      <c r="C945" t="s">
        <v>613</v>
      </c>
      <c r="D945" t="s">
        <v>612</v>
      </c>
      <c r="E945">
        <v>68</v>
      </c>
      <c r="F945" t="s">
        <v>611</v>
      </c>
      <c r="G945">
        <v>65</v>
      </c>
      <c r="H945">
        <v>0.56999999999999995</v>
      </c>
      <c r="I945">
        <v>0.82099999999999995</v>
      </c>
      <c r="J945">
        <v>-4.38</v>
      </c>
      <c r="K945">
        <v>1</v>
      </c>
      <c r="L945">
        <v>2</v>
      </c>
      <c r="M945">
        <v>0.26700000000000002</v>
      </c>
      <c r="N945">
        <v>0.17799999999999999</v>
      </c>
      <c r="O945">
        <v>0</v>
      </c>
      <c r="P945">
        <v>0.28899999999999998</v>
      </c>
      <c r="Q945">
        <v>0.40799999999999997</v>
      </c>
      <c r="R945">
        <v>210.857</v>
      </c>
      <c r="S945">
        <v>4</v>
      </c>
      <c r="T945">
        <v>225560</v>
      </c>
      <c r="U945">
        <v>4</v>
      </c>
      <c r="V945">
        <v>225560</v>
      </c>
      <c r="W945">
        <v>4</v>
      </c>
      <c r="X945">
        <v>225560</v>
      </c>
      <c r="Y945" t="s">
        <v>17</v>
      </c>
      <c r="Z945" t="str">
        <f>LOOKUP(B945,{0,1083,124200,681950},{"1st","2nd","3rd","4th"})&amp;" Quartile"</f>
        <v>1st Quartile</v>
      </c>
    </row>
    <row r="946" spans="1:26">
      <c r="A946">
        <v>2019</v>
      </c>
      <c r="B946">
        <v>0</v>
      </c>
      <c r="C946" t="s">
        <v>573</v>
      </c>
      <c r="D946" t="s">
        <v>572</v>
      </c>
      <c r="E946">
        <v>76</v>
      </c>
      <c r="F946" t="s">
        <v>571</v>
      </c>
      <c r="G946">
        <v>86</v>
      </c>
      <c r="H946">
        <v>0.76400000000000001</v>
      </c>
      <c r="I946">
        <v>0.70499999999999996</v>
      </c>
      <c r="J946">
        <v>-5.2789999999999999</v>
      </c>
      <c r="K946">
        <v>0</v>
      </c>
      <c r="L946">
        <v>3</v>
      </c>
      <c r="M946">
        <v>2.7799999999999998E-2</v>
      </c>
      <c r="N946">
        <v>3.7100000000000001E-2</v>
      </c>
      <c r="O946">
        <v>1.9400000000000001E-5</v>
      </c>
      <c r="P946">
        <v>9.4299999999999995E-2</v>
      </c>
      <c r="Q946">
        <v>0.67200000000000004</v>
      </c>
      <c r="R946">
        <v>101.003</v>
      </c>
      <c r="S946">
        <v>4</v>
      </c>
      <c r="T946">
        <v>196520</v>
      </c>
      <c r="U946">
        <v>4</v>
      </c>
      <c r="V946">
        <v>196520</v>
      </c>
      <c r="W946">
        <v>4</v>
      </c>
      <c r="X946">
        <v>196520</v>
      </c>
      <c r="Y946" t="s">
        <v>17</v>
      </c>
      <c r="Z946" t="str">
        <f>LOOKUP(B946,{0,1083,124200,681950},{"1st","2nd","3rd","4th"})&amp;" Quartile"</f>
        <v>1st Quartile</v>
      </c>
    </row>
    <row r="947" spans="1:26">
      <c r="A947">
        <v>2019</v>
      </c>
      <c r="B947">
        <v>0</v>
      </c>
      <c r="C947" t="s">
        <v>409</v>
      </c>
      <c r="D947" t="s">
        <v>408</v>
      </c>
      <c r="E947">
        <v>36</v>
      </c>
      <c r="F947" t="s">
        <v>407</v>
      </c>
      <c r="G947">
        <v>43</v>
      </c>
      <c r="H947">
        <v>0.76</v>
      </c>
      <c r="I947">
        <v>0.51600000000000001</v>
      </c>
      <c r="J947">
        <v>-10.881</v>
      </c>
      <c r="K947">
        <v>1</v>
      </c>
      <c r="L947">
        <v>0</v>
      </c>
      <c r="M947">
        <v>6.9400000000000003E-2</v>
      </c>
      <c r="N947">
        <v>1.92E-4</v>
      </c>
      <c r="O947">
        <v>0.90400000000000003</v>
      </c>
      <c r="P947">
        <v>0.109</v>
      </c>
      <c r="Q947">
        <v>0.82899999999999996</v>
      </c>
      <c r="R947">
        <v>148.27199999999999</v>
      </c>
      <c r="S947">
        <v>4</v>
      </c>
      <c r="T947">
        <v>96968</v>
      </c>
      <c r="U947">
        <v>4</v>
      </c>
      <c r="V947">
        <v>96968</v>
      </c>
      <c r="W947">
        <v>4</v>
      </c>
      <c r="X947">
        <v>96968</v>
      </c>
      <c r="Y947" t="s">
        <v>17</v>
      </c>
      <c r="Z947" t="str">
        <f>LOOKUP(B947,{0,1083,124200,681950},{"1st","2nd","3rd","4th"})&amp;" Quartile"</f>
        <v>1st Quartile</v>
      </c>
    </row>
    <row r="948" spans="1:26">
      <c r="A948">
        <v>2019</v>
      </c>
      <c r="B948">
        <v>0</v>
      </c>
      <c r="C948" t="s">
        <v>383</v>
      </c>
      <c r="D948" t="s">
        <v>382</v>
      </c>
      <c r="E948">
        <v>69</v>
      </c>
      <c r="F948" t="s">
        <v>381</v>
      </c>
      <c r="G948">
        <v>0</v>
      </c>
      <c r="H948">
        <v>0.50700000000000001</v>
      </c>
      <c r="I948">
        <v>0.72899999999999998</v>
      </c>
      <c r="J948">
        <v>-5.399</v>
      </c>
      <c r="K948">
        <v>0</v>
      </c>
      <c r="L948">
        <v>11</v>
      </c>
      <c r="M948">
        <v>3.9300000000000002E-2</v>
      </c>
      <c r="N948">
        <v>1.8200000000000001E-2</v>
      </c>
      <c r="O948">
        <v>1.3999999999999999E-6</v>
      </c>
      <c r="P948">
        <v>6.5799999999999997E-2</v>
      </c>
      <c r="Q948">
        <v>0.27200000000000002</v>
      </c>
      <c r="R948">
        <v>105.01300000000001</v>
      </c>
      <c r="S948">
        <v>4</v>
      </c>
      <c r="T948">
        <v>243960</v>
      </c>
      <c r="U948">
        <v>4</v>
      </c>
      <c r="V948">
        <v>243960</v>
      </c>
      <c r="W948">
        <v>4</v>
      </c>
      <c r="X948">
        <v>243960</v>
      </c>
      <c r="Y948" t="s">
        <v>17</v>
      </c>
      <c r="Z948" t="str">
        <f>LOOKUP(B948,{0,1083,124200,681950},{"1st","2nd","3rd","4th"})&amp;" Quartile"</f>
        <v>1st Quartile</v>
      </c>
    </row>
    <row r="949" spans="1:26">
      <c r="A949">
        <v>2019</v>
      </c>
      <c r="B949">
        <v>0</v>
      </c>
      <c r="C949" t="s">
        <v>349</v>
      </c>
      <c r="D949" t="s">
        <v>348</v>
      </c>
      <c r="E949">
        <v>73</v>
      </c>
      <c r="F949" t="s">
        <v>347</v>
      </c>
      <c r="G949">
        <v>72</v>
      </c>
      <c r="H949">
        <v>0.77</v>
      </c>
      <c r="I949">
        <v>0.89600000000000002</v>
      </c>
      <c r="J949">
        <v>-3.9710000000000001</v>
      </c>
      <c r="K949">
        <v>1</v>
      </c>
      <c r="L949">
        <v>0</v>
      </c>
      <c r="M949">
        <v>3.9E-2</v>
      </c>
      <c r="N949">
        <v>5.3900000000000003E-2</v>
      </c>
      <c r="O949">
        <v>0</v>
      </c>
      <c r="P949">
        <v>0.24299999999999999</v>
      </c>
      <c r="Q949">
        <v>0.96399999999999997</v>
      </c>
      <c r="R949">
        <v>126.999</v>
      </c>
      <c r="S949">
        <v>4</v>
      </c>
      <c r="T949">
        <v>182587</v>
      </c>
      <c r="U949">
        <v>4</v>
      </c>
      <c r="V949">
        <v>182587</v>
      </c>
      <c r="W949">
        <v>4</v>
      </c>
      <c r="X949">
        <v>182587</v>
      </c>
      <c r="Y949" t="s">
        <v>17</v>
      </c>
      <c r="Z949" t="str">
        <f>LOOKUP(B949,{0,1083,124200,681950},{"1st","2nd","3rd","4th"})&amp;" Quartile"</f>
        <v>1st Quartile</v>
      </c>
    </row>
    <row r="950" spans="1:26">
      <c r="A950">
        <v>2019</v>
      </c>
      <c r="B950">
        <v>0</v>
      </c>
      <c r="C950" t="s">
        <v>338</v>
      </c>
      <c r="D950" t="s">
        <v>337</v>
      </c>
      <c r="E950">
        <v>53</v>
      </c>
      <c r="F950" t="s">
        <v>336</v>
      </c>
      <c r="G950">
        <v>0</v>
      </c>
      <c r="H950">
        <v>0.69</v>
      </c>
      <c r="I950">
        <v>0.57399999999999995</v>
      </c>
      <c r="J950">
        <v>-8.109</v>
      </c>
      <c r="K950">
        <v>1</v>
      </c>
      <c r="L950">
        <v>8</v>
      </c>
      <c r="M950">
        <v>0.23100000000000001</v>
      </c>
      <c r="N950">
        <v>0.83699999999999997</v>
      </c>
      <c r="O950">
        <v>9.48E-5</v>
      </c>
      <c r="P950">
        <v>0.121</v>
      </c>
      <c r="Q950">
        <v>0.52200000000000002</v>
      </c>
      <c r="R950">
        <v>62.619</v>
      </c>
      <c r="S950">
        <v>4</v>
      </c>
      <c r="T950">
        <v>80407</v>
      </c>
      <c r="U950">
        <v>4</v>
      </c>
      <c r="V950">
        <v>80407</v>
      </c>
      <c r="W950">
        <v>4</v>
      </c>
      <c r="X950">
        <v>80407</v>
      </c>
      <c r="Y950" t="s">
        <v>17</v>
      </c>
      <c r="Z950" t="str">
        <f>LOOKUP(B950,{0,1083,124200,681950},{"1st","2nd","3rd","4th"})&amp;" Quartile"</f>
        <v>1st Quartile</v>
      </c>
    </row>
    <row r="951" spans="1:26">
      <c r="A951">
        <v>2019</v>
      </c>
      <c r="B951">
        <v>0</v>
      </c>
      <c r="C951" t="s">
        <v>332</v>
      </c>
      <c r="D951" t="s">
        <v>331</v>
      </c>
      <c r="E951">
        <v>72</v>
      </c>
      <c r="F951" t="s">
        <v>330</v>
      </c>
      <c r="G951">
        <v>78</v>
      </c>
      <c r="H951">
        <v>0.73199999999999998</v>
      </c>
      <c r="I951">
        <v>0.69</v>
      </c>
      <c r="J951">
        <v>-4.992</v>
      </c>
      <c r="K951">
        <v>0</v>
      </c>
      <c r="L951">
        <v>0</v>
      </c>
      <c r="M951">
        <v>0.13400000000000001</v>
      </c>
      <c r="N951">
        <v>0.29099999999999998</v>
      </c>
      <c r="O951">
        <v>0</v>
      </c>
      <c r="P951">
        <v>0.11600000000000001</v>
      </c>
      <c r="Q951">
        <v>0.75800000000000001</v>
      </c>
      <c r="R951">
        <v>143.072</v>
      </c>
      <c r="S951">
        <v>4</v>
      </c>
      <c r="T951">
        <v>206307</v>
      </c>
      <c r="U951">
        <v>4</v>
      </c>
      <c r="V951">
        <v>206307</v>
      </c>
      <c r="W951">
        <v>4</v>
      </c>
      <c r="X951">
        <v>206307</v>
      </c>
      <c r="Y951" t="s">
        <v>17</v>
      </c>
      <c r="Z951" t="str">
        <f>LOOKUP(B951,{0,1083,124200,681950},{"1st","2nd","3rd","4th"})&amp;" Quartile"</f>
        <v>1st Quartile</v>
      </c>
    </row>
    <row r="952" spans="1:26">
      <c r="A952">
        <v>2019</v>
      </c>
      <c r="B952">
        <v>0</v>
      </c>
      <c r="C952" t="s">
        <v>309</v>
      </c>
      <c r="D952" t="s">
        <v>308</v>
      </c>
      <c r="E952">
        <v>41</v>
      </c>
      <c r="F952" t="s">
        <v>307</v>
      </c>
      <c r="G952">
        <v>43</v>
      </c>
      <c r="H952">
        <v>0.56499999999999995</v>
      </c>
      <c r="I952">
        <v>0.89300000000000002</v>
      </c>
      <c r="J952">
        <v>-4.6829999999999998</v>
      </c>
      <c r="K952">
        <v>0</v>
      </c>
      <c r="L952">
        <v>4</v>
      </c>
      <c r="M952">
        <v>3.7600000000000001E-2</v>
      </c>
      <c r="N952">
        <v>3.0300000000000001E-2</v>
      </c>
      <c r="O952">
        <v>0</v>
      </c>
      <c r="P952">
        <v>5.6099999999999997E-2</v>
      </c>
      <c r="Q952">
        <v>0.35199999999999998</v>
      </c>
      <c r="R952">
        <v>141.95699999999999</v>
      </c>
      <c r="S952">
        <v>4</v>
      </c>
      <c r="T952">
        <v>228706</v>
      </c>
      <c r="U952">
        <v>4</v>
      </c>
      <c r="V952">
        <v>228706</v>
      </c>
      <c r="W952">
        <v>4</v>
      </c>
      <c r="X952">
        <v>228706</v>
      </c>
      <c r="Y952" t="s">
        <v>17</v>
      </c>
      <c r="Z952" t="str">
        <f>LOOKUP(B952,{0,1083,124200,681950},{"1st","2nd","3rd","4th"})&amp;" Quartile"</f>
        <v>1st Quartile</v>
      </c>
    </row>
    <row r="953" spans="1:26">
      <c r="A953">
        <v>2019</v>
      </c>
      <c r="B953">
        <v>0</v>
      </c>
      <c r="C953" t="s">
        <v>291</v>
      </c>
      <c r="D953" t="s">
        <v>75</v>
      </c>
      <c r="E953">
        <v>93</v>
      </c>
      <c r="F953" t="s">
        <v>290</v>
      </c>
      <c r="G953">
        <v>72</v>
      </c>
      <c r="H953">
        <v>0.68700000000000006</v>
      </c>
      <c r="I953">
        <v>0.745</v>
      </c>
      <c r="J953">
        <v>-4.4320000000000004</v>
      </c>
      <c r="K953">
        <v>1</v>
      </c>
      <c r="L953">
        <v>6</v>
      </c>
      <c r="M953">
        <v>3.7900000000000003E-2</v>
      </c>
      <c r="N953">
        <v>0.17799999999999999</v>
      </c>
      <c r="O953">
        <v>1.59E-5</v>
      </c>
      <c r="P953">
        <v>0.111</v>
      </c>
      <c r="Q953">
        <v>0.435</v>
      </c>
      <c r="R953">
        <v>129.96600000000001</v>
      </c>
      <c r="S953">
        <v>4</v>
      </c>
      <c r="T953">
        <v>232120</v>
      </c>
      <c r="U953">
        <v>4</v>
      </c>
      <c r="V953">
        <v>232120</v>
      </c>
      <c r="W953">
        <v>4</v>
      </c>
      <c r="X953">
        <v>232120</v>
      </c>
      <c r="Y953" t="s">
        <v>17</v>
      </c>
      <c r="Z953" t="str">
        <f>LOOKUP(B953,{0,1083,124200,681950},{"1st","2nd","3rd","4th"})&amp;" Quartile"</f>
        <v>1st Quartile</v>
      </c>
    </row>
    <row r="954" spans="1:26">
      <c r="A954">
        <v>2019</v>
      </c>
      <c r="B954">
        <v>0</v>
      </c>
      <c r="C954" t="s">
        <v>240</v>
      </c>
      <c r="D954" t="s">
        <v>241</v>
      </c>
      <c r="E954">
        <v>0</v>
      </c>
      <c r="F954" t="s">
        <v>240</v>
      </c>
      <c r="G954">
        <v>0</v>
      </c>
      <c r="H954">
        <v>0.86399999999999999</v>
      </c>
      <c r="I954">
        <v>0.433</v>
      </c>
      <c r="J954">
        <v>-13.471</v>
      </c>
      <c r="K954">
        <v>0</v>
      </c>
      <c r="L954">
        <v>1</v>
      </c>
      <c r="M954">
        <v>0.35199999999999998</v>
      </c>
      <c r="N954">
        <v>0.182</v>
      </c>
      <c r="O954">
        <v>0</v>
      </c>
      <c r="P954">
        <v>0.29899999999999999</v>
      </c>
      <c r="Q954">
        <v>0.48599999999999999</v>
      </c>
      <c r="R954">
        <v>78.08</v>
      </c>
      <c r="S954">
        <v>4</v>
      </c>
      <c r="T954">
        <v>203533</v>
      </c>
      <c r="U954">
        <v>4</v>
      </c>
      <c r="V954">
        <v>203533</v>
      </c>
      <c r="W954">
        <v>4</v>
      </c>
      <c r="X954">
        <v>203533</v>
      </c>
      <c r="Y954" t="s">
        <v>17</v>
      </c>
      <c r="Z954" t="str">
        <f>LOOKUP(B954,{0,1083,124200,681950},{"1st","2nd","3rd","4th"})&amp;" Quartile"</f>
        <v>1st Quartile</v>
      </c>
    </row>
    <row r="955" spans="1:26">
      <c r="A955">
        <v>2019</v>
      </c>
      <c r="B955">
        <v>0</v>
      </c>
      <c r="C955" t="s">
        <v>224</v>
      </c>
      <c r="D955" t="s">
        <v>223</v>
      </c>
      <c r="E955">
        <v>66</v>
      </c>
      <c r="F955" t="s">
        <v>222</v>
      </c>
      <c r="G955">
        <v>0</v>
      </c>
      <c r="H955">
        <v>0.9</v>
      </c>
      <c r="I955">
        <v>0.60399999999999998</v>
      </c>
      <c r="J955">
        <v>-7.26</v>
      </c>
      <c r="K955">
        <v>0</v>
      </c>
      <c r="L955">
        <v>9</v>
      </c>
      <c r="M955">
        <v>0.33800000000000002</v>
      </c>
      <c r="N955">
        <v>0.153</v>
      </c>
      <c r="O955">
        <v>2.52E-4</v>
      </c>
      <c r="P955">
        <v>9.1399999999999995E-2</v>
      </c>
      <c r="Q955">
        <v>0.26500000000000001</v>
      </c>
      <c r="R955">
        <v>119.96899999999999</v>
      </c>
      <c r="S955">
        <v>4</v>
      </c>
      <c r="T955">
        <v>272720</v>
      </c>
      <c r="U955">
        <v>4</v>
      </c>
      <c r="V955">
        <v>272720</v>
      </c>
      <c r="W955">
        <v>4</v>
      </c>
      <c r="X955">
        <v>272720</v>
      </c>
      <c r="Y955" t="s">
        <v>17</v>
      </c>
      <c r="Z955" t="str">
        <f>LOOKUP(B955,{0,1083,124200,681950},{"1st","2nd","3rd","4th"})&amp;" Quartile"</f>
        <v>1st Quartile</v>
      </c>
    </row>
    <row r="956" spans="1:26">
      <c r="A956">
        <v>2019</v>
      </c>
      <c r="B956">
        <v>0</v>
      </c>
      <c r="C956" t="s">
        <v>209</v>
      </c>
      <c r="D956" t="s">
        <v>208</v>
      </c>
      <c r="E956">
        <v>71</v>
      </c>
      <c r="F956" t="s">
        <v>207</v>
      </c>
      <c r="G956">
        <v>16</v>
      </c>
      <c r="H956">
        <v>0.88500000000000001</v>
      </c>
      <c r="I956">
        <v>0.58099999999999996</v>
      </c>
      <c r="J956">
        <v>-8.8130000000000006</v>
      </c>
      <c r="K956">
        <v>1</v>
      </c>
      <c r="L956">
        <v>11</v>
      </c>
      <c r="M956">
        <v>3.78E-2</v>
      </c>
      <c r="N956">
        <v>0.42699999999999999</v>
      </c>
      <c r="O956">
        <v>2.04E-4</v>
      </c>
      <c r="P956">
        <v>7.5899999999999995E-2</v>
      </c>
      <c r="Q956">
        <v>0.72799999999999998</v>
      </c>
      <c r="R956">
        <v>114.01600000000001</v>
      </c>
      <c r="S956">
        <v>4</v>
      </c>
      <c r="T956">
        <v>313684</v>
      </c>
      <c r="U956">
        <v>4</v>
      </c>
      <c r="V956">
        <v>313684</v>
      </c>
      <c r="W956">
        <v>4</v>
      </c>
      <c r="X956">
        <v>313684</v>
      </c>
      <c r="Y956" t="s">
        <v>17</v>
      </c>
      <c r="Z956" t="str">
        <f>LOOKUP(B956,{0,1083,124200,681950},{"1st","2nd","3rd","4th"})&amp;" Quartile"</f>
        <v>1st Quartile</v>
      </c>
    </row>
    <row r="957" spans="1:26">
      <c r="A957">
        <v>2019</v>
      </c>
      <c r="B957">
        <v>0</v>
      </c>
      <c r="C957" t="s">
        <v>196</v>
      </c>
      <c r="D957" t="s">
        <v>195</v>
      </c>
      <c r="E957">
        <v>31</v>
      </c>
      <c r="F957" t="s">
        <v>194</v>
      </c>
      <c r="G957">
        <v>46</v>
      </c>
      <c r="H957">
        <v>0.78800000000000003</v>
      </c>
      <c r="I957">
        <v>0.79800000000000004</v>
      </c>
      <c r="J957">
        <v>-7.04</v>
      </c>
      <c r="K957">
        <v>1</v>
      </c>
      <c r="L957">
        <v>1</v>
      </c>
      <c r="M957">
        <v>0.14599999999999999</v>
      </c>
      <c r="N957">
        <v>1.22E-4</v>
      </c>
      <c r="O957">
        <v>0.222</v>
      </c>
      <c r="P957">
        <v>1.9400000000000001E-2</v>
      </c>
      <c r="Q957">
        <v>0.71299999999999997</v>
      </c>
      <c r="R957">
        <v>127.98699999999999</v>
      </c>
      <c r="S957">
        <v>4</v>
      </c>
      <c r="T957">
        <v>289001</v>
      </c>
      <c r="U957">
        <v>4</v>
      </c>
      <c r="V957">
        <v>289001</v>
      </c>
      <c r="W957">
        <v>4</v>
      </c>
      <c r="X957">
        <v>289001</v>
      </c>
      <c r="Y957" t="s">
        <v>17</v>
      </c>
      <c r="Z957" t="str">
        <f>LOOKUP(B957,{0,1083,124200,681950},{"1st","2nd","3rd","4th"})&amp;" Quartile"</f>
        <v>1st Quartile</v>
      </c>
    </row>
    <row r="958" spans="1:26">
      <c r="A958">
        <v>2019</v>
      </c>
      <c r="B958">
        <v>0</v>
      </c>
      <c r="C958" t="s">
        <v>193</v>
      </c>
      <c r="D958" t="s">
        <v>192</v>
      </c>
      <c r="E958">
        <v>73</v>
      </c>
      <c r="F958" t="s">
        <v>192</v>
      </c>
      <c r="G958">
        <v>0</v>
      </c>
      <c r="H958">
        <v>0.57699999999999996</v>
      </c>
      <c r="I958">
        <v>0.75800000000000001</v>
      </c>
      <c r="J958">
        <v>-8.1660000000000004</v>
      </c>
      <c r="K958">
        <v>1</v>
      </c>
      <c r="L958">
        <v>3</v>
      </c>
      <c r="M958">
        <v>5.8599999999999999E-2</v>
      </c>
      <c r="N958">
        <v>0.122</v>
      </c>
      <c r="O958">
        <v>0</v>
      </c>
      <c r="P958">
        <v>0.121</v>
      </c>
      <c r="Q958">
        <v>0.49299999999999999</v>
      </c>
      <c r="R958">
        <v>99.968999999999994</v>
      </c>
      <c r="S958">
        <v>4</v>
      </c>
      <c r="T958">
        <v>179955</v>
      </c>
      <c r="U958">
        <v>4</v>
      </c>
      <c r="V958">
        <v>179955</v>
      </c>
      <c r="W958">
        <v>4</v>
      </c>
      <c r="X958">
        <v>179955</v>
      </c>
      <c r="Y958" t="s">
        <v>17</v>
      </c>
      <c r="Z958" t="str">
        <f>LOOKUP(B958,{0,1083,124200,681950},{"1st","2nd","3rd","4th"})&amp;" Quartile"</f>
        <v>1st Quartile</v>
      </c>
    </row>
    <row r="959" spans="1:26">
      <c r="A959">
        <v>2019</v>
      </c>
      <c r="B959">
        <v>0</v>
      </c>
      <c r="C959" t="s">
        <v>162</v>
      </c>
      <c r="D959" t="s">
        <v>161</v>
      </c>
      <c r="E959">
        <v>61</v>
      </c>
      <c r="F959" t="s">
        <v>160</v>
      </c>
      <c r="G959">
        <v>0</v>
      </c>
      <c r="H959">
        <v>0.72</v>
      </c>
      <c r="I959">
        <v>0.92500000000000004</v>
      </c>
      <c r="J959">
        <v>-4.165</v>
      </c>
      <c r="K959">
        <v>0</v>
      </c>
      <c r="L959">
        <v>4</v>
      </c>
      <c r="M959">
        <v>5.11E-2</v>
      </c>
      <c r="N959">
        <v>2.76E-2</v>
      </c>
      <c r="O959">
        <v>2.3800000000000001E-4</v>
      </c>
      <c r="P959">
        <v>0.14000000000000001</v>
      </c>
      <c r="Q959">
        <v>0.78100000000000003</v>
      </c>
      <c r="R959">
        <v>127.004</v>
      </c>
      <c r="S959">
        <v>4</v>
      </c>
      <c r="T959">
        <v>195105</v>
      </c>
      <c r="U959">
        <v>4</v>
      </c>
      <c r="V959">
        <v>195105</v>
      </c>
      <c r="W959">
        <v>4</v>
      </c>
      <c r="X959">
        <v>195105</v>
      </c>
      <c r="Y959" t="s">
        <v>17</v>
      </c>
      <c r="Z959" t="str">
        <f>LOOKUP(B959,{0,1083,124200,681950},{"1st","2nd","3rd","4th"})&amp;" Quartile"</f>
        <v>1st Quartile</v>
      </c>
    </row>
    <row r="960" spans="1:26">
      <c r="A960">
        <v>2019</v>
      </c>
      <c r="B960">
        <v>0</v>
      </c>
      <c r="C960" t="s">
        <v>148</v>
      </c>
      <c r="D960" t="s">
        <v>147</v>
      </c>
      <c r="E960">
        <v>65</v>
      </c>
      <c r="F960" t="s">
        <v>146</v>
      </c>
      <c r="G960">
        <v>64</v>
      </c>
      <c r="H960">
        <v>0.41</v>
      </c>
      <c r="I960">
        <v>0.85799999999999998</v>
      </c>
      <c r="J960">
        <v>-5.2949999999999999</v>
      </c>
      <c r="K960">
        <v>0</v>
      </c>
      <c r="L960">
        <v>1</v>
      </c>
      <c r="M960">
        <v>4.8500000000000001E-2</v>
      </c>
      <c r="N960">
        <v>3.47E-3</v>
      </c>
      <c r="O960">
        <v>0</v>
      </c>
      <c r="P960">
        <v>8.9700000000000002E-2</v>
      </c>
      <c r="Q960">
        <v>0.96199999999999997</v>
      </c>
      <c r="R960">
        <v>161.48699999999999</v>
      </c>
      <c r="S960">
        <v>4</v>
      </c>
      <c r="T960">
        <v>161560</v>
      </c>
      <c r="U960">
        <v>4</v>
      </c>
      <c r="V960">
        <v>161560</v>
      </c>
      <c r="W960">
        <v>4</v>
      </c>
      <c r="X960">
        <v>161560</v>
      </c>
      <c r="Y960" t="s">
        <v>17</v>
      </c>
      <c r="Z960" t="str">
        <f>LOOKUP(B960,{0,1083,124200,681950},{"1st","2nd","3rd","4th"})&amp;" Quartile"</f>
        <v>1st Quartile</v>
      </c>
    </row>
    <row r="961" spans="1:26">
      <c r="A961">
        <v>2019</v>
      </c>
      <c r="B961">
        <v>0</v>
      </c>
      <c r="C961" t="s">
        <v>104</v>
      </c>
      <c r="D961" t="s">
        <v>105</v>
      </c>
      <c r="E961">
        <v>0</v>
      </c>
      <c r="F961" t="s">
        <v>104</v>
      </c>
      <c r="G961">
        <v>0</v>
      </c>
      <c r="H961">
        <v>0.9</v>
      </c>
      <c r="I961">
        <v>0.46100000000000002</v>
      </c>
      <c r="J961">
        <v>-14.452999999999999</v>
      </c>
      <c r="K961">
        <v>1</v>
      </c>
      <c r="L961">
        <v>8</v>
      </c>
      <c r="M961">
        <v>0.51500000000000001</v>
      </c>
      <c r="N961">
        <v>0.161</v>
      </c>
      <c r="O961">
        <v>1.7799999999999999E-6</v>
      </c>
      <c r="P961">
        <v>8.8999999999999996E-2</v>
      </c>
      <c r="Q961">
        <v>0.35</v>
      </c>
      <c r="R961">
        <v>96.984999999999999</v>
      </c>
      <c r="S961">
        <v>4</v>
      </c>
      <c r="T961">
        <v>165698</v>
      </c>
      <c r="U961">
        <v>4</v>
      </c>
      <c r="V961">
        <v>165698</v>
      </c>
      <c r="W961">
        <v>4</v>
      </c>
      <c r="X961">
        <v>165698</v>
      </c>
      <c r="Y961" t="s">
        <v>17</v>
      </c>
      <c r="Z961" t="str">
        <f>LOOKUP(B961,{0,1083,124200,681950},{"1st","2nd","3rd","4th"})&amp;" Quartile"</f>
        <v>1st Quartile</v>
      </c>
    </row>
    <row r="962" spans="1:26">
      <c r="A962">
        <v>2019</v>
      </c>
      <c r="B962">
        <v>0</v>
      </c>
      <c r="C962" t="s">
        <v>86</v>
      </c>
      <c r="D962" t="s">
        <v>85</v>
      </c>
      <c r="E962">
        <v>76</v>
      </c>
      <c r="F962" t="s">
        <v>84</v>
      </c>
      <c r="G962">
        <v>68</v>
      </c>
      <c r="H962">
        <v>0.74199999999999999</v>
      </c>
      <c r="I962">
        <v>0.46800000000000003</v>
      </c>
      <c r="J962">
        <v>-5.5570000000000004</v>
      </c>
      <c r="K962">
        <v>0</v>
      </c>
      <c r="L962">
        <v>10</v>
      </c>
      <c r="M962">
        <v>6.25E-2</v>
      </c>
      <c r="N962">
        <v>4.65E-2</v>
      </c>
      <c r="O962">
        <v>0</v>
      </c>
      <c r="P962">
        <v>0.82599999999999996</v>
      </c>
      <c r="Q962">
        <v>0.36899999999999999</v>
      </c>
      <c r="R962">
        <v>86.442999999999998</v>
      </c>
      <c r="S962">
        <v>4</v>
      </c>
      <c r="T962">
        <v>242200</v>
      </c>
      <c r="U962">
        <v>4</v>
      </c>
      <c r="V962">
        <v>242200</v>
      </c>
      <c r="W962">
        <v>4</v>
      </c>
      <c r="X962">
        <v>242200</v>
      </c>
      <c r="Y962" t="s">
        <v>17</v>
      </c>
      <c r="Z962" t="str">
        <f>LOOKUP(B962,{0,1083,124200,681950},{"1st","2nd","3rd","4th"})&amp;" Quartile"</f>
        <v>1st Quartile</v>
      </c>
    </row>
    <row r="963" spans="1:26">
      <c r="A963">
        <v>2019</v>
      </c>
      <c r="B963">
        <v>0</v>
      </c>
      <c r="C963" t="s">
        <v>65</v>
      </c>
      <c r="D963" t="s">
        <v>64</v>
      </c>
      <c r="E963">
        <v>64</v>
      </c>
      <c r="F963" t="s">
        <v>63</v>
      </c>
      <c r="G963">
        <v>18</v>
      </c>
      <c r="H963">
        <v>0.77100000000000002</v>
      </c>
      <c r="I963">
        <v>0.72799999999999998</v>
      </c>
      <c r="J963">
        <v>-6.8090000000000002</v>
      </c>
      <c r="K963">
        <v>1</v>
      </c>
      <c r="L963">
        <v>9</v>
      </c>
      <c r="M963">
        <v>3.5900000000000001E-2</v>
      </c>
      <c r="N963">
        <v>1.7399999999999999E-2</v>
      </c>
      <c r="O963">
        <v>2.9899999999999999E-2</v>
      </c>
      <c r="P963">
        <v>7.7899999999999997E-2</v>
      </c>
      <c r="Q963">
        <v>0.29699999999999999</v>
      </c>
      <c r="R963">
        <v>127.01900000000001</v>
      </c>
      <c r="S963">
        <v>4</v>
      </c>
      <c r="T963">
        <v>320637</v>
      </c>
      <c r="U963">
        <v>4</v>
      </c>
      <c r="V963">
        <v>320637</v>
      </c>
      <c r="W963">
        <v>4</v>
      </c>
      <c r="X963">
        <v>320637</v>
      </c>
      <c r="Y963" t="s">
        <v>17</v>
      </c>
      <c r="Z963" t="str">
        <f>LOOKUP(B963,{0,1083,124200,681950},{"1st","2nd","3rd","4th"})&amp;" Quartile"</f>
        <v>1st Quartile</v>
      </c>
    </row>
    <row r="964" spans="1:26">
      <c r="A964">
        <v>2019</v>
      </c>
      <c r="B964">
        <v>0</v>
      </c>
      <c r="C964" t="s">
        <v>56</v>
      </c>
      <c r="D964" t="s">
        <v>57</v>
      </c>
      <c r="E964">
        <v>32</v>
      </c>
      <c r="F964" t="s">
        <v>56</v>
      </c>
      <c r="G964">
        <v>50</v>
      </c>
      <c r="H964">
        <v>0.84499999999999997</v>
      </c>
      <c r="I964">
        <v>0.51800000000000002</v>
      </c>
      <c r="J964">
        <v>-7.5679999999999996</v>
      </c>
      <c r="K964">
        <v>1</v>
      </c>
      <c r="L964">
        <v>11</v>
      </c>
      <c r="M964">
        <v>0.29899999999999999</v>
      </c>
      <c r="N964">
        <v>7.0300000000000001E-2</v>
      </c>
      <c r="O964">
        <v>0</v>
      </c>
      <c r="P964">
        <v>0.122</v>
      </c>
      <c r="Q964">
        <v>0.443</v>
      </c>
      <c r="R964">
        <v>129.95099999999999</v>
      </c>
      <c r="S964">
        <v>4</v>
      </c>
      <c r="T964">
        <v>135993</v>
      </c>
      <c r="U964">
        <v>4</v>
      </c>
      <c r="V964">
        <v>135993</v>
      </c>
      <c r="W964">
        <v>4</v>
      </c>
      <c r="X964">
        <v>135993</v>
      </c>
      <c r="Y964" t="s">
        <v>17</v>
      </c>
      <c r="Z964" t="str">
        <f>LOOKUP(B964,{0,1083,124200,681950},{"1st","2nd","3rd","4th"})&amp;" Quartile"</f>
        <v>1st Quartile</v>
      </c>
    </row>
    <row r="965" spans="1:26">
      <c r="A965">
        <v>2019</v>
      </c>
      <c r="B965">
        <v>0</v>
      </c>
      <c r="C965" t="s">
        <v>46</v>
      </c>
      <c r="D965" t="s">
        <v>47</v>
      </c>
      <c r="E965">
        <v>31</v>
      </c>
      <c r="F965" t="s">
        <v>46</v>
      </c>
      <c r="G965">
        <v>22</v>
      </c>
      <c r="H965">
        <v>0.749</v>
      </c>
      <c r="I965">
        <v>0.28299999999999997</v>
      </c>
      <c r="J965">
        <v>-12.368</v>
      </c>
      <c r="K965">
        <v>0</v>
      </c>
      <c r="L965">
        <v>0</v>
      </c>
      <c r="M965">
        <v>0.32800000000000001</v>
      </c>
      <c r="N965">
        <v>0.61799999999999999</v>
      </c>
      <c r="O965">
        <v>3.7299999999999999E-6</v>
      </c>
      <c r="P965">
        <v>8.2500000000000004E-2</v>
      </c>
      <c r="Q965">
        <v>0.26900000000000002</v>
      </c>
      <c r="R965">
        <v>142.04599999999999</v>
      </c>
      <c r="S965">
        <v>4</v>
      </c>
      <c r="T965">
        <v>172888</v>
      </c>
      <c r="U965">
        <v>4</v>
      </c>
      <c r="V965">
        <v>172888</v>
      </c>
      <c r="W965">
        <v>4</v>
      </c>
      <c r="X965">
        <v>172888</v>
      </c>
      <c r="Y965" t="s">
        <v>17</v>
      </c>
      <c r="Z965" t="str">
        <f>LOOKUP(B965,{0,1083,124200,681950},{"1st","2nd","3rd","4th"})&amp;" Quartile"</f>
        <v>1st Quartile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DB_1</vt:lpstr>
      <vt:lpstr>DB_2</vt:lpstr>
      <vt:lpstr>Graphs</vt:lpstr>
      <vt:lpstr>Tiktok Dashboard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 Wee Kiat</dc:creator>
  <cp:lastModifiedBy>#NG WEE KIAT#</cp:lastModifiedBy>
  <cp:lastPrinted>2023-03-30T11:25:36Z</cp:lastPrinted>
  <dcterms:created xsi:type="dcterms:W3CDTF">2023-03-30T04:51:55Z</dcterms:created>
  <dcterms:modified xsi:type="dcterms:W3CDTF">2023-04-02T13:57:20Z</dcterms:modified>
</cp:coreProperties>
</file>